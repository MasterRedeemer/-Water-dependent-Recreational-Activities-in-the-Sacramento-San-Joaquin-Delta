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Works\Delta Water Rec w Jenkins\Laurel Feedback Data Delta\Hydrology\"/>
    </mc:Choice>
  </mc:AlternateContent>
  <xr:revisionPtr revIDLastSave="0" documentId="13_ncr:1_{895E7942-ABD2-4D87-A2C0-68A713BB5DFF}" xr6:coauthVersionLast="47" xr6:coauthVersionMax="47" xr10:uidLastSave="{00000000-0000-0000-0000-000000000000}"/>
  <bookViews>
    <workbookView xWindow="38280" yWindow="-120" windowWidth="38640" windowHeight="21120" xr2:uid="{DE6AC3CE-BAB1-4A8F-A084-FA9AAA40BAE2}"/>
  </bookViews>
  <sheets>
    <sheet name="Combined Model" sheetId="3" r:id="rId1"/>
    <sheet name="Combined Weighted Seasonal" sheetId="1" r:id="rId2"/>
    <sheet name="Combined index by year" sheetId="5" r:id="rId3"/>
    <sheet name="Scribble Sheet" sheetId="6" r:id="rId4"/>
  </sheets>
  <definedNames>
    <definedName name="_xlnm._FilterDatabase" localSheetId="0" hidden="1">'Combined Model'!$B$124:$B$127</definedName>
    <definedName name="_xlnm._FilterDatabase" localSheetId="1" hidden="1">'Combined Weighted Seasonal'!$A$1:$G$57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3" l="1"/>
  <c r="Z12" i="3"/>
  <c r="AB6" i="3"/>
  <c r="D60" i="3"/>
  <c r="AD4" i="3"/>
  <c r="AB4" i="3"/>
  <c r="AB5" i="3"/>
  <c r="S4" i="3"/>
  <c r="T4" i="3" s="1"/>
  <c r="H4" i="3"/>
  <c r="J4" i="3" s="1"/>
  <c r="X3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5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G19" i="3"/>
  <c r="AG20" i="3"/>
  <c r="AG21" i="3"/>
  <c r="AG18" i="3"/>
  <c r="AH12" i="3"/>
  <c r="AH19" i="3" s="1"/>
  <c r="AH13" i="3"/>
  <c r="AH20" i="3" s="1"/>
  <c r="AH14" i="3"/>
  <c r="AH21" i="3" s="1"/>
  <c r="AH11" i="3"/>
  <c r="AH18" i="3" s="1"/>
  <c r="AG12" i="3"/>
  <c r="AG13" i="3"/>
  <c r="AG14" i="3"/>
  <c r="AG11" i="3"/>
  <c r="H6" i="3"/>
  <c r="J6" i="3" s="1"/>
  <c r="H7" i="3"/>
  <c r="J7" i="3" s="1"/>
  <c r="H8" i="3"/>
  <c r="J8" i="3" s="1"/>
  <c r="H9" i="3"/>
  <c r="J9" i="3" s="1"/>
  <c r="H10" i="3"/>
  <c r="J10" i="3" s="1"/>
  <c r="H11" i="3"/>
  <c r="I11" i="3" s="1"/>
  <c r="H12" i="3"/>
  <c r="J12" i="3" s="1"/>
  <c r="H13" i="3"/>
  <c r="J13" i="3" s="1"/>
  <c r="H14" i="3"/>
  <c r="J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3" i="3"/>
  <c r="I33" i="3" s="1"/>
  <c r="H34" i="3"/>
  <c r="J34" i="3" s="1"/>
  <c r="H35" i="3"/>
  <c r="I35" i="3" s="1"/>
  <c r="H36" i="3"/>
  <c r="J36" i="3" s="1"/>
  <c r="H37" i="3"/>
  <c r="J37" i="3" s="1"/>
  <c r="H38" i="3"/>
  <c r="J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J45" i="3" s="1"/>
  <c r="H46" i="3"/>
  <c r="J46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H58" i="3"/>
  <c r="J58" i="3" s="1"/>
  <c r="H59" i="3"/>
  <c r="J59" i="3" s="1"/>
  <c r="H5" i="3"/>
  <c r="I5" i="3" s="1"/>
  <c r="S6" i="3"/>
  <c r="U6" i="3" s="1"/>
  <c r="S7" i="3"/>
  <c r="U7" i="3" s="1"/>
  <c r="S8" i="3"/>
  <c r="U8" i="3" s="1"/>
  <c r="S9" i="3"/>
  <c r="U9" i="3" s="1"/>
  <c r="S10" i="3"/>
  <c r="U10" i="3" s="1"/>
  <c r="S11" i="3"/>
  <c r="U11" i="3" s="1"/>
  <c r="S12" i="3"/>
  <c r="U12" i="3" s="1"/>
  <c r="S13" i="3"/>
  <c r="U13" i="3" s="1"/>
  <c r="S14" i="3"/>
  <c r="T14" i="3" s="1"/>
  <c r="S15" i="3"/>
  <c r="U15" i="3" s="1"/>
  <c r="S16" i="3"/>
  <c r="T16" i="3" s="1"/>
  <c r="S17" i="3"/>
  <c r="U17" i="3" s="1"/>
  <c r="S18" i="3"/>
  <c r="U18" i="3" s="1"/>
  <c r="S19" i="3"/>
  <c r="U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U26" i="3" s="1"/>
  <c r="S27" i="3"/>
  <c r="U27" i="3" s="1"/>
  <c r="S28" i="3"/>
  <c r="U28" i="3" s="1"/>
  <c r="S29" i="3"/>
  <c r="U29" i="3" s="1"/>
  <c r="S30" i="3"/>
  <c r="U30" i="3" s="1"/>
  <c r="S31" i="3"/>
  <c r="U31" i="3" s="1"/>
  <c r="S32" i="3"/>
  <c r="U32" i="3" s="1"/>
  <c r="S33" i="3"/>
  <c r="U33" i="3" s="1"/>
  <c r="S34" i="3"/>
  <c r="U34" i="3" s="1"/>
  <c r="S35" i="3"/>
  <c r="U35" i="3" s="1"/>
  <c r="S36" i="3"/>
  <c r="U36" i="3" s="1"/>
  <c r="S37" i="3"/>
  <c r="U37" i="3" s="1"/>
  <c r="S38" i="3"/>
  <c r="U38" i="3" s="1"/>
  <c r="S39" i="3"/>
  <c r="U39" i="3" s="1"/>
  <c r="S40" i="3"/>
  <c r="T40" i="3" s="1"/>
  <c r="S41" i="3"/>
  <c r="U41" i="3" s="1"/>
  <c r="S42" i="3"/>
  <c r="U42" i="3" s="1"/>
  <c r="S43" i="3"/>
  <c r="U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U50" i="3" s="1"/>
  <c r="S51" i="3"/>
  <c r="U51" i="3" s="1"/>
  <c r="S52" i="3"/>
  <c r="U52" i="3" s="1"/>
  <c r="S53" i="3"/>
  <c r="U53" i="3" s="1"/>
  <c r="S54" i="3"/>
  <c r="U54" i="3" s="1"/>
  <c r="S55" i="3"/>
  <c r="U55" i="3" s="1"/>
  <c r="S56" i="3"/>
  <c r="U56" i="3" s="1"/>
  <c r="S57" i="3"/>
  <c r="U57" i="3" s="1"/>
  <c r="S58" i="3"/>
  <c r="U58" i="3" s="1"/>
  <c r="S59" i="3"/>
  <c r="U59" i="3" s="1"/>
  <c r="S5" i="3"/>
  <c r="T5" i="3" s="1"/>
  <c r="AI6" i="3"/>
  <c r="AI7" i="3"/>
  <c r="AI8" i="3"/>
  <c r="AI5" i="3"/>
  <c r="Z5" i="3"/>
  <c r="Z6" i="3"/>
  <c r="Z7" i="3"/>
  <c r="Z8" i="3"/>
  <c r="Z9" i="3"/>
  <c r="Z10" i="3"/>
  <c r="Z11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4" i="3"/>
  <c r="G60" i="3"/>
  <c r="P60" i="3"/>
  <c r="O60" i="3"/>
  <c r="E60" i="3"/>
  <c r="AI12" i="3" l="1"/>
  <c r="AI11" i="3"/>
  <c r="U4" i="3"/>
  <c r="I12" i="3"/>
  <c r="AC4" i="3"/>
  <c r="AA52" i="3"/>
  <c r="T18" i="3"/>
  <c r="I4" i="3"/>
  <c r="T38" i="3"/>
  <c r="AA25" i="3"/>
  <c r="AA49" i="3"/>
  <c r="AA41" i="3"/>
  <c r="AA17" i="3"/>
  <c r="T39" i="3"/>
  <c r="U22" i="3"/>
  <c r="U21" i="3"/>
  <c r="AA4" i="3"/>
  <c r="I59" i="3"/>
  <c r="I14" i="3"/>
  <c r="I10" i="3"/>
  <c r="J39" i="3"/>
  <c r="AI14" i="3"/>
  <c r="U14" i="3"/>
  <c r="AA48" i="3"/>
  <c r="AA24" i="3"/>
  <c r="I38" i="3"/>
  <c r="I34" i="3"/>
  <c r="T43" i="3"/>
  <c r="T42" i="3"/>
  <c r="I9" i="3"/>
  <c r="G63" i="3"/>
  <c r="O61" i="3"/>
  <c r="P61" i="3" s="1"/>
  <c r="AA39" i="3"/>
  <c r="AA15" i="3"/>
  <c r="T41" i="3"/>
  <c r="J43" i="3"/>
  <c r="J19" i="3"/>
  <c r="AA59" i="3"/>
  <c r="AA35" i="3"/>
  <c r="AA11" i="3"/>
  <c r="J18" i="3"/>
  <c r="U46" i="3"/>
  <c r="U45" i="3"/>
  <c r="U49" i="3"/>
  <c r="I58" i="3"/>
  <c r="J35" i="3"/>
  <c r="AA26" i="3"/>
  <c r="U48" i="3"/>
  <c r="I57" i="3"/>
  <c r="J33" i="3"/>
  <c r="AA50" i="3"/>
  <c r="AA12" i="3"/>
  <c r="U47" i="3"/>
  <c r="I46" i="3"/>
  <c r="J20" i="3"/>
  <c r="AA46" i="3"/>
  <c r="AA22" i="3"/>
  <c r="U44" i="3"/>
  <c r="I36" i="3"/>
  <c r="J17" i="3"/>
  <c r="U40" i="3"/>
  <c r="J16" i="3"/>
  <c r="J5" i="3"/>
  <c r="J15" i="3"/>
  <c r="I37" i="3"/>
  <c r="AA45" i="3"/>
  <c r="AA21" i="3"/>
  <c r="AA44" i="3"/>
  <c r="AA20" i="3"/>
  <c r="AA43" i="3"/>
  <c r="AA19" i="3"/>
  <c r="U25" i="3"/>
  <c r="J11" i="3"/>
  <c r="AI20" i="3"/>
  <c r="AA42" i="3"/>
  <c r="AA18" i="3"/>
  <c r="U24" i="3"/>
  <c r="I22" i="3"/>
  <c r="U23" i="3"/>
  <c r="T51" i="3"/>
  <c r="AA40" i="3"/>
  <c r="AA16" i="3"/>
  <c r="I13" i="3"/>
  <c r="AA38" i="3"/>
  <c r="AA14" i="3"/>
  <c r="U20" i="3"/>
  <c r="AA37" i="3"/>
  <c r="AA13" i="3"/>
  <c r="U16" i="3"/>
  <c r="AA10" i="3"/>
  <c r="T27" i="3"/>
  <c r="AA58" i="3"/>
  <c r="AA34" i="3"/>
  <c r="AA57" i="3"/>
  <c r="AA33" i="3"/>
  <c r="AA9" i="3"/>
  <c r="T19" i="3"/>
  <c r="J44" i="3"/>
  <c r="AI13" i="3"/>
  <c r="AC55" i="3" s="1"/>
  <c r="AA32" i="3"/>
  <c r="AA55" i="3"/>
  <c r="AA31" i="3"/>
  <c r="AA7" i="3"/>
  <c r="T17" i="3"/>
  <c r="J42" i="3"/>
  <c r="AA8" i="3"/>
  <c r="AA54" i="3"/>
  <c r="AA30" i="3"/>
  <c r="AA6" i="3"/>
  <c r="J41" i="3"/>
  <c r="AC46" i="3"/>
  <c r="AA56" i="3"/>
  <c r="AA53" i="3"/>
  <c r="AA29" i="3"/>
  <c r="AA5" i="3"/>
  <c r="T15" i="3"/>
  <c r="J40" i="3"/>
  <c r="AC52" i="3"/>
  <c r="AC18" i="3"/>
  <c r="AC41" i="3"/>
  <c r="AC17" i="3"/>
  <c r="AC19" i="3"/>
  <c r="AC21" i="3"/>
  <c r="AI18" i="3"/>
  <c r="AE40" i="3" s="1"/>
  <c r="AI21" i="3"/>
  <c r="AI19" i="3"/>
  <c r="AC39" i="3"/>
  <c r="AC15" i="3"/>
  <c r="AE31" i="3"/>
  <c r="AC5" i="3"/>
  <c r="AC59" i="3"/>
  <c r="AC35" i="3"/>
  <c r="AC34" i="3"/>
  <c r="AC10" i="3"/>
  <c r="AC9" i="3"/>
  <c r="AC31" i="3"/>
  <c r="AC8" i="3"/>
  <c r="AC54" i="3"/>
  <c r="AC30" i="3"/>
  <c r="AC6" i="3"/>
  <c r="AC33" i="3"/>
  <c r="AC32" i="3"/>
  <c r="AA28" i="3"/>
  <c r="AA51" i="3"/>
  <c r="AA27" i="3"/>
  <c r="U5" i="3"/>
  <c r="T37" i="3"/>
  <c r="T13" i="3"/>
  <c r="I56" i="3"/>
  <c r="I32" i="3"/>
  <c r="I8" i="3"/>
  <c r="D61" i="3"/>
  <c r="E61" i="3" s="1"/>
  <c r="T36" i="3"/>
  <c r="T12" i="3"/>
  <c r="I55" i="3"/>
  <c r="I31" i="3"/>
  <c r="I7" i="3"/>
  <c r="T59" i="3"/>
  <c r="T35" i="3"/>
  <c r="T11" i="3"/>
  <c r="I54" i="3"/>
  <c r="I30" i="3"/>
  <c r="I6" i="3"/>
  <c r="AA47" i="3"/>
  <c r="AA23" i="3"/>
  <c r="T34" i="3"/>
  <c r="T10" i="3"/>
  <c r="I53" i="3"/>
  <c r="I29" i="3"/>
  <c r="T58" i="3"/>
  <c r="T57" i="3"/>
  <c r="T33" i="3"/>
  <c r="T9" i="3"/>
  <c r="I52" i="3"/>
  <c r="I28" i="3"/>
  <c r="T32" i="3"/>
  <c r="T55" i="3"/>
  <c r="T31" i="3"/>
  <c r="T7" i="3"/>
  <c r="I50" i="3"/>
  <c r="I26" i="3"/>
  <c r="T8" i="3"/>
  <c r="I27" i="3"/>
  <c r="T54" i="3"/>
  <c r="T30" i="3"/>
  <c r="T6" i="3"/>
  <c r="I49" i="3"/>
  <c r="I25" i="3"/>
  <c r="T56" i="3"/>
  <c r="I51" i="3"/>
  <c r="T53" i="3"/>
  <c r="T29" i="3"/>
  <c r="I48" i="3"/>
  <c r="I24" i="3"/>
  <c r="T52" i="3"/>
  <c r="T28" i="3"/>
  <c r="I47" i="3"/>
  <c r="I23" i="3"/>
  <c r="T50" i="3"/>
  <c r="T26" i="3"/>
  <c r="I45" i="3"/>
  <c r="I21" i="3"/>
  <c r="AA36" i="3"/>
  <c r="AC43" i="3" l="1"/>
  <c r="AC57" i="3"/>
  <c r="AC20" i="3"/>
  <c r="AC45" i="3"/>
  <c r="AC26" i="3"/>
  <c r="AC50" i="3"/>
  <c r="AE4" i="3"/>
  <c r="AC44" i="3"/>
  <c r="AE27" i="3"/>
  <c r="AC11" i="3"/>
  <c r="AC58" i="3"/>
  <c r="AC13" i="3"/>
  <c r="AC48" i="3"/>
  <c r="AC23" i="3"/>
  <c r="AC47" i="3"/>
  <c r="J60" i="3"/>
  <c r="AE17" i="3"/>
  <c r="AE52" i="3"/>
  <c r="AC27" i="3"/>
  <c r="AC40" i="3"/>
  <c r="AC42" i="3"/>
  <c r="AC24" i="3"/>
  <c r="AC51" i="3"/>
  <c r="AC12" i="3"/>
  <c r="AC16" i="3"/>
  <c r="AC22" i="3"/>
  <c r="AC56" i="3"/>
  <c r="AC36" i="3"/>
  <c r="AC37" i="3"/>
  <c r="AC25" i="3"/>
  <c r="AC49" i="3"/>
  <c r="AC14" i="3"/>
  <c r="AC28" i="3"/>
  <c r="AC38" i="3"/>
  <c r="AC53" i="3"/>
  <c r="AC7" i="3"/>
  <c r="AC29" i="3"/>
  <c r="T60" i="3"/>
  <c r="I60" i="3"/>
  <c r="AE21" i="3"/>
  <c r="AE45" i="3"/>
  <c r="AE9" i="3"/>
  <c r="AE20" i="3"/>
  <c r="AE56" i="3"/>
  <c r="AE32" i="3"/>
  <c r="AE33" i="3"/>
  <c r="AE8" i="3"/>
  <c r="AE58" i="3"/>
  <c r="AE57" i="3"/>
  <c r="AE34" i="3"/>
  <c r="AE10" i="3"/>
  <c r="AE11" i="3"/>
  <c r="AE35" i="3"/>
  <c r="AE59" i="3"/>
  <c r="AE12" i="3"/>
  <c r="AE36" i="3"/>
  <c r="AE5" i="3"/>
  <c r="AE13" i="3"/>
  <c r="AE37" i="3"/>
  <c r="AE53" i="3"/>
  <c r="AE48" i="3"/>
  <c r="AE30" i="3"/>
  <c r="AE28" i="3"/>
  <c r="AE16" i="3"/>
  <c r="AE7" i="3"/>
  <c r="AE6" i="3"/>
  <c r="AE22" i="3"/>
  <c r="AE46" i="3"/>
  <c r="AE29" i="3"/>
  <c r="AE18" i="3"/>
  <c r="AE42" i="3"/>
  <c r="AE47" i="3"/>
  <c r="AE41" i="3"/>
  <c r="AE14" i="3"/>
  <c r="AE51" i="3"/>
  <c r="AE54" i="3"/>
  <c r="AE38" i="3"/>
  <c r="AE19" i="3"/>
  <c r="AE23" i="3"/>
  <c r="AE43" i="3"/>
  <c r="AE24" i="3"/>
  <c r="AE25" i="3"/>
  <c r="AE49" i="3"/>
  <c r="AE55" i="3"/>
  <c r="AE39" i="3"/>
  <c r="AE26" i="3"/>
  <c r="AE15" i="3"/>
  <c r="AE44" i="3"/>
  <c r="AE50" i="3"/>
  <c r="U60" i="3"/>
  <c r="X44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4" i="3"/>
</calcChain>
</file>

<file path=xl/sharedStrings.xml><?xml version="1.0" encoding="utf-8"?>
<sst xmlns="http://schemas.openxmlformats.org/spreadsheetml/2006/main" count="623" uniqueCount="66">
  <si>
    <t>Year</t>
  </si>
  <si>
    <t>Oct-Mar</t>
  </si>
  <si>
    <t>Apr-Jul</t>
  </si>
  <si>
    <t>Wet</t>
  </si>
  <si>
    <t>Dry</t>
  </si>
  <si>
    <t>Critical</t>
  </si>
  <si>
    <t>Below Normal</t>
  </si>
  <si>
    <t>Above Normal</t>
  </si>
  <si>
    <t>Unimpaired Sacramento</t>
  </si>
  <si>
    <t>Unimpaired San Joaquin</t>
  </si>
  <si>
    <t>Drainage</t>
  </si>
  <si>
    <t>WY Sum</t>
  </si>
  <si>
    <t>Index</t>
  </si>
  <si>
    <t>Year Type Abreviated</t>
  </si>
  <si>
    <t>Year Type</t>
  </si>
  <si>
    <t>Raw Sum of Year Indexes</t>
  </si>
  <si>
    <t>Sacramento</t>
  </si>
  <si>
    <t>BN</t>
  </si>
  <si>
    <t>San Joaquin</t>
  </si>
  <si>
    <t>D</t>
  </si>
  <si>
    <t xml:space="preserve"> D</t>
  </si>
  <si>
    <t xml:space="preserve"> C</t>
  </si>
  <si>
    <t xml:space="preserve"> BN</t>
  </si>
  <si>
    <t xml:space="preserve"> W</t>
  </si>
  <si>
    <t xml:space="preserve"> AN</t>
  </si>
  <si>
    <t xml:space="preserve">Critical </t>
  </si>
  <si>
    <t xml:space="preserve">     W</t>
  </si>
  <si>
    <t>AN</t>
  </si>
  <si>
    <t xml:space="preserve"> Year</t>
  </si>
  <si>
    <t>W</t>
  </si>
  <si>
    <t>C</t>
  </si>
  <si>
    <t>Index actuals</t>
  </si>
  <si>
    <t>Spring faction</t>
  </si>
  <si>
    <t>Fall fraction</t>
  </si>
  <si>
    <t>Summed thresholds (lower bound)</t>
  </si>
  <si>
    <t>wet</t>
  </si>
  <si>
    <t>dry</t>
  </si>
  <si>
    <t>critical</t>
  </si>
  <si>
    <t>Year Type WY</t>
  </si>
  <si>
    <t>Index WY</t>
  </si>
  <si>
    <t>Index Oct-Mar</t>
  </si>
  <si>
    <t xml:space="preserve">Type Winter </t>
  </si>
  <si>
    <t>Index Apr-Jul</t>
  </si>
  <si>
    <t>Type Summer</t>
  </si>
  <si>
    <t>Sum of Index WY</t>
  </si>
  <si>
    <t>Count of  Year</t>
  </si>
  <si>
    <t>(Multiple Items)</t>
  </si>
  <si>
    <t>Water Year</t>
  </si>
  <si>
    <t>Winter</t>
  </si>
  <si>
    <t>Summer</t>
  </si>
  <si>
    <t>Combined Type (Apr-Jul)</t>
  </si>
  <si>
    <t>Apr-Jul Combined</t>
  </si>
  <si>
    <t>Combined Type (Oct-Mar)</t>
  </si>
  <si>
    <t>Oct-Mar Combined</t>
  </si>
  <si>
    <t>Summed Sac &amp; SJ (maf)</t>
  </si>
  <si>
    <t>Summed Year Type</t>
  </si>
  <si>
    <t>Sac Actual</t>
  </si>
  <si>
    <t>SJ Actual</t>
  </si>
  <si>
    <t xml:space="preserve">Sac </t>
  </si>
  <si>
    <t>SJ</t>
  </si>
  <si>
    <t>Sac</t>
  </si>
  <si>
    <t>Oct-Mar (Combined)</t>
  </si>
  <si>
    <t>Apr-Jul (Combined)</t>
  </si>
  <si>
    <t>WY Type</t>
  </si>
  <si>
    <t>Combined Runoff Values for Study</t>
  </si>
  <si>
    <t>WY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</si>
</sst>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2" borderId="0" xfId="0" applyFill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0" fontId="3" fillId="0" borderId="2" xfId="0" applyFont="1" applyBorder="1"/>
    <xf numFmtId="0" fontId="1" fillId="0" borderId="2" xfId="0" applyFont="1" applyBorder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97"/>
      <color rgb="FFEAACBF"/>
      <color rgb="FFF8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Weighted Hydrology_Final.xlsx]Combined index by year!PivotTable21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 Year by Year Type WY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'Combined index by year'!$B$3:$B$4</c:f>
              <c:strCache>
                <c:ptCount val="1"/>
                <c:pt idx="0">
                  <c:v>Above Normal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'Combined index by year'!$A$5:$A$28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'Combined index by year'!$B$5:$B$28</c:f>
              <c:numCache>
                <c:formatCode>General</c:formatCode>
                <c:ptCount val="24"/>
                <c:pt idx="0">
                  <c:v>12.32</c:v>
                </c:pt>
                <c:pt idx="3">
                  <c:v>11.020000000000001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C-45FA-A45F-76F14CDB0048}"/>
            </c:ext>
          </c:extLst>
        </c:ser>
        <c:ser>
          <c:idx val="1"/>
          <c:order val="1"/>
          <c:tx>
            <c:strRef>
              <c:f>'Combined index by year'!$C$3:$C$4</c:f>
              <c:strCache>
                <c:ptCount val="1"/>
                <c:pt idx="0">
                  <c:v>Below 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'Combined index by year'!$A$5:$A$28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'Combined index by year'!$C$5:$C$28</c:f>
              <c:numCache>
                <c:formatCode>General</c:formatCode>
                <c:ptCount val="24"/>
                <c:pt idx="4">
                  <c:v>9.7199999999999989</c:v>
                </c:pt>
                <c:pt idx="10">
                  <c:v>10.629999999999999</c:v>
                </c:pt>
                <c:pt idx="12">
                  <c:v>9.07</c:v>
                </c:pt>
                <c:pt idx="16">
                  <c:v>9.06</c:v>
                </c:pt>
                <c:pt idx="18">
                  <c:v>10.17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87DC-45FA-A45F-76F14CDB0048}"/>
            </c:ext>
          </c:extLst>
        </c:ser>
        <c:ser>
          <c:idx val="2"/>
          <c:order val="2"/>
          <c:tx>
            <c:strRef>
              <c:f>'Combined index by year'!$D$3:$D$4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'Combined index by year'!$A$5:$A$28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'Combined index by year'!$D$5:$D$28</c:f>
              <c:numCache>
                <c:formatCode>General</c:formatCode>
                <c:ptCount val="24"/>
                <c:pt idx="1">
                  <c:v>7.03</c:v>
                </c:pt>
                <c:pt idx="8">
                  <c:v>7.2200000000000006</c:v>
                </c:pt>
                <c:pt idx="14">
                  <c:v>5.23</c:v>
                </c:pt>
                <c:pt idx="15">
                  <c:v>4.8100000000000005</c:v>
                </c:pt>
                <c:pt idx="21">
                  <c:v>5.12</c:v>
                </c:pt>
                <c:pt idx="22">
                  <c:v>5.7059999999999995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87DC-45FA-A45F-76F14CDB0048}"/>
            </c:ext>
          </c:extLst>
        </c:ser>
        <c:ser>
          <c:idx val="3"/>
          <c:order val="3"/>
          <c:tx>
            <c:strRef>
              <c:f>'Combined index by year'!$E$3:$E$4</c:f>
              <c:strCache>
                <c:ptCount val="1"/>
                <c:pt idx="0">
                  <c:v>Dry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'Combined index by year'!$A$5:$A$28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'Combined index by year'!$E$5:$E$28</c:f>
              <c:numCache>
                <c:formatCode>General</c:formatCode>
                <c:ptCount val="24"/>
                <c:pt idx="2">
                  <c:v>8.69</c:v>
                </c:pt>
                <c:pt idx="7">
                  <c:v>8.16</c:v>
                </c:pt>
                <c:pt idx="9">
                  <c:v>8.5</c:v>
                </c:pt>
                <c:pt idx="13">
                  <c:v>7.54</c:v>
                </c:pt>
                <c:pt idx="20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87DC-45FA-A45F-76F14CDB0048}"/>
            </c:ext>
          </c:extLst>
        </c:ser>
        <c:ser>
          <c:idx val="4"/>
          <c:order val="4"/>
          <c:tx>
            <c:strRef>
              <c:f>'Combined index by year'!$F$3:$F$4</c:f>
              <c:strCache>
                <c:ptCount val="1"/>
                <c:pt idx="0">
                  <c:v>Wet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'Combined index by year'!$A$5:$A$28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'Combined index by year'!$F$5:$F$28</c:f>
              <c:numCache>
                <c:formatCode>General</c:formatCode>
                <c:ptCount val="24"/>
                <c:pt idx="5">
                  <c:v>13.24</c:v>
                </c:pt>
                <c:pt idx="6">
                  <c:v>19.100000000000001</c:v>
                </c:pt>
                <c:pt idx="11">
                  <c:v>16.119999999999997</c:v>
                </c:pt>
                <c:pt idx="17">
                  <c:v>20.6</c:v>
                </c:pt>
                <c:pt idx="19">
                  <c:v>15.280000000000001</c:v>
                </c:pt>
                <c:pt idx="23">
                  <c:v>15.73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7DC-45FA-A45F-76F14CDB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9646896"/>
        <c:axId val="1589648336"/>
      </c:barChart>
      <c:catAx>
        <c:axId val="158964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48336"/>
        <c:crosses val="autoZero"/>
        <c:auto val="1"/>
        <c:lblAlgn val="ctr"/>
        <c:lblOffset val="100"/>
        <c:noMultiLvlLbl val="0"/>
      </c:catAx>
      <c:valAx>
        <c:axId val="158964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4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</a:t>
            </a:r>
            <a:r>
              <a:rPr lang="en-US" baseline="0"/>
              <a:t> w</a:t>
            </a:r>
            <a:r>
              <a:rPr lang="en-US"/>
              <a:t>inter condtions occurences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'Scribble Sheet'!$C$18</c:f>
              <c:strCache>
                <c:ptCount val="1"/>
                <c:pt idx="0">
                  <c:v>Count of 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7F-405E-B9D6-D40775F92AA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B7F-405E-B9D6-D40775F92AA5}"/>
              </c:ext>
            </c:extLst>
          </c:dPt>
          <c:dPt>
            <c:idx val="2"/>
            <c:invertIfNegative val="0"/>
            <c:bubble3D val="0"/>
            <c:spPr>
              <a:solidFill>
                <a:srgbClr val="FF9797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7F-405E-B9D6-D40775F92AA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B7F-405E-B9D6-D40775F92AA5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7F-405E-B9D6-D40775F92AA5}"/>
              </c:ext>
            </c:extLst>
          </c:dPt>
          <c:cat>
            <c:strRef>
              <c:f>'Scribble Sheet'!$B$19:$B$23</c:f>
              <c:strCache>
                <c:ptCount val="5"/>
                <c:pt idx="0">
                  <c:v>Critical</c:v>
                </c:pt>
                <c:pt idx="1">
                  <c:v>Dry</c:v>
                </c:pt>
                <c:pt idx="2">
                  <c:v>Below Normal</c:v>
                </c:pt>
                <c:pt idx="3">
                  <c:v>Above Normal</c:v>
                </c:pt>
                <c:pt idx="4">
                  <c:v>Wet</c:v>
                </c:pt>
              </c:strCache>
            </c:strRef>
          </c:cat>
          <c:val>
            <c:numRef>
              <c:f>'Scribble Sheet'!$C$19:$C$23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F-405E-B9D6-D40775F92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369856"/>
        <c:axId val="1939370336"/>
      </c:barChart>
      <c:catAx>
        <c:axId val="19393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70336"/>
        <c:crosses val="autoZero"/>
        <c:auto val="1"/>
        <c:lblAlgn val="ctr"/>
        <c:lblOffset val="100"/>
        <c:noMultiLvlLbl val="0"/>
      </c:catAx>
      <c:valAx>
        <c:axId val="19393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6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summed</a:t>
            </a:r>
            <a:r>
              <a:rPr lang="en-US" baseline="0"/>
              <a:t> Sac &amp; SJ</a:t>
            </a:r>
            <a:r>
              <a:rPr lang="en-US"/>
              <a:t> WY</a:t>
            </a:r>
            <a:r>
              <a:rPr lang="en-US" baseline="0"/>
              <a:t> conditions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'Scribble Sheet'!$C$5</c:f>
              <c:strCache>
                <c:ptCount val="1"/>
                <c:pt idx="0">
                  <c:v>Count of 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6-460A-962C-0660C97C5E8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6-460A-962C-0660C97C5E8A}"/>
              </c:ext>
            </c:extLst>
          </c:dPt>
          <c:dPt>
            <c:idx val="2"/>
            <c:invertIfNegative val="0"/>
            <c:bubble3D val="0"/>
            <c:spPr>
              <a:solidFill>
                <a:srgbClr val="FF9797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6-460A-962C-0660C97C5E8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E06-460A-962C-0660C97C5E8A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06-460A-962C-0660C97C5E8A}"/>
              </c:ext>
            </c:extLst>
          </c:dPt>
          <c:cat>
            <c:strRef>
              <c:f>'Scribble Sheet'!$B$6:$B$10</c:f>
              <c:strCache>
                <c:ptCount val="5"/>
                <c:pt idx="0">
                  <c:v>Critical</c:v>
                </c:pt>
                <c:pt idx="1">
                  <c:v>Dry</c:v>
                </c:pt>
                <c:pt idx="2">
                  <c:v>Below Normal</c:v>
                </c:pt>
                <c:pt idx="3">
                  <c:v>Above Normal</c:v>
                </c:pt>
                <c:pt idx="4">
                  <c:v>Wet</c:v>
                </c:pt>
              </c:strCache>
            </c:strRef>
          </c:cat>
          <c:val>
            <c:numRef>
              <c:f>'Scribble Sheet'!$C$6:$C$10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6-460A-962C-0660C97C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164992"/>
        <c:axId val="1978167872"/>
      </c:barChart>
      <c:catAx>
        <c:axId val="1978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7872"/>
        <c:crosses val="autoZero"/>
        <c:auto val="1"/>
        <c:lblAlgn val="ctr"/>
        <c:lblOffset val="100"/>
        <c:noMultiLvlLbl val="0"/>
      </c:catAx>
      <c:valAx>
        <c:axId val="19781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 summer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'Scribble Sheet'!$C$29</c:f>
              <c:strCache>
                <c:ptCount val="1"/>
                <c:pt idx="0">
                  <c:v>Count of 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05-4364-AEF8-FE02C37E9C8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05-4364-AEF8-FE02C37E9C88}"/>
              </c:ext>
            </c:extLst>
          </c:dPt>
          <c:dPt>
            <c:idx val="2"/>
            <c:invertIfNegative val="0"/>
            <c:bubble3D val="0"/>
            <c:spPr>
              <a:solidFill>
                <a:srgbClr val="FF9797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05-4364-AEF8-FE02C37E9C8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A05-4364-AEF8-FE02C37E9C88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05-4364-AEF8-FE02C37E9C88}"/>
              </c:ext>
            </c:extLst>
          </c:dPt>
          <c:cat>
            <c:strRef>
              <c:f>'Scribble Sheet'!$B$30:$B$34</c:f>
              <c:strCache>
                <c:ptCount val="5"/>
                <c:pt idx="0">
                  <c:v>Critical</c:v>
                </c:pt>
                <c:pt idx="1">
                  <c:v>Dry</c:v>
                </c:pt>
                <c:pt idx="2">
                  <c:v>Below Normal</c:v>
                </c:pt>
                <c:pt idx="3">
                  <c:v>Above Normal</c:v>
                </c:pt>
                <c:pt idx="4">
                  <c:v>Wet</c:v>
                </c:pt>
              </c:strCache>
            </c:strRef>
          </c:cat>
          <c:val>
            <c:numRef>
              <c:f>'Scribble Sheet'!$C$30:$C$34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5-4364-AEF8-FE02C37E9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911536"/>
        <c:axId val="1598912016"/>
      </c:barChart>
      <c:catAx>
        <c:axId val="159891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12016"/>
        <c:crosses val="autoZero"/>
        <c:auto val="1"/>
        <c:lblAlgn val="ctr"/>
        <c:lblOffset val="100"/>
        <c:noMultiLvlLbl val="0"/>
      </c:catAx>
      <c:valAx>
        <c:axId val="15989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1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Summed Sac</a:t>
            </a:r>
            <a:r>
              <a:rPr lang="en-US" baseline="0"/>
              <a:t> + SJ (maf) index-actual flows by Legacy (lower bound)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'Scribble Sheet'!$C$45:$C$46</c:f>
              <c:strCache>
                <c:ptCount val="2"/>
                <c:pt idx="0">
                  <c:v>Year Type WY</c:v>
                </c:pt>
                <c:pt idx="1">
                  <c:v>Above Normal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563110590074255E-3"/>
                  <c:y val="-0.22251646346499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8E-4461-BDB2-EC612A5BE370}"/>
                </c:ext>
              </c:extLst>
            </c:dLbl>
            <c:dLbl>
              <c:idx val="3"/>
              <c:layout>
                <c:manualLayout>
                  <c:x val="-1.5631105900742479E-3"/>
                  <c:y val="-0.204856426682062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8E-4461-BDB2-EC612A5B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'Scribble Sheet'!$B$47:$B$70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'Scribble Sheet'!$C$47:$C$70</c:f>
              <c:numCache>
                <c:formatCode>General</c:formatCode>
                <c:ptCount val="24"/>
                <c:pt idx="0">
                  <c:v>12.32</c:v>
                </c:pt>
                <c:pt idx="3">
                  <c:v>11.020000000000001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E-4461-BDB2-EC612A5BE370}"/>
            </c:ext>
          </c:extLst>
        </c:ser>
        <c:ser>
          <c:idx val="1"/>
          <c:order val="1"/>
          <c:tx>
            <c:strRef>
              <c:f>'Scribble Sheet'!$D$45:$D$46</c:f>
              <c:strCache>
                <c:ptCount val="2"/>
                <c:pt idx="0">
                  <c:v>Year Type WY</c:v>
                </c:pt>
                <c:pt idx="1">
                  <c:v>Below Normal</c:v>
                </c:pt>
              </c:strCache>
            </c:strRef>
          </c:tx>
          <c:spPr>
            <a:solidFill>
              <a:srgbClr val="F89E9E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0.19072839725571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8E-4461-BDB2-EC612A5BE370}"/>
                </c:ext>
              </c:extLst>
            </c:dLbl>
            <c:dLbl>
              <c:idx val="10"/>
              <c:layout>
                <c:manualLayout>
                  <c:x val="-5.7313392880183791E-17"/>
                  <c:y val="-0.194260404612301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8E-4461-BDB2-EC612A5BE370}"/>
                </c:ext>
              </c:extLst>
            </c:dLbl>
            <c:dLbl>
              <c:idx val="12"/>
              <c:layout>
                <c:manualLayout>
                  <c:x val="0"/>
                  <c:y val="-0.169536353116190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58E-4461-BDB2-EC612A5BE370}"/>
                </c:ext>
              </c:extLst>
            </c:dLbl>
            <c:dLbl>
              <c:idx val="16"/>
              <c:layout>
                <c:manualLayout>
                  <c:x val="0"/>
                  <c:y val="-0.169536353116190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8E-4461-BDB2-EC612A5BE370}"/>
                </c:ext>
              </c:extLst>
            </c:dLbl>
            <c:dLbl>
              <c:idx val="18"/>
              <c:layout>
                <c:manualLayout>
                  <c:x val="0"/>
                  <c:y val="-0.1801323751859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58E-4461-BDB2-EC612A5B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'Scribble Sheet'!$B$47:$B$70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'Scribble Sheet'!$D$47:$D$70</c:f>
              <c:numCache>
                <c:formatCode>General</c:formatCode>
                <c:ptCount val="24"/>
                <c:pt idx="4">
                  <c:v>9.7199999999999989</c:v>
                </c:pt>
                <c:pt idx="10">
                  <c:v>10.629999999999999</c:v>
                </c:pt>
                <c:pt idx="12">
                  <c:v>9.07</c:v>
                </c:pt>
                <c:pt idx="16">
                  <c:v>9.06</c:v>
                </c:pt>
                <c:pt idx="18">
                  <c:v>10.17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E-4461-BDB2-EC612A5BE370}"/>
            </c:ext>
          </c:extLst>
        </c:ser>
        <c:ser>
          <c:idx val="2"/>
          <c:order val="2"/>
          <c:tx>
            <c:strRef>
              <c:f>'Scribble Sheet'!$E$45:$E$46</c:f>
              <c:strCache>
                <c:ptCount val="2"/>
                <c:pt idx="0">
                  <c:v>Year Type WY</c:v>
                </c:pt>
                <c:pt idx="1">
                  <c:v>Critical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-1.5631105900742479E-3"/>
                  <c:y val="-0.137748286906904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8E-4461-BDB2-EC612A5BE370}"/>
                </c:ext>
              </c:extLst>
            </c:dLbl>
            <c:dLbl>
              <c:idx val="8"/>
              <c:layout>
                <c:manualLayout>
                  <c:x val="-1.5631105900743051E-3"/>
                  <c:y val="-0.148344308976666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8E-4461-BDB2-EC612A5BE370}"/>
                </c:ext>
              </c:extLst>
            </c:dLbl>
            <c:dLbl>
              <c:idx val="14"/>
              <c:layout>
                <c:manualLayout>
                  <c:x val="0"/>
                  <c:y val="-0.105960220697618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8E-4461-BDB2-EC612A5BE370}"/>
                </c:ext>
              </c:extLst>
            </c:dLbl>
            <c:dLbl>
              <c:idx val="15"/>
              <c:layout>
                <c:manualLayout>
                  <c:x val="0"/>
                  <c:y val="-0.105960220697618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8E-4461-BDB2-EC612A5BE370}"/>
                </c:ext>
              </c:extLst>
            </c:dLbl>
            <c:dLbl>
              <c:idx val="21"/>
              <c:layout>
                <c:manualLayout>
                  <c:x val="0"/>
                  <c:y val="-0.102428213341031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58E-4461-BDB2-EC612A5BE370}"/>
                </c:ext>
              </c:extLst>
            </c:dLbl>
            <c:dLbl>
              <c:idx val="22"/>
              <c:layout>
                <c:manualLayout>
                  <c:x val="-4.6893317702227429E-3"/>
                  <c:y val="-0.116556242767380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58E-4461-BDB2-EC612A5B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'Scribble Sheet'!$B$47:$B$70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'Scribble Sheet'!$E$47:$E$70</c:f>
              <c:numCache>
                <c:formatCode>General</c:formatCode>
                <c:ptCount val="24"/>
                <c:pt idx="1">
                  <c:v>7.03</c:v>
                </c:pt>
                <c:pt idx="8">
                  <c:v>7.2200000000000006</c:v>
                </c:pt>
                <c:pt idx="14">
                  <c:v>5.23</c:v>
                </c:pt>
                <c:pt idx="15">
                  <c:v>4.8100000000000005</c:v>
                </c:pt>
                <c:pt idx="21">
                  <c:v>5.12</c:v>
                </c:pt>
                <c:pt idx="22">
                  <c:v>5.7059999999999995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E-4461-BDB2-EC612A5BE370}"/>
            </c:ext>
          </c:extLst>
        </c:ser>
        <c:ser>
          <c:idx val="3"/>
          <c:order val="3"/>
          <c:tx>
            <c:strRef>
              <c:f>'Scribble Sheet'!$F$45:$F$46</c:f>
              <c:strCache>
                <c:ptCount val="2"/>
                <c:pt idx="0">
                  <c:v>Year Type WY</c:v>
                </c:pt>
                <c:pt idx="1">
                  <c:v>Dry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2"/>
              <c:layout>
                <c:manualLayout>
                  <c:x val="-1.5631105900742622E-3"/>
                  <c:y val="-0.162472338403015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8E-4461-BDB2-EC612A5BE370}"/>
                </c:ext>
              </c:extLst>
            </c:dLbl>
            <c:dLbl>
              <c:idx val="7"/>
              <c:layout>
                <c:manualLayout>
                  <c:x val="-1.5631105900742479E-3"/>
                  <c:y val="-0.151876316333253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8E-4461-BDB2-EC612A5BE370}"/>
                </c:ext>
              </c:extLst>
            </c:dLbl>
            <c:dLbl>
              <c:idx val="9"/>
              <c:layout>
                <c:manualLayout>
                  <c:x val="-5.7313392880183791E-17"/>
                  <c:y val="-0.15894033104642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8E-4461-BDB2-EC612A5BE370}"/>
                </c:ext>
              </c:extLst>
            </c:dLbl>
            <c:dLbl>
              <c:idx val="13"/>
              <c:layout>
                <c:manualLayout>
                  <c:x val="-1.5631105900743624E-3"/>
                  <c:y val="-0.144812301620078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58E-4461-BDB2-EC612A5BE370}"/>
                </c:ext>
              </c:extLst>
            </c:dLbl>
            <c:dLbl>
              <c:idx val="20"/>
              <c:layout>
                <c:manualLayout>
                  <c:x val="0"/>
                  <c:y val="-0.15894033104642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58E-4461-BDB2-EC612A5B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'Scribble Sheet'!$B$47:$B$70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'Scribble Sheet'!$F$47:$F$70</c:f>
              <c:numCache>
                <c:formatCode>General</c:formatCode>
                <c:ptCount val="24"/>
                <c:pt idx="2">
                  <c:v>8.69</c:v>
                </c:pt>
                <c:pt idx="7">
                  <c:v>8.16</c:v>
                </c:pt>
                <c:pt idx="9">
                  <c:v>8.5</c:v>
                </c:pt>
                <c:pt idx="13">
                  <c:v>7.54</c:v>
                </c:pt>
                <c:pt idx="20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8E-4461-BDB2-EC612A5BE370}"/>
            </c:ext>
          </c:extLst>
        </c:ser>
        <c:ser>
          <c:idx val="4"/>
          <c:order val="4"/>
          <c:tx>
            <c:strRef>
              <c:f>'Scribble Sheet'!$G$45:$G$46</c:f>
              <c:strCache>
                <c:ptCount val="2"/>
                <c:pt idx="0">
                  <c:v>Year Type WY</c:v>
                </c:pt>
                <c:pt idx="1">
                  <c:v>Wet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5"/>
              <c:layout>
                <c:manualLayout>
                  <c:x val="-1.5631105900742765E-3"/>
                  <c:y val="-0.2367710333123916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8E-4461-BDB2-EC612A5BE370}"/>
                </c:ext>
              </c:extLst>
            </c:dLbl>
            <c:dLbl>
              <c:idx val="6"/>
              <c:layout>
                <c:manualLayout>
                  <c:x val="0"/>
                  <c:y val="-0.332579931134199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8E-4461-BDB2-EC612A5BE370}"/>
                </c:ext>
              </c:extLst>
            </c:dLbl>
            <c:dLbl>
              <c:idx val="11"/>
              <c:layout>
                <c:manualLayout>
                  <c:x val="-1.5631105900741904E-3"/>
                  <c:y val="-0.275057993057797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8E-4461-BDB2-EC612A5BE370}"/>
                </c:ext>
              </c:extLst>
            </c:dLbl>
            <c:dLbl>
              <c:idx val="17"/>
              <c:layout>
                <c:manualLayout>
                  <c:x val="0"/>
                  <c:y val="-0.35266815344708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58E-4461-BDB2-EC612A5BE370}"/>
                </c:ext>
              </c:extLst>
            </c:dLbl>
            <c:dLbl>
              <c:idx val="19"/>
              <c:layout>
                <c:manualLayout>
                  <c:x val="-1.5631105900742479E-3"/>
                  <c:y val="-0.26183076456278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58E-4461-BDB2-EC612A5BE370}"/>
                </c:ext>
              </c:extLst>
            </c:dLbl>
            <c:dLbl>
              <c:idx val="23"/>
              <c:layout>
                <c:manualLayout>
                  <c:x val="-1.1462678576036758E-16"/>
                  <c:y val="-0.26538474267379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58E-4461-BDB2-EC612A5BE3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'Scribble Sheet'!$B$47:$B$70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'Scribble Sheet'!$G$47:$G$70</c:f>
              <c:numCache>
                <c:formatCode>General</c:formatCode>
                <c:ptCount val="24"/>
                <c:pt idx="5">
                  <c:v>13.24</c:v>
                </c:pt>
                <c:pt idx="6">
                  <c:v>19.100000000000001</c:v>
                </c:pt>
                <c:pt idx="11">
                  <c:v>16.119999999999997</c:v>
                </c:pt>
                <c:pt idx="17">
                  <c:v>20.6</c:v>
                </c:pt>
                <c:pt idx="19">
                  <c:v>15.280000000000001</c:v>
                </c:pt>
                <c:pt idx="23">
                  <c:v>15.73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8E-4461-BDB2-EC612A5BE3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625278464"/>
        <c:axId val="1625278944"/>
      </c:barChart>
      <c:catAx>
        <c:axId val="162527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78944"/>
        <c:crosses val="autoZero"/>
        <c:auto val="1"/>
        <c:lblAlgn val="ctr"/>
        <c:lblOffset val="100"/>
        <c:noMultiLvlLbl val="0"/>
      </c:catAx>
      <c:valAx>
        <c:axId val="16252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</a:t>
                </a:r>
                <a:r>
                  <a:rPr lang="en-US" baseline="0"/>
                  <a:t> acre feet unimpaired flow into Delta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7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38099</xdr:colOff>
      <xdr:row>1</xdr:row>
      <xdr:rowOff>133350</xdr:rowOff>
    </xdr:from>
    <xdr:to>
      <xdr:col>40</xdr:col>
      <xdr:colOff>142874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B2F45-D1D3-05EE-4710-8A98D9BD8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16</xdr:row>
      <xdr:rowOff>66675</xdr:rowOff>
    </xdr:from>
    <xdr:to>
      <xdr:col>15</xdr:col>
      <xdr:colOff>76200</xdr:colOff>
      <xdr:row>30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488C84-3289-3A08-C25D-E99B0A16A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404812</xdr:colOff>
      <xdr:row>1</xdr:row>
      <xdr:rowOff>123825</xdr:rowOff>
    </xdr:from>
    <xdr:to>
      <xdr:col>15</xdr:col>
      <xdr:colOff>100012</xdr:colOff>
      <xdr:row>16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E98D32-2576-1AD7-52B1-DDE9A0ECA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395287</xdr:colOff>
      <xdr:row>31</xdr:row>
      <xdr:rowOff>38100</xdr:rowOff>
    </xdr:from>
    <xdr:to>
      <xdr:col>15</xdr:col>
      <xdr:colOff>90487</xdr:colOff>
      <xdr:row>45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A9CD62-141E-193A-6BA9-E35F3AE03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200024</xdr:colOff>
      <xdr:row>50</xdr:row>
      <xdr:rowOff>80961</xdr:rowOff>
    </xdr:from>
    <xdr:to>
      <xdr:col>23</xdr:col>
      <xdr:colOff>400049</xdr:colOff>
      <xdr:row>69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776E3D-D888-8BDF-D664-6E7483DDD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SMOCRATOR" refreshedDate="46174.59382141204" createdVersion="8" refreshedVersion="8" minRefreshableVersion="3" recordCount="56" xr:uid="{4B67F145-B157-4180-8F15-65DFD2F96F23}">
  <cacheSource type="worksheet">
    <worksheetSource ref="A1:G57" sheet="Combined Weighted Seasonal"/>
  </cacheSource>
  <cacheFields count="7">
    <cacheField name=" Year" numFmtId="0">
      <sharedItems containsSemiMixedTypes="0" containsString="0" containsNumber="1" containsInteger="1" minValue="1969" maxValue="2024" count="56"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Index WY" numFmtId="0">
      <sharedItems containsSemiMixedTypes="0" containsString="0" containsNumber="1" minValue="3.9499999999999997" maxValue="22.509999999999998" count="56">
        <n v="17.14"/>
        <n v="13.58"/>
        <n v="13.26"/>
        <n v="9.4499999999999993"/>
        <n v="12.08"/>
        <n v="16.89"/>
        <n v="13.2"/>
        <n v="6.86"/>
        <n v="3.9499999999999997"/>
        <n v="13.23"/>
        <n v="10.34"/>
        <n v="13.77"/>
        <n v="8.65"/>
        <n v="18.21"/>
        <n v="22.509999999999998"/>
        <n v="13.69"/>
        <n v="8.8699999999999992"/>
        <n v="14.27"/>
        <n v="7.7200000000000006"/>
        <n v="6.1300000000000008"/>
        <n v="8.09"/>
        <n v="6.3199999999999994"/>
        <n v="6.17"/>
        <n v="5.6199999999999992"/>
        <n v="12.739999999999998"/>
        <n v="7.0699999999999994"/>
        <n v="18.84"/>
        <n v="14.379999999999999"/>
        <n v="14.95"/>
        <n v="18.96"/>
        <n v="13.39"/>
        <n v="12.32"/>
        <n v="7.03"/>
        <n v="8.69"/>
        <n v="11.020000000000001"/>
        <n v="9.7199999999999989"/>
        <n v="13.24"/>
        <n v="19.100000000000001"/>
        <n v="8.16"/>
        <n v="7.2200000000000006"/>
        <n v="8.5"/>
        <n v="10.629999999999999"/>
        <n v="16.119999999999997"/>
        <n v="9.07"/>
        <n v="7.54"/>
        <n v="5.23"/>
        <n v="4.8100000000000005"/>
        <n v="9.06"/>
        <n v="20.6"/>
        <n v="10.17"/>
        <n v="15.280000000000001"/>
        <n v="8.4700000000000006"/>
        <n v="5.12"/>
        <n v="5.7059999999999995"/>
        <n v="15.73"/>
        <n v="11.9"/>
      </sharedItems>
    </cacheField>
    <cacheField name="Year Type WY" numFmtId="0">
      <sharedItems count="5">
        <s v="Wet"/>
        <s v="Below Normal"/>
        <s v="Above Normal"/>
        <s v="Critical"/>
        <s v="Dry"/>
      </sharedItems>
    </cacheField>
    <cacheField name="Index Oct-Mar" numFmtId="0">
      <sharedItems containsSemiMixedTypes="0" containsString="0" containsNumber="1" minValue="2.6920000000000002" maxValue="11.808999999999999"/>
    </cacheField>
    <cacheField name="Type Winter " numFmtId="0">
      <sharedItems count="5">
        <s v="Wet"/>
        <s v="Below Normal"/>
        <s v="Above Normal"/>
        <s v="Dry"/>
        <s v="Critical"/>
      </sharedItems>
    </cacheField>
    <cacheField name="Index Apr-Jul" numFmtId="0">
      <sharedItems containsSemiMixedTypes="0" containsString="0" containsNumber="1" minValue="2.6050000000000004" maxValue="14.602000000000002"/>
    </cacheField>
    <cacheField name="Type Summer" numFmtId="0">
      <sharedItems count="5">
        <s v="Wet"/>
        <s v="Below Normal"/>
        <s v="Critical"/>
        <s v="Above Normal"/>
        <s v="D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7.9810000000000008"/>
    <x v="0"/>
    <n v="11.770000000000001"/>
    <x v="0"/>
  </r>
  <r>
    <x v="1"/>
    <x v="1"/>
    <x v="0"/>
    <n v="10.071000000000002"/>
    <x v="0"/>
    <n v="7.4160000000000004"/>
    <x v="0"/>
  </r>
  <r>
    <x v="2"/>
    <x v="2"/>
    <x v="0"/>
    <n v="7.761000000000001"/>
    <x v="0"/>
    <n v="9.1340000000000003"/>
    <x v="0"/>
  </r>
  <r>
    <x v="3"/>
    <x v="3"/>
    <x v="1"/>
    <n v="6.1109999999999998"/>
    <x v="1"/>
    <n v="6.9180000000000001"/>
    <x v="0"/>
  </r>
  <r>
    <x v="4"/>
    <x v="4"/>
    <x v="2"/>
    <n v="6.8329999999999993"/>
    <x v="2"/>
    <n v="7.859"/>
    <x v="0"/>
  </r>
  <r>
    <x v="5"/>
    <x v="5"/>
    <x v="0"/>
    <n v="10.266999999999999"/>
    <x v="0"/>
    <n v="9.9039999999999999"/>
    <x v="0"/>
  </r>
  <r>
    <x v="6"/>
    <x v="6"/>
    <x v="0"/>
    <n v="6.8260000000000005"/>
    <x v="2"/>
    <n v="10.15"/>
    <x v="0"/>
  </r>
  <r>
    <x v="7"/>
    <x v="7"/>
    <x v="3"/>
    <n v="5.1199999999999992"/>
    <x v="3"/>
    <n v="5.3170000000000002"/>
    <x v="1"/>
  </r>
  <r>
    <x v="8"/>
    <x v="8"/>
    <x v="3"/>
    <n v="2.6920000000000002"/>
    <x v="4"/>
    <n v="3.153"/>
    <x v="2"/>
  </r>
  <r>
    <x v="9"/>
    <x v="9"/>
    <x v="0"/>
    <n v="6.085"/>
    <x v="1"/>
    <n v="8.2489999999999988"/>
    <x v="0"/>
  </r>
  <r>
    <x v="10"/>
    <x v="10"/>
    <x v="1"/>
    <n v="5.6870000000000003"/>
    <x v="1"/>
    <n v="8.1449999999999996"/>
    <x v="0"/>
  </r>
  <r>
    <x v="11"/>
    <x v="11"/>
    <x v="0"/>
    <n v="8.129999999999999"/>
    <x v="0"/>
    <n v="8.3810000000000002"/>
    <x v="0"/>
  </r>
  <r>
    <x v="12"/>
    <x v="12"/>
    <x v="4"/>
    <n v="5.8249999999999993"/>
    <x v="1"/>
    <n v="6.4379999999999997"/>
    <x v="3"/>
  </r>
  <r>
    <x v="13"/>
    <x v="13"/>
    <x v="0"/>
    <n v="9.2749999999999986"/>
    <x v="0"/>
    <n v="11.279"/>
    <x v="0"/>
  </r>
  <r>
    <x v="14"/>
    <x v="14"/>
    <x v="0"/>
    <n v="11.808999999999999"/>
    <x v="0"/>
    <n v="14.602000000000002"/>
    <x v="0"/>
  </r>
  <r>
    <x v="15"/>
    <x v="15"/>
    <x v="0"/>
    <n v="9.395999999999999"/>
    <x v="0"/>
    <n v="8.1959999999999997"/>
    <x v="0"/>
  </r>
  <r>
    <x v="16"/>
    <x v="16"/>
    <x v="4"/>
    <n v="5.8320000000000007"/>
    <x v="1"/>
    <n v="6.7839999999999989"/>
    <x v="0"/>
  </r>
  <r>
    <x v="17"/>
    <x v="17"/>
    <x v="0"/>
    <n v="9.1280000000000001"/>
    <x v="0"/>
    <n v="7.5530000000000008"/>
    <x v="0"/>
  </r>
  <r>
    <x v="18"/>
    <x v="18"/>
    <x v="4"/>
    <n v="5.7150000000000007"/>
    <x v="1"/>
    <n v="5.8579999999999997"/>
    <x v="3"/>
  </r>
  <r>
    <x v="19"/>
    <x v="19"/>
    <x v="3"/>
    <n v="4.0360000000000005"/>
    <x v="4"/>
    <n v="4.22"/>
    <x v="4"/>
  </r>
  <r>
    <x v="20"/>
    <x v="20"/>
    <x v="4"/>
    <n v="4.6139999999999999"/>
    <x v="3"/>
    <n v="5.1710000000000003"/>
    <x v="1"/>
  </r>
  <r>
    <x v="21"/>
    <x v="21"/>
    <x v="3"/>
    <n v="3.8789999999999996"/>
    <x v="4"/>
    <n v="4.673"/>
    <x v="4"/>
  </r>
  <r>
    <x v="22"/>
    <x v="22"/>
    <x v="3"/>
    <n v="3.0269999999999997"/>
    <x v="4"/>
    <n v="4.891"/>
    <x v="1"/>
  </r>
  <r>
    <x v="23"/>
    <x v="23"/>
    <x v="3"/>
    <n v="3.45"/>
    <x v="4"/>
    <n v="3.823"/>
    <x v="2"/>
  </r>
  <r>
    <x v="24"/>
    <x v="24"/>
    <x v="2"/>
    <n v="5.76"/>
    <x v="1"/>
    <n v="8.5120000000000005"/>
    <x v="0"/>
  </r>
  <r>
    <x v="25"/>
    <x v="25"/>
    <x v="3"/>
    <n v="4.8989999999999991"/>
    <x v="3"/>
    <n v="5.5739999999999998"/>
    <x v="1"/>
  </r>
  <r>
    <x v="26"/>
    <x v="26"/>
    <x v="0"/>
    <n v="8.5989999999999984"/>
    <x v="0"/>
    <n v="12.161999999999999"/>
    <x v="0"/>
  </r>
  <r>
    <x v="27"/>
    <x v="27"/>
    <x v="0"/>
    <n v="8.3290000000000006"/>
    <x v="0"/>
    <n v="9.9540000000000006"/>
    <x v="0"/>
  </r>
  <r>
    <x v="28"/>
    <x v="28"/>
    <x v="0"/>
    <n v="11.04"/>
    <x v="0"/>
    <n v="7.734"/>
    <x v="0"/>
  </r>
  <r>
    <x v="29"/>
    <x v="29"/>
    <x v="0"/>
    <n v="9.6849999999999987"/>
    <x v="0"/>
    <n v="13.108000000000001"/>
    <x v="0"/>
  </r>
  <r>
    <x v="30"/>
    <x v="30"/>
    <x v="0"/>
    <n v="8.1709999999999994"/>
    <x v="0"/>
    <n v="9.1140000000000008"/>
    <x v="0"/>
  </r>
  <r>
    <x v="31"/>
    <x v="31"/>
    <x v="2"/>
    <n v="7.6719999999999997"/>
    <x v="2"/>
    <n v="8.3099999999999987"/>
    <x v="0"/>
  </r>
  <r>
    <x v="32"/>
    <x v="32"/>
    <x v="3"/>
    <n v="5.1719999999999997"/>
    <x v="3"/>
    <n v="5.63"/>
    <x v="1"/>
  </r>
  <r>
    <x v="33"/>
    <x v="33"/>
    <x v="4"/>
    <n v="5.020999999999999"/>
    <x v="3"/>
    <n v="5.4489999999999998"/>
    <x v="1"/>
  </r>
  <r>
    <x v="34"/>
    <x v="34"/>
    <x v="2"/>
    <n v="5.8360000000000003"/>
    <x v="1"/>
    <n v="7.5629999999999988"/>
    <x v="0"/>
  </r>
  <r>
    <x v="35"/>
    <x v="35"/>
    <x v="1"/>
    <n v="6.6119999999999992"/>
    <x v="2"/>
    <n v="6.1350000000000007"/>
    <x v="3"/>
  </r>
  <r>
    <x v="36"/>
    <x v="36"/>
    <x v="0"/>
    <n v="5.7610000000000001"/>
    <x v="1"/>
    <n v="10.175000000000001"/>
    <x v="0"/>
  </r>
  <r>
    <x v="37"/>
    <x v="37"/>
    <x v="0"/>
    <n v="9.4369999999999994"/>
    <x v="0"/>
    <n v="13.105000000000002"/>
    <x v="0"/>
  </r>
  <r>
    <x v="38"/>
    <x v="38"/>
    <x v="4"/>
    <n v="6.0750000000000011"/>
    <x v="1"/>
    <n v="5.9920000000000009"/>
    <x v="3"/>
  </r>
  <r>
    <x v="39"/>
    <x v="39"/>
    <x v="3"/>
    <n v="4.2189999999999994"/>
    <x v="4"/>
    <n v="5.2489999999999997"/>
    <x v="1"/>
  </r>
  <r>
    <x v="40"/>
    <x v="40"/>
    <x v="4"/>
    <n v="4.3769999999999998"/>
    <x v="4"/>
    <n v="6.09"/>
    <x v="3"/>
  </r>
  <r>
    <x v="41"/>
    <x v="41"/>
    <x v="1"/>
    <n v="4.7989999999999995"/>
    <x v="3"/>
    <n v="8.1080000000000005"/>
    <x v="0"/>
  </r>
  <r>
    <x v="42"/>
    <x v="42"/>
    <x v="0"/>
    <n v="7.3739999999999997"/>
    <x v="2"/>
    <n v="11.586000000000002"/>
    <x v="0"/>
  </r>
  <r>
    <x v="43"/>
    <x v="43"/>
    <x v="1"/>
    <n v="5.7730000000000006"/>
    <x v="1"/>
    <n v="7.2000000000000011"/>
    <x v="0"/>
  </r>
  <r>
    <x v="44"/>
    <x v="44"/>
    <x v="4"/>
    <n v="5.3249999999999993"/>
    <x v="3"/>
    <n v="4.7089999999999996"/>
    <x v="4"/>
  </r>
  <r>
    <x v="45"/>
    <x v="45"/>
    <x v="3"/>
    <n v="3.4699999999999998"/>
    <x v="4"/>
    <n v="3.8530000000000002"/>
    <x v="2"/>
  </r>
  <r>
    <x v="46"/>
    <x v="46"/>
    <x v="3"/>
    <n v="3.66"/>
    <x v="4"/>
    <n v="2.6050000000000004"/>
    <x v="2"/>
  </r>
  <r>
    <x v="47"/>
    <x v="47"/>
    <x v="1"/>
    <n v="5.4399999999999995"/>
    <x v="1"/>
    <n v="4.99"/>
    <x v="1"/>
  </r>
  <r>
    <x v="48"/>
    <x v="48"/>
    <x v="0"/>
    <n v="11.664000000000001"/>
    <x v="0"/>
    <n v="11.421000000000001"/>
    <x v="0"/>
  </r>
  <r>
    <x v="49"/>
    <x v="49"/>
    <x v="1"/>
    <n v="6.3550000000000004"/>
    <x v="1"/>
    <n v="7.726"/>
    <x v="0"/>
  </r>
  <r>
    <x v="50"/>
    <x v="50"/>
    <x v="0"/>
    <n v="7.2089999999999996"/>
    <x v="2"/>
    <n v="10.816000000000001"/>
    <x v="0"/>
  </r>
  <r>
    <x v="51"/>
    <x v="51"/>
    <x v="4"/>
    <n v="5.5330000000000004"/>
    <x v="1"/>
    <n v="6.8420000000000005"/>
    <x v="0"/>
  </r>
  <r>
    <x v="52"/>
    <x v="52"/>
    <x v="3"/>
    <n v="3.464"/>
    <x v="4"/>
    <n v="3.9540000000000002"/>
    <x v="4"/>
  </r>
  <r>
    <x v="53"/>
    <x v="53"/>
    <x v="3"/>
    <n v="3.7329999999999997"/>
    <x v="4"/>
    <n v="3.7779999999999996"/>
    <x v="2"/>
  </r>
  <r>
    <x v="54"/>
    <x v="54"/>
    <x v="0"/>
    <n v="6.4832000000000001"/>
    <x v="1"/>
    <n v="10.760199999999999"/>
    <x v="0"/>
  </r>
  <r>
    <x v="55"/>
    <x v="55"/>
    <x v="2"/>
    <n v="7.1890000000000009"/>
    <x v="2"/>
    <n v="8.41499999999999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306FB-7078-4F83-97E3-B5F8711A6D52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F28" firstHeaderRow="1" firstDataRow="2" firstDataCol="1"/>
  <pivotFields count="7">
    <pivotField axis="axisRow" compact="0" outline="0" multipleItemSelectionAllowed="1" showAll="0" defaultSubtotal="0">
      <items count="5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h="1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6">
        <item x="8"/>
        <item x="46"/>
        <item x="52"/>
        <item x="45"/>
        <item x="23"/>
        <item x="53"/>
        <item x="19"/>
        <item x="22"/>
        <item x="21"/>
        <item x="7"/>
        <item x="32"/>
        <item x="25"/>
        <item x="39"/>
        <item x="44"/>
        <item x="18"/>
        <item x="20"/>
        <item x="38"/>
        <item x="51"/>
        <item x="40"/>
        <item x="12"/>
        <item x="33"/>
        <item x="16"/>
        <item x="47"/>
        <item x="43"/>
        <item x="3"/>
        <item x="35"/>
        <item x="49"/>
        <item x="10"/>
        <item x="41"/>
        <item x="34"/>
        <item x="55"/>
        <item x="4"/>
        <item x="31"/>
        <item x="24"/>
        <item x="6"/>
        <item x="9"/>
        <item x="36"/>
        <item x="2"/>
        <item x="30"/>
        <item x="1"/>
        <item x="15"/>
        <item x="11"/>
        <item x="17"/>
        <item x="27"/>
        <item x="28"/>
        <item x="50"/>
        <item x="54"/>
        <item x="42"/>
        <item x="5"/>
        <item x="0"/>
        <item x="13"/>
        <item x="26"/>
        <item x="29"/>
        <item x="37"/>
        <item x="48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2"/>
        <item x="1"/>
        <item x="3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2"/>
        <item x="1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3"/>
        <item x="1"/>
        <item x="2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4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 of Index WY" fld="1" baseField="0" baseItem="0"/>
  </dataFields>
  <chartFormats count="6">
    <chartFormat chart="0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52F1-6F4A-4A70-9C7A-7E164AA1C725}">
  <dimension ref="A1:BG77"/>
  <sheetViews>
    <sheetView tabSelected="1" zoomScaleNormal="100" workbookViewId="0">
      <selection activeCell="T6" sqref="T6"/>
    </sheetView>
  </sheetViews>
  <sheetFormatPr defaultRowHeight="15" x14ac:dyDescent="0.25"/>
  <cols>
    <col min="8" max="10" width="8.7109375" style="5"/>
    <col min="25" max="25" width="29" style="3" customWidth="1"/>
    <col min="26" max="26" width="23.7109375" style="3" customWidth="1"/>
    <col min="27" max="27" width="9.140625" style="6"/>
    <col min="28" max="28" width="30.7109375" style="3" customWidth="1"/>
    <col min="29" max="29" width="18.140625" style="6" customWidth="1"/>
    <col min="30" max="30" width="22.28515625" style="3" customWidth="1"/>
    <col min="31" max="31" width="22.28515625" style="6" customWidth="1"/>
    <col min="32" max="32" width="30.7109375" style="6" customWidth="1"/>
    <col min="33" max="33" width="22.140625" style="3" customWidth="1"/>
    <col min="35" max="35" width="26.140625" customWidth="1"/>
    <col min="36" max="36" width="22.28515625" customWidth="1"/>
    <col min="39" max="39" width="12.5703125" customWidth="1"/>
    <col min="40" max="40" width="13.5703125" bestFit="1" customWidth="1"/>
  </cols>
  <sheetData>
    <row r="1" spans="1:59" s="1" customFormat="1" ht="15.75" thickBot="1" x14ac:dyDescent="0.3">
      <c r="A1" s="11"/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 t="s">
        <v>9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3"/>
      <c r="Z1" s="20" t="s">
        <v>64</v>
      </c>
      <c r="AA1" s="20"/>
      <c r="AB1" s="20"/>
      <c r="AC1" s="20"/>
      <c r="AD1" s="20"/>
      <c r="AE1" s="20"/>
      <c r="AF1" s="12"/>
      <c r="AG1" s="20" t="s">
        <v>65</v>
      </c>
      <c r="AH1" s="19"/>
      <c r="AI1" s="19"/>
      <c r="AJ1" s="19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</row>
    <row r="2" spans="1:59" s="2" customFormat="1" ht="15.75" thickTop="1" x14ac:dyDescent="0.25">
      <c r="A2"/>
      <c r="B2" t="s">
        <v>0</v>
      </c>
      <c r="C2" t="s">
        <v>10</v>
      </c>
      <c r="D2" t="s">
        <v>1</v>
      </c>
      <c r="E2" t="s">
        <v>2</v>
      </c>
      <c r="F2" t="s">
        <v>11</v>
      </c>
      <c r="G2" t="s">
        <v>12</v>
      </c>
      <c r="H2" t="s">
        <v>31</v>
      </c>
      <c r="I2" t="s">
        <v>32</v>
      </c>
      <c r="J2" t="s">
        <v>33</v>
      </c>
      <c r="K2" t="s">
        <v>13</v>
      </c>
      <c r="L2" t="s">
        <v>14</v>
      </c>
      <c r="M2" t="s">
        <v>28</v>
      </c>
      <c r="N2" t="s">
        <v>10</v>
      </c>
      <c r="O2" t="s">
        <v>1</v>
      </c>
      <c r="P2" t="s">
        <v>2</v>
      </c>
      <c r="Q2" t="s">
        <v>11</v>
      </c>
      <c r="R2" t="s">
        <v>12</v>
      </c>
      <c r="S2" t="s">
        <v>31</v>
      </c>
      <c r="T2" t="s">
        <v>32</v>
      </c>
      <c r="U2" t="s">
        <v>33</v>
      </c>
      <c r="V2" t="s">
        <v>13</v>
      </c>
      <c r="W2" t="s">
        <v>14</v>
      </c>
      <c r="X2" t="s">
        <v>15</v>
      </c>
      <c r="Y2" s="3"/>
      <c r="Z2" t="s">
        <v>54</v>
      </c>
      <c r="AA2" t="s">
        <v>55</v>
      </c>
      <c r="AB2" t="s">
        <v>53</v>
      </c>
      <c r="AC2" t="s">
        <v>52</v>
      </c>
      <c r="AD2" t="s">
        <v>51</v>
      </c>
      <c r="AE2" t="s">
        <v>50</v>
      </c>
      <c r="AF2" s="3"/>
      <c r="AG2" s="3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s="7" customFormat="1" x14ac:dyDescent="0.25">
      <c r="A3"/>
      <c r="B3">
        <v>1968</v>
      </c>
      <c r="C3" t="s">
        <v>16</v>
      </c>
      <c r="D3">
        <v>8.66</v>
      </c>
      <c r="E3">
        <v>4.12</v>
      </c>
      <c r="F3">
        <v>13.64</v>
      </c>
      <c r="G3">
        <v>7.24</v>
      </c>
      <c r="H3"/>
      <c r="I3"/>
      <c r="J3"/>
      <c r="K3" t="s">
        <v>17</v>
      </c>
      <c r="L3" t="s">
        <v>6</v>
      </c>
      <c r="M3">
        <v>1968</v>
      </c>
      <c r="N3" t="s">
        <v>18</v>
      </c>
      <c r="O3">
        <v>1.02</v>
      </c>
      <c r="P3">
        <v>1.85</v>
      </c>
      <c r="Q3">
        <v>2.94</v>
      </c>
      <c r="R3">
        <v>2.21</v>
      </c>
      <c r="S3"/>
      <c r="T3"/>
      <c r="U3"/>
      <c r="V3" t="s">
        <v>19</v>
      </c>
      <c r="W3" t="s">
        <v>4</v>
      </c>
      <c r="X3">
        <f>SUM(G3,R3)</f>
        <v>9.4499999999999993</v>
      </c>
      <c r="Y3" s="3"/>
      <c r="Z3"/>
      <c r="AA3"/>
      <c r="AB3"/>
      <c r="AC3"/>
      <c r="AD3"/>
      <c r="AE3"/>
      <c r="AF3" s="3"/>
      <c r="AG3" s="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ht="15.75" thickBot="1" x14ac:dyDescent="0.3">
      <c r="B4">
        <v>1969</v>
      </c>
      <c r="C4" t="s">
        <v>16</v>
      </c>
      <c r="D4">
        <v>15.33</v>
      </c>
      <c r="E4">
        <v>10.68</v>
      </c>
      <c r="F4">
        <v>26.98</v>
      </c>
      <c r="G4">
        <v>11.05</v>
      </c>
      <c r="H4">
        <f>0.4*E4+0.3*D4+0.3*MIN(10,G3)</f>
        <v>11.043000000000001</v>
      </c>
      <c r="I4">
        <f>(0.4*E4+0.3*MIN(10,G3))/H4</f>
        <v>0.58353708231458845</v>
      </c>
      <c r="J4">
        <f>(0.3*D4+0.3*MIN(10,G3))/H4</f>
        <v>0.61314860092366208</v>
      </c>
      <c r="K4" t="s">
        <v>23</v>
      </c>
      <c r="L4" t="s">
        <v>3</v>
      </c>
      <c r="M4">
        <v>1969</v>
      </c>
      <c r="N4" t="s">
        <v>18</v>
      </c>
      <c r="O4">
        <v>3.84</v>
      </c>
      <c r="P4">
        <v>8.14</v>
      </c>
      <c r="Q4">
        <v>12.29</v>
      </c>
      <c r="R4">
        <v>6.09</v>
      </c>
      <c r="S4">
        <f>0.6*P4+0.2*O4+0.2*MIN(R3, 4.5)</f>
        <v>6.0940000000000003</v>
      </c>
      <c r="T4">
        <f>(0.6*P4+0.2*MIN(R3,4.5))/S4</f>
        <v>0.8739744010502134</v>
      </c>
      <c r="U4">
        <f>(0.2*O4+0.2*MIN(R3,4.5))/S4</f>
        <v>0.19855595667870035</v>
      </c>
      <c r="V4" t="s">
        <v>23</v>
      </c>
      <c r="W4" t="s">
        <v>3</v>
      </c>
      <c r="X4">
        <f t="shared" ref="X4:X57" si="0">SUM(G4,R4)</f>
        <v>17.14</v>
      </c>
      <c r="Z4">
        <f>G4+R4</f>
        <v>17.14</v>
      </c>
      <c r="AA4" t="str">
        <f>IF(Z4&gt;=$AI$5, "Wet", IF(Z4&gt;=$AI$6, "Above Normal", IF(Z4&gt;=$AI$7, "Below Normal", IF(Z4&gt;=$AI$8, "Dry", "Critical"))))</f>
        <v>Wet</v>
      </c>
      <c r="AB4">
        <f>0.3*D4+0.3*MIN(10,G3)+0.2*O4+0.2*MIN(R3,4.5)</f>
        <v>7.9810000000000008</v>
      </c>
      <c r="AC4" t="str">
        <f>IF(AB4&gt;=$AI$11, "Wet", IF(AB4&gt;=$AI$12, "Above Normal", IF(AB4&gt;=$AI$13, "Below Normal", IF(AB4&gt;=$AI$14, "Dry", "Critical"))))</f>
        <v>Wet</v>
      </c>
      <c r="AD4">
        <f>0.4*E4+0.3*MIN(10,G3)+0.6*P4+0.2*MIN(R3,4.5)</f>
        <v>11.770000000000001</v>
      </c>
      <c r="AE4" t="str">
        <f>IF(AD4&gt;=$AI$18, "Wet", IF(AD4&gt;=$AI$19, "Above Normal", IF(AD4&gt;=$AI$20, "Below Normal", IF(AD4&gt;=$AI$21, "Dry", "Critical"))))</f>
        <v>Wet</v>
      </c>
      <c r="AF4" s="3"/>
      <c r="AG4" s="17" t="s">
        <v>56</v>
      </c>
      <c r="AH4" s="17" t="s">
        <v>57</v>
      </c>
      <c r="AI4" s="16" t="s">
        <v>34</v>
      </c>
      <c r="AJ4" s="17" t="s">
        <v>63</v>
      </c>
    </row>
    <row r="5" spans="1:59" ht="15.75" thickTop="1" x14ac:dyDescent="0.25">
      <c r="B5">
        <v>1970</v>
      </c>
      <c r="C5" t="s">
        <v>16</v>
      </c>
      <c r="D5">
        <v>18.87</v>
      </c>
      <c r="E5">
        <v>4.3499999999999996</v>
      </c>
      <c r="F5">
        <v>24.06</v>
      </c>
      <c r="G5">
        <v>10.4</v>
      </c>
      <c r="H5">
        <f>0.4*E5+0.3*D5+0.3*MIN(10,G4)</f>
        <v>10.401</v>
      </c>
      <c r="I5">
        <f>(0.4*E5+0.3*MIN(10,G4))/H5</f>
        <v>0.45572541101817138</v>
      </c>
      <c r="J5">
        <f>(0.3*D5+0.3*MIN(10,G4))/H5</f>
        <v>0.83270839342370939</v>
      </c>
      <c r="K5" t="s">
        <v>23</v>
      </c>
      <c r="L5" t="s">
        <v>3</v>
      </c>
      <c r="M5">
        <v>1970</v>
      </c>
      <c r="N5" t="s">
        <v>18</v>
      </c>
      <c r="O5">
        <v>2.5499999999999998</v>
      </c>
      <c r="P5">
        <v>2.96</v>
      </c>
      <c r="Q5">
        <v>5.61</v>
      </c>
      <c r="R5">
        <v>3.18</v>
      </c>
      <c r="S5">
        <f>0.6*P5+0.2*O5+0.2*MIN(R4, 4.5)</f>
        <v>3.1859999999999999</v>
      </c>
      <c r="T5">
        <f>(0.6*P5+0.2*MIN(R4,4.5))/S5</f>
        <v>0.83992467043314512</v>
      </c>
      <c r="U5">
        <f>(0.2*O5+0.2*MIN(R4,4.5))/S5</f>
        <v>0.44256120527306975</v>
      </c>
      <c r="V5" t="s">
        <v>24</v>
      </c>
      <c r="W5" t="s">
        <v>7</v>
      </c>
      <c r="X5">
        <f>SUM(G5,R5)</f>
        <v>13.58</v>
      </c>
      <c r="Z5">
        <f>G5+R5</f>
        <v>13.58</v>
      </c>
      <c r="AA5" t="str">
        <f>IF(Z5&gt;=$AI$5, "Wet", IF(Z5&gt;=$AI$6, "Above Normal", IF(Z5&gt;=$AI$7, "Below Normal", IF(Z5&gt;=$AI$8, "Dry", "Critical"))))</f>
        <v>Wet</v>
      </c>
      <c r="AB5">
        <f>0.3*D5+0.3*MIN(10,G4)+0.2*O5+0.2*MIN(R4,4.5)</f>
        <v>10.071000000000002</v>
      </c>
      <c r="AC5" t="str">
        <f>IF(AB5&gt;=$AI$11, "Wet", IF(AB5&gt;=$AI$12, "Above Normal", IF(AB5&gt;=$AI$13, "Below Normal", IF(AB5&gt;=$AI$14, "Dry", "Critical"))))</f>
        <v>Wet</v>
      </c>
      <c r="AD5">
        <f>0.4*E5+0.3*MIN(10,G4)+0.6*P5+0.2*MIN(R4,4.5)</f>
        <v>7.4160000000000004</v>
      </c>
      <c r="AE5" t="str">
        <f>IF(AD5&gt;=$AI$18, "Wet", IF(AD5&gt;=$AI$19, "Above Normal", IF(AD5&gt;=$AI$20, "Below Normal", IF(AD5&gt;=$AI$21, "Dry", "Critical"))))</f>
        <v>Wet</v>
      </c>
      <c r="AF5" s="3"/>
      <c r="AG5" s="15">
        <v>9.1999999999999993</v>
      </c>
      <c r="AH5" s="15">
        <v>3.8</v>
      </c>
      <c r="AI5" s="15">
        <f>SUM(AG5:AH5)</f>
        <v>13</v>
      </c>
      <c r="AJ5" s="15" t="s">
        <v>35</v>
      </c>
    </row>
    <row r="6" spans="1:59" x14ac:dyDescent="0.25">
      <c r="B6">
        <v>1971</v>
      </c>
      <c r="C6" t="s">
        <v>16</v>
      </c>
      <c r="D6">
        <v>12.71</v>
      </c>
      <c r="E6">
        <v>8.9</v>
      </c>
      <c r="F6">
        <v>22.57</v>
      </c>
      <c r="G6">
        <v>10.37</v>
      </c>
      <c r="H6">
        <f t="shared" ref="H6:H59" si="1">0.4*E6+0.3*D6+0.3*MIN(10,G5)</f>
        <v>10.373000000000001</v>
      </c>
      <c r="I6">
        <f t="shared" ref="I6:I59" si="2">(0.4*E6+0.3*MIN(10,G5))/H6</f>
        <v>0.6324110671936759</v>
      </c>
      <c r="J6">
        <f t="shared" ref="J6:J59" si="3">(0.3*D6+0.3*MIN(10,G5))/H6</f>
        <v>0.65680131109611495</v>
      </c>
      <c r="K6" t="s">
        <v>23</v>
      </c>
      <c r="L6" t="s">
        <v>3</v>
      </c>
      <c r="M6">
        <v>1971</v>
      </c>
      <c r="N6" t="s">
        <v>18</v>
      </c>
      <c r="O6">
        <v>1.56</v>
      </c>
      <c r="P6">
        <v>3.23</v>
      </c>
      <c r="Q6">
        <v>4.91</v>
      </c>
      <c r="R6">
        <v>2.89</v>
      </c>
      <c r="S6">
        <f t="shared" ref="S6:S59" si="4">0.6*P6+0.2*O6+0.2*MIN(R5, 4.5)</f>
        <v>2.8860000000000001</v>
      </c>
      <c r="T6">
        <f t="shared" ref="T6:T59" si="5">(0.6*P6+0.2*MIN(R5,4.5))/S6</f>
        <v>0.89189189189189177</v>
      </c>
      <c r="U6">
        <f t="shared" ref="U6:U59" si="6">(0.2*O6+0.2*MIN(R5,4.5))/S6</f>
        <v>0.32848232848232856</v>
      </c>
      <c r="V6" t="s">
        <v>22</v>
      </c>
      <c r="W6" t="s">
        <v>6</v>
      </c>
      <c r="X6">
        <f t="shared" si="0"/>
        <v>13.26</v>
      </c>
      <c r="Z6">
        <f>G6+R6</f>
        <v>13.26</v>
      </c>
      <c r="AA6" t="str">
        <f>IF(Z6&gt;=$AI$5, "Wet", IF(Z6&gt;=$AI$6, "Above Normal", IF(Z6&gt;=$AI$7, "Below Normal", IF(Z6&gt;=$AI$8, "Dry", "Critical"))))</f>
        <v>Wet</v>
      </c>
      <c r="AB6">
        <f>0.3*D6+0.3*MIN(10,G5)+0.2*O6+0.2*MIN(R5,4.5)</f>
        <v>7.761000000000001</v>
      </c>
      <c r="AC6" t="str">
        <f>IF(AB6&gt;=$AI$11, "Wet", IF(AB6&gt;=$AI$12, "Above Normal", IF(AB6&gt;=$AI$13, "Below Normal", IF(AB6&gt;=$AI$14, "Dry", "Critical"))))</f>
        <v>Wet</v>
      </c>
      <c r="AD6">
        <f>0.4*E6+0.3*MIN(10,G5)+0.6*P6+0.2*MIN(R5,4.5)</f>
        <v>9.1340000000000003</v>
      </c>
      <c r="AE6" t="str">
        <f>IF(AD6&gt;=$AI$18, "Wet", IF(AD6&gt;=$AI$19, "Above Normal", IF(AD6&gt;=$AI$20, "Below Normal", IF(AD6&gt;=$AI$21, "Dry", "Critical"))))</f>
        <v>Wet</v>
      </c>
      <c r="AF6" s="3"/>
      <c r="AG6" s="13">
        <v>7.8</v>
      </c>
      <c r="AH6" s="13">
        <v>3.1</v>
      </c>
      <c r="AI6" s="13">
        <f t="shared" ref="AI6:AI8" si="7">SUM(AG6:AH6)</f>
        <v>10.9</v>
      </c>
      <c r="AJ6" s="13" t="s">
        <v>7</v>
      </c>
    </row>
    <row r="7" spans="1:59" x14ac:dyDescent="0.25">
      <c r="B7">
        <v>1972</v>
      </c>
      <c r="C7" t="s">
        <v>16</v>
      </c>
      <c r="D7">
        <v>7.61</v>
      </c>
      <c r="E7">
        <v>5.0199999999999996</v>
      </c>
      <c r="F7">
        <v>13.43</v>
      </c>
      <c r="G7">
        <v>7.29</v>
      </c>
      <c r="H7">
        <f t="shared" si="1"/>
        <v>7.2910000000000004</v>
      </c>
      <c r="I7">
        <f t="shared" si="2"/>
        <v>0.68687422850089153</v>
      </c>
      <c r="J7">
        <f t="shared" si="3"/>
        <v>0.72459196269373194</v>
      </c>
      <c r="K7" t="s">
        <v>22</v>
      </c>
      <c r="L7" t="s">
        <v>6</v>
      </c>
      <c r="M7">
        <v>1972</v>
      </c>
      <c r="N7" t="s">
        <v>18</v>
      </c>
      <c r="O7">
        <v>1.25</v>
      </c>
      <c r="P7">
        <v>2.2200000000000002</v>
      </c>
      <c r="Q7">
        <v>3.57</v>
      </c>
      <c r="R7">
        <v>2.16</v>
      </c>
      <c r="S7">
        <f t="shared" si="4"/>
        <v>2.16</v>
      </c>
      <c r="T7">
        <f t="shared" si="5"/>
        <v>0.8842592592592593</v>
      </c>
      <c r="U7">
        <f t="shared" si="6"/>
        <v>0.38333333333333336</v>
      </c>
      <c r="V7" t="s">
        <v>20</v>
      </c>
      <c r="W7" t="s">
        <v>4</v>
      </c>
      <c r="X7">
        <f t="shared" si="0"/>
        <v>9.4499999999999993</v>
      </c>
      <c r="Z7">
        <f>G7+R7</f>
        <v>9.4499999999999993</v>
      </c>
      <c r="AA7" t="str">
        <f>IF(Z7&gt;=$AI$5, "Wet", IF(Z7&gt;=$AI$6, "Above Normal", IF(Z7&gt;=$AI$7, "Below Normal", IF(Z7&gt;=$AI$8, "Dry", "Critical"))))</f>
        <v>Below Normal</v>
      </c>
      <c r="AB7">
        <f>0.3*D7+0.3*MIN(10,G6)+0.2*O7+0.2*MIN(R6,4.5)</f>
        <v>6.1109999999999998</v>
      </c>
      <c r="AC7" t="str">
        <f>IF(AB7&gt;=$AI$11, "Wet", IF(AB7&gt;=$AI$12, "Above Normal", IF(AB7&gt;=$AI$13, "Below Normal", IF(AB7&gt;=$AI$14, "Dry", "Critical"))))</f>
        <v>Below Normal</v>
      </c>
      <c r="AD7">
        <f>0.4*E7+0.3*MIN(10,G6)+0.6*P7+0.2*MIN(R6,4.5)</f>
        <v>6.9180000000000001</v>
      </c>
      <c r="AE7" t="str">
        <f>IF(AD7&gt;=$AI$18, "Wet", IF(AD7&gt;=$AI$19, "Above Normal", IF(AD7&gt;=$AI$20, "Below Normal", IF(AD7&gt;=$AI$21, "Dry", "Critical"))))</f>
        <v>Wet</v>
      </c>
      <c r="AF7" s="3"/>
      <c r="AG7" s="13">
        <v>6.5</v>
      </c>
      <c r="AH7" s="13">
        <v>2.5</v>
      </c>
      <c r="AI7" s="13">
        <f t="shared" si="7"/>
        <v>9</v>
      </c>
      <c r="AJ7" s="13" t="s">
        <v>6</v>
      </c>
    </row>
    <row r="8" spans="1:59" x14ac:dyDescent="0.25">
      <c r="B8">
        <v>1973</v>
      </c>
      <c r="C8" t="s">
        <v>16</v>
      </c>
      <c r="D8">
        <v>12.8</v>
      </c>
      <c r="E8">
        <v>6.38</v>
      </c>
      <c r="F8">
        <v>20.05</v>
      </c>
      <c r="G8">
        <v>8.58</v>
      </c>
      <c r="H8">
        <f t="shared" si="1"/>
        <v>8.5789999999999988</v>
      </c>
      <c r="I8">
        <f t="shared" si="2"/>
        <v>0.55239538407739841</v>
      </c>
      <c r="J8">
        <f t="shared" si="3"/>
        <v>0.70252943233477094</v>
      </c>
      <c r="K8" t="s">
        <v>24</v>
      </c>
      <c r="L8" t="s">
        <v>7</v>
      </c>
      <c r="M8">
        <v>1973</v>
      </c>
      <c r="N8" t="s">
        <v>18</v>
      </c>
      <c r="O8">
        <v>1.87</v>
      </c>
      <c r="P8">
        <v>4.4800000000000004</v>
      </c>
      <c r="Q8">
        <v>6.47</v>
      </c>
      <c r="R8">
        <v>3.5</v>
      </c>
      <c r="S8">
        <f t="shared" si="4"/>
        <v>3.4940000000000002</v>
      </c>
      <c r="T8">
        <f t="shared" si="5"/>
        <v>0.89295935890097311</v>
      </c>
      <c r="U8">
        <f t="shared" si="6"/>
        <v>0.23068116771608471</v>
      </c>
      <c r="V8" t="s">
        <v>24</v>
      </c>
      <c r="W8" t="s">
        <v>7</v>
      </c>
      <c r="X8">
        <f t="shared" si="0"/>
        <v>12.08</v>
      </c>
      <c r="Z8">
        <f>G8+R8</f>
        <v>12.08</v>
      </c>
      <c r="AA8" t="str">
        <f>IF(Z8&gt;=$AI$5, "Wet", IF(Z8&gt;=$AI$6, "Above Normal", IF(Z8&gt;=$AI$7, "Below Normal", IF(Z8&gt;=$AI$8, "Dry", "Critical"))))</f>
        <v>Above Normal</v>
      </c>
      <c r="AB8">
        <f>0.3*D8+0.3*MIN(10,G7)+0.2*O8+0.2*MIN(R7,4.5)</f>
        <v>6.8329999999999993</v>
      </c>
      <c r="AC8" t="str">
        <f>IF(AB8&gt;=$AI$11, "Wet", IF(AB8&gt;=$AI$12, "Above Normal", IF(AB8&gt;=$AI$13, "Below Normal", IF(AB8&gt;=$AI$14, "Dry", "Critical"))))</f>
        <v>Above Normal</v>
      </c>
      <c r="AD8">
        <f>0.4*E8+0.3*MIN(10,G7)+0.6*P8+0.2*MIN(R7,4.5)</f>
        <v>7.859</v>
      </c>
      <c r="AE8" t="str">
        <f>IF(AD8&gt;=$AI$18, "Wet", IF(AD8&gt;=$AI$19, "Above Normal", IF(AD8&gt;=$AI$20, "Below Normal", IF(AD8&gt;=$AI$21, "Dry", "Critical"))))</f>
        <v>Wet</v>
      </c>
      <c r="AF8" s="3"/>
      <c r="AG8" s="13">
        <v>5.4</v>
      </c>
      <c r="AH8" s="13">
        <v>2.1</v>
      </c>
      <c r="AI8" s="13">
        <f t="shared" si="7"/>
        <v>7.5</v>
      </c>
      <c r="AJ8" s="13" t="s">
        <v>36</v>
      </c>
    </row>
    <row r="9" spans="1:59" x14ac:dyDescent="0.25">
      <c r="B9">
        <v>1974</v>
      </c>
      <c r="C9" t="s">
        <v>16</v>
      </c>
      <c r="D9">
        <v>21.69</v>
      </c>
      <c r="E9">
        <v>9.7799999999999994</v>
      </c>
      <c r="F9">
        <v>32.5</v>
      </c>
      <c r="G9">
        <v>12.99</v>
      </c>
      <c r="H9">
        <f t="shared" si="1"/>
        <v>12.993</v>
      </c>
      <c r="I9">
        <f t="shared" si="2"/>
        <v>0.4991918725467559</v>
      </c>
      <c r="J9">
        <f t="shared" si="3"/>
        <v>0.6989148002770722</v>
      </c>
      <c r="K9" t="s">
        <v>23</v>
      </c>
      <c r="L9" t="s">
        <v>3</v>
      </c>
      <c r="M9">
        <v>1974</v>
      </c>
      <c r="N9" t="s">
        <v>18</v>
      </c>
      <c r="O9">
        <v>2.4300000000000002</v>
      </c>
      <c r="P9">
        <v>4.53</v>
      </c>
      <c r="Q9">
        <v>7.12</v>
      </c>
      <c r="R9">
        <v>3.9</v>
      </c>
      <c r="S9">
        <f t="shared" si="4"/>
        <v>3.9040000000000004</v>
      </c>
      <c r="T9">
        <f t="shared" si="5"/>
        <v>0.87551229508196715</v>
      </c>
      <c r="U9">
        <f t="shared" si="6"/>
        <v>0.30379098360655737</v>
      </c>
      <c r="V9" t="s">
        <v>23</v>
      </c>
      <c r="W9" t="s">
        <v>3</v>
      </c>
      <c r="X9">
        <f t="shared" si="0"/>
        <v>16.89</v>
      </c>
      <c r="Z9">
        <f>G9+R9</f>
        <v>16.89</v>
      </c>
      <c r="AA9" t="str">
        <f>IF(Z9&gt;=$AI$5, "Wet", IF(Z9&gt;=$AI$6, "Above Normal", IF(Z9&gt;=$AI$7, "Below Normal", IF(Z9&gt;=$AI$8, "Dry", "Critical"))))</f>
        <v>Wet</v>
      </c>
      <c r="AB9">
        <f>0.3*D9+0.3*MIN(10,G8)+0.2*O9+0.2*MIN(R8,4.5)</f>
        <v>10.266999999999999</v>
      </c>
      <c r="AC9" t="str">
        <f>IF(AB9&gt;=$AI$11, "Wet", IF(AB9&gt;=$AI$12, "Above Normal", IF(AB9&gt;=$AI$13, "Below Normal", IF(AB9&gt;=$AI$14, "Dry", "Critical"))))</f>
        <v>Wet</v>
      </c>
      <c r="AD9">
        <f>0.4*E9+0.3*MIN(10,G8)+0.6*P9+0.2*MIN(R8,4.5)</f>
        <v>9.9039999999999999</v>
      </c>
      <c r="AE9" t="str">
        <f>IF(AD9&gt;=$AI$18, "Wet", IF(AD9&gt;=$AI$19, "Above Normal", IF(AD9&gt;=$AI$20, "Below Normal", IF(AD9&gt;=$AI$21, "Dry", "Critical"))))</f>
        <v>Wet</v>
      </c>
      <c r="AF9" s="3"/>
      <c r="AG9" s="13"/>
      <c r="AH9" s="13"/>
      <c r="AI9" s="13"/>
      <c r="AJ9" s="13" t="s">
        <v>37</v>
      </c>
    </row>
    <row r="10" spans="1:59" ht="15.75" thickBot="1" x14ac:dyDescent="0.3">
      <c r="B10">
        <v>1975</v>
      </c>
      <c r="C10" t="s">
        <v>16</v>
      </c>
      <c r="D10">
        <v>9.24</v>
      </c>
      <c r="E10">
        <v>8.9499999999999993</v>
      </c>
      <c r="F10">
        <v>19.23</v>
      </c>
      <c r="G10">
        <v>9.35</v>
      </c>
      <c r="H10">
        <f t="shared" si="1"/>
        <v>9.3520000000000003</v>
      </c>
      <c r="I10">
        <f t="shared" si="2"/>
        <v>0.70359281437125742</v>
      </c>
      <c r="J10">
        <f t="shared" si="3"/>
        <v>0.61719418306244656</v>
      </c>
      <c r="K10" t="s">
        <v>23</v>
      </c>
      <c r="L10" t="s">
        <v>3</v>
      </c>
      <c r="M10">
        <v>1975</v>
      </c>
      <c r="N10" t="s">
        <v>18</v>
      </c>
      <c r="O10">
        <v>1.37</v>
      </c>
      <c r="P10">
        <v>4.6500000000000004</v>
      </c>
      <c r="Q10">
        <v>6.18</v>
      </c>
      <c r="R10">
        <v>3.85</v>
      </c>
      <c r="S10">
        <f t="shared" si="4"/>
        <v>3.8440000000000003</v>
      </c>
      <c r="T10">
        <f t="shared" si="5"/>
        <v>0.92872008324661814</v>
      </c>
      <c r="U10">
        <f t="shared" si="6"/>
        <v>0.27419354838709675</v>
      </c>
      <c r="V10" t="s">
        <v>23</v>
      </c>
      <c r="W10" t="s">
        <v>3</v>
      </c>
      <c r="X10">
        <f t="shared" si="0"/>
        <v>13.2</v>
      </c>
      <c r="Z10">
        <f>G10+R10</f>
        <v>13.2</v>
      </c>
      <c r="AA10" t="str">
        <f>IF(Z10&gt;=$AI$5, "Wet", IF(Z10&gt;=$AI$6, "Above Normal", IF(Z10&gt;=$AI$7, "Below Normal", IF(Z10&gt;=$AI$8, "Dry", "Critical"))))</f>
        <v>Wet</v>
      </c>
      <c r="AB10">
        <f>0.3*D10+0.3*MIN(10,G9)+0.2*O10+0.2*MIN(R9,4.5)</f>
        <v>6.8260000000000005</v>
      </c>
      <c r="AC10" t="str">
        <f>IF(AB10&gt;=$AI$11, "Wet", IF(AB10&gt;=$AI$12, "Above Normal", IF(AB10&gt;=$AI$13, "Below Normal", IF(AB10&gt;=$AI$14, "Dry", "Critical"))))</f>
        <v>Above Normal</v>
      </c>
      <c r="AD10">
        <f>0.4*E10+0.3*MIN(10,G9)+0.6*P10+0.2*MIN(R9,4.5)</f>
        <v>10.15</v>
      </c>
      <c r="AE10" t="str">
        <f>IF(AD10&gt;=$AI$18, "Wet", IF(AD10&gt;=$AI$19, "Above Normal", IF(AD10&gt;=$AI$20, "Below Normal", IF(AD10&gt;=$AI$21, "Dry", "Critical"))))</f>
        <v>Wet</v>
      </c>
      <c r="AF10" s="3"/>
      <c r="AG10" s="17" t="s">
        <v>58</v>
      </c>
      <c r="AH10" s="17" t="s">
        <v>59</v>
      </c>
      <c r="AI10" s="17" t="s">
        <v>61</v>
      </c>
      <c r="AJ10" s="17" t="s">
        <v>63</v>
      </c>
    </row>
    <row r="11" spans="1:59" ht="15.75" thickTop="1" x14ac:dyDescent="0.25">
      <c r="B11">
        <v>1976</v>
      </c>
      <c r="C11" t="s">
        <v>16</v>
      </c>
      <c r="D11">
        <v>4.63</v>
      </c>
      <c r="E11">
        <v>2.75</v>
      </c>
      <c r="F11">
        <v>8.1999999999999993</v>
      </c>
      <c r="G11">
        <v>5.29</v>
      </c>
      <c r="H11">
        <f t="shared" si="1"/>
        <v>5.2939999999999996</v>
      </c>
      <c r="I11">
        <f t="shared" si="2"/>
        <v>0.73762750283339629</v>
      </c>
      <c r="J11">
        <f t="shared" si="3"/>
        <v>0.79221760483566306</v>
      </c>
      <c r="K11" t="s">
        <v>21</v>
      </c>
      <c r="L11" t="s">
        <v>25</v>
      </c>
      <c r="M11">
        <v>1976</v>
      </c>
      <c r="N11" t="s">
        <v>18</v>
      </c>
      <c r="O11">
        <v>0.78</v>
      </c>
      <c r="P11">
        <v>1.07</v>
      </c>
      <c r="Q11">
        <v>1.97</v>
      </c>
      <c r="R11">
        <v>1.57</v>
      </c>
      <c r="S11">
        <f t="shared" si="4"/>
        <v>1.5680000000000001</v>
      </c>
      <c r="T11">
        <f t="shared" si="5"/>
        <v>0.90051020408163251</v>
      </c>
      <c r="U11">
        <f t="shared" si="6"/>
        <v>0.59056122448979598</v>
      </c>
      <c r="V11" t="s">
        <v>21</v>
      </c>
      <c r="W11" t="s">
        <v>5</v>
      </c>
      <c r="X11">
        <f t="shared" si="0"/>
        <v>6.86</v>
      </c>
      <c r="Z11">
        <f>G11+R11</f>
        <v>6.86</v>
      </c>
      <c r="AA11" t="str">
        <f>IF(Z11&gt;=$AI$5, "Wet", IF(Z11&gt;=$AI$6, "Above Normal", IF(Z11&gt;=$AI$7, "Below Normal", IF(Z11&gt;=$AI$8, "Dry", "Critical"))))</f>
        <v>Critical</v>
      </c>
      <c r="AB11">
        <f>0.3*D11+0.3*MIN(10,G10)+0.2*O11+0.2*MIN(R10,4.5)</f>
        <v>5.1199999999999992</v>
      </c>
      <c r="AC11" t="str">
        <f>IF(AB11&gt;=$AI$11, "Wet", IF(AB11&gt;=$AI$12, "Above Normal", IF(AB11&gt;=$AI$13, "Below Normal", IF(AB11&gt;=$AI$14, "Dry", "Critical"))))</f>
        <v>Dry</v>
      </c>
      <c r="AD11">
        <f>0.4*E11+0.3*MIN(10,G10)+0.6*P11+0.2*MIN(R10,4.5)</f>
        <v>5.3170000000000002</v>
      </c>
      <c r="AE11" t="str">
        <f>IF(AD11&gt;=$AI$18, "Wet", IF(AD11&gt;=$AI$19, "Above Normal", IF(AD11&gt;=$AI$20, "Below Normal", IF(AD11&gt;=$AI$21, "Dry", "Critical"))))</f>
        <v>Below Normal</v>
      </c>
      <c r="AF11" s="3"/>
      <c r="AG11" s="15">
        <f>0.7*AG5</f>
        <v>6.4399999999999995</v>
      </c>
      <c r="AH11" s="15">
        <f>0.34*AH5</f>
        <v>1.292</v>
      </c>
      <c r="AI11" s="15">
        <f>SUM(AG11:AH11)</f>
        <v>7.7319999999999993</v>
      </c>
      <c r="AJ11" s="15" t="s">
        <v>35</v>
      </c>
    </row>
    <row r="12" spans="1:59" x14ac:dyDescent="0.25">
      <c r="B12">
        <v>1977</v>
      </c>
      <c r="C12" t="s">
        <v>16</v>
      </c>
      <c r="D12">
        <v>2.4900000000000002</v>
      </c>
      <c r="E12">
        <v>1.93</v>
      </c>
      <c r="F12">
        <v>5.12</v>
      </c>
      <c r="G12">
        <v>3.11</v>
      </c>
      <c r="H12">
        <f t="shared" si="1"/>
        <v>3.1059999999999999</v>
      </c>
      <c r="I12">
        <f t="shared" si="2"/>
        <v>0.75949774629748878</v>
      </c>
      <c r="J12">
        <f t="shared" si="3"/>
        <v>0.75144880875724407</v>
      </c>
      <c r="K12" t="s">
        <v>21</v>
      </c>
      <c r="L12" t="s">
        <v>25</v>
      </c>
      <c r="M12">
        <v>1977</v>
      </c>
      <c r="N12" t="s">
        <v>18</v>
      </c>
      <c r="O12">
        <v>0.22</v>
      </c>
      <c r="P12">
        <v>0.8</v>
      </c>
      <c r="Q12">
        <v>1.05</v>
      </c>
      <c r="R12">
        <v>0.84</v>
      </c>
      <c r="S12">
        <f t="shared" si="4"/>
        <v>0.83800000000000008</v>
      </c>
      <c r="T12">
        <f t="shared" si="5"/>
        <v>0.94749403341288774</v>
      </c>
      <c r="U12">
        <f t="shared" si="6"/>
        <v>0.42720763723150357</v>
      </c>
      <c r="V12" t="s">
        <v>21</v>
      </c>
      <c r="W12" t="s">
        <v>5</v>
      </c>
      <c r="X12">
        <f t="shared" si="0"/>
        <v>3.9499999999999997</v>
      </c>
      <c r="Z12">
        <f>G12+R12</f>
        <v>3.9499999999999997</v>
      </c>
      <c r="AA12" t="str">
        <f>IF(Z12&gt;=$AI$5, "Wet", IF(Z12&gt;=$AI$6, "Above Normal", IF(Z12&gt;=$AI$7, "Below Normal", IF(Z12&gt;=$AI$8, "Dry", "Critical"))))</f>
        <v>Critical</v>
      </c>
      <c r="AB12">
        <f>0.3*D12+0.3*MIN(10,G11)+0.2*O12+0.2*MIN(R11,4.5)</f>
        <v>2.6920000000000002</v>
      </c>
      <c r="AC12" t="str">
        <f>IF(AB12&gt;=$AI$11, "Wet", IF(AB12&gt;=$AI$12, "Above Normal", IF(AB12&gt;=$AI$13, "Below Normal", IF(AB12&gt;=$AI$14, "Dry", "Critical"))))</f>
        <v>Critical</v>
      </c>
      <c r="AD12">
        <f>0.4*E12+0.3*MIN(10,G11)+0.6*P12+0.2*MIN(R11,4.5)</f>
        <v>3.153</v>
      </c>
      <c r="AE12" t="str">
        <f>IF(AD12&gt;=$AI$18, "Wet", IF(AD12&gt;=$AI$19, "Above Normal", IF(AD12&gt;=$AI$20, "Below Normal", IF(AD12&gt;=$AI$21, "Dry", "Critical"))))</f>
        <v>Critical</v>
      </c>
      <c r="AF12" s="3"/>
      <c r="AG12" s="13">
        <f t="shared" ref="AG12:AG14" si="8">0.7*AG6</f>
        <v>5.46</v>
      </c>
      <c r="AH12" s="13">
        <f t="shared" ref="AH12:AH14" si="9">0.34*AH6</f>
        <v>1.054</v>
      </c>
      <c r="AI12" s="13">
        <f t="shared" ref="AI12:AI14" si="10">SUM(AG12:AH12)</f>
        <v>6.5140000000000002</v>
      </c>
      <c r="AJ12" s="13" t="s">
        <v>7</v>
      </c>
    </row>
    <row r="13" spans="1:59" x14ac:dyDescent="0.25">
      <c r="B13">
        <v>1978</v>
      </c>
      <c r="C13" t="s">
        <v>16</v>
      </c>
      <c r="D13">
        <v>14.9</v>
      </c>
      <c r="E13">
        <v>8.1199999999999992</v>
      </c>
      <c r="F13">
        <v>23.92</v>
      </c>
      <c r="G13">
        <v>8.65</v>
      </c>
      <c r="H13">
        <f t="shared" si="1"/>
        <v>8.6509999999999998</v>
      </c>
      <c r="I13">
        <f t="shared" si="2"/>
        <v>0.48329672870188417</v>
      </c>
      <c r="J13">
        <f t="shared" si="3"/>
        <v>0.62455207490463527</v>
      </c>
      <c r="K13" t="s">
        <v>24</v>
      </c>
      <c r="L13" t="s">
        <v>7</v>
      </c>
      <c r="M13">
        <v>1978</v>
      </c>
      <c r="N13" t="s">
        <v>18</v>
      </c>
      <c r="O13">
        <v>2.57</v>
      </c>
      <c r="P13">
        <v>6.5</v>
      </c>
      <c r="Q13">
        <v>9.65</v>
      </c>
      <c r="R13">
        <v>4.58</v>
      </c>
      <c r="S13">
        <f t="shared" si="4"/>
        <v>4.5819999999999999</v>
      </c>
      <c r="T13">
        <f t="shared" si="5"/>
        <v>0.88782191182889558</v>
      </c>
      <c r="U13">
        <f t="shared" si="6"/>
        <v>0.14884329986905284</v>
      </c>
      <c r="V13" t="s">
        <v>23</v>
      </c>
      <c r="W13" t="s">
        <v>3</v>
      </c>
      <c r="X13">
        <f t="shared" si="0"/>
        <v>13.23</v>
      </c>
      <c r="Z13">
        <f>G13+R13</f>
        <v>13.23</v>
      </c>
      <c r="AA13" t="str">
        <f>IF(Z13&gt;=$AI$5, "Wet", IF(Z13&gt;=$AI$6, "Above Normal", IF(Z13&gt;=$AI$7, "Below Normal", IF(Z13&gt;=$AI$8, "Dry", "Critical"))))</f>
        <v>Wet</v>
      </c>
      <c r="AB13">
        <f>0.3*D13+0.3*MIN(10,G12)+0.2*O13+0.2*MIN(R12,4.5)</f>
        <v>6.085</v>
      </c>
      <c r="AC13" t="str">
        <f>IF(AB13&gt;=$AI$11, "Wet", IF(AB13&gt;=$AI$12, "Above Normal", IF(AB13&gt;=$AI$13, "Below Normal", IF(AB13&gt;=$AI$14, "Dry", "Critical"))))</f>
        <v>Below Normal</v>
      </c>
      <c r="AD13">
        <f>0.4*E13+0.3*MIN(10,G12)+0.6*P13+0.2*MIN(R12,4.5)</f>
        <v>8.2489999999999988</v>
      </c>
      <c r="AE13" t="str">
        <f>IF(AD13&gt;=$AI$18, "Wet", IF(AD13&gt;=$AI$19, "Above Normal", IF(AD13&gt;=$AI$20, "Below Normal", IF(AD13&gt;=$AI$21, "Dry", "Critical"))))</f>
        <v>Wet</v>
      </c>
      <c r="AF13" s="3"/>
      <c r="AG13" s="13">
        <f t="shared" si="8"/>
        <v>4.55</v>
      </c>
      <c r="AH13" s="13">
        <f t="shared" si="9"/>
        <v>0.85000000000000009</v>
      </c>
      <c r="AI13" s="13">
        <f t="shared" si="10"/>
        <v>5.4</v>
      </c>
      <c r="AJ13" s="13" t="s">
        <v>6</v>
      </c>
    </row>
    <row r="14" spans="1:59" x14ac:dyDescent="0.25">
      <c r="B14">
        <v>1979</v>
      </c>
      <c r="C14" t="s">
        <v>16</v>
      </c>
      <c r="D14">
        <v>6.06</v>
      </c>
      <c r="E14">
        <v>5.64</v>
      </c>
      <c r="F14">
        <v>12.41</v>
      </c>
      <c r="G14">
        <v>6.67</v>
      </c>
      <c r="H14">
        <f t="shared" si="1"/>
        <v>6.6690000000000005</v>
      </c>
      <c r="I14">
        <f t="shared" si="2"/>
        <v>0.7273954116059379</v>
      </c>
      <c r="J14">
        <f t="shared" si="3"/>
        <v>0.66171839856050385</v>
      </c>
      <c r="K14" t="s">
        <v>22</v>
      </c>
      <c r="L14" t="s">
        <v>6</v>
      </c>
      <c r="M14">
        <v>1979</v>
      </c>
      <c r="N14" t="s">
        <v>18</v>
      </c>
      <c r="O14">
        <v>1.87</v>
      </c>
      <c r="P14">
        <v>3.99</v>
      </c>
      <c r="Q14">
        <v>5.98</v>
      </c>
      <c r="R14">
        <v>3.67</v>
      </c>
      <c r="S14">
        <f t="shared" si="4"/>
        <v>3.6680000000000001</v>
      </c>
      <c r="T14">
        <f t="shared" si="5"/>
        <v>0.89803707742639038</v>
      </c>
      <c r="U14">
        <f t="shared" si="6"/>
        <v>0.34732824427480913</v>
      </c>
      <c r="V14" t="s">
        <v>24</v>
      </c>
      <c r="W14" t="s">
        <v>7</v>
      </c>
      <c r="X14">
        <f t="shared" si="0"/>
        <v>10.34</v>
      </c>
      <c r="Z14">
        <f>G14+R14</f>
        <v>10.34</v>
      </c>
      <c r="AA14" t="str">
        <f>IF(Z14&gt;=$AI$5, "Wet", IF(Z14&gt;=$AI$6, "Above Normal", IF(Z14&gt;=$AI$7, "Below Normal", IF(Z14&gt;=$AI$8, "Dry", "Critical"))))</f>
        <v>Below Normal</v>
      </c>
      <c r="AB14">
        <f>0.3*D14+0.3*MIN(10,G13)+0.2*O14+0.2*MIN(R13,4.5)</f>
        <v>5.6870000000000003</v>
      </c>
      <c r="AC14" t="str">
        <f>IF(AB14&gt;=$AI$11, "Wet", IF(AB14&gt;=$AI$12, "Above Normal", IF(AB14&gt;=$AI$13, "Below Normal", IF(AB14&gt;=$AI$14, "Dry", "Critical"))))</f>
        <v>Below Normal</v>
      </c>
      <c r="AD14">
        <f>0.4*E14+0.3*MIN(10,G13)+0.6*P14+0.2*MIN(R13,4.5)</f>
        <v>8.1449999999999996</v>
      </c>
      <c r="AE14" t="str">
        <f>IF(AD14&gt;=$AI$18, "Wet", IF(AD14&gt;=$AI$19, "Above Normal", IF(AD14&gt;=$AI$20, "Below Normal", IF(AD14&gt;=$AI$21, "Dry", "Critical"))))</f>
        <v>Wet</v>
      </c>
      <c r="AF14" s="3"/>
      <c r="AG14" s="13">
        <f t="shared" si="8"/>
        <v>3.78</v>
      </c>
      <c r="AH14" s="13">
        <f t="shared" si="9"/>
        <v>0.71400000000000008</v>
      </c>
      <c r="AI14" s="13">
        <f t="shared" si="10"/>
        <v>4.4939999999999998</v>
      </c>
      <c r="AJ14" s="13" t="s">
        <v>36</v>
      </c>
    </row>
    <row r="15" spans="1:59" x14ac:dyDescent="0.25">
      <c r="B15">
        <v>1980</v>
      </c>
      <c r="C15" t="s">
        <v>16</v>
      </c>
      <c r="D15">
        <v>15.49</v>
      </c>
      <c r="E15">
        <v>6</v>
      </c>
      <c r="F15">
        <v>22.33</v>
      </c>
      <c r="G15">
        <v>9.0399999999999991</v>
      </c>
      <c r="H15">
        <f t="shared" si="1"/>
        <v>9.048</v>
      </c>
      <c r="I15">
        <f t="shared" si="2"/>
        <v>0.48640583554376654</v>
      </c>
      <c r="J15">
        <f t="shared" si="3"/>
        <v>0.73474801061007955</v>
      </c>
      <c r="K15" t="s">
        <v>24</v>
      </c>
      <c r="L15" t="s">
        <v>7</v>
      </c>
      <c r="M15">
        <v>1980</v>
      </c>
      <c r="N15" t="s">
        <v>18</v>
      </c>
      <c r="O15">
        <v>3.74</v>
      </c>
      <c r="P15">
        <v>5.41</v>
      </c>
      <c r="Q15">
        <v>9.4700000000000006</v>
      </c>
      <c r="R15">
        <v>4.7300000000000004</v>
      </c>
      <c r="S15">
        <f t="shared" si="4"/>
        <v>4.7279999999999998</v>
      </c>
      <c r="T15">
        <f t="shared" si="5"/>
        <v>0.84179357021996615</v>
      </c>
      <c r="U15">
        <f t="shared" si="6"/>
        <v>0.31345177664974627</v>
      </c>
      <c r="V15" t="s">
        <v>23</v>
      </c>
      <c r="W15" t="s">
        <v>3</v>
      </c>
      <c r="X15">
        <f t="shared" si="0"/>
        <v>13.77</v>
      </c>
      <c r="Z15">
        <f>G15+R15</f>
        <v>13.77</v>
      </c>
      <c r="AA15" t="str">
        <f>IF(Z15&gt;=$AI$5, "Wet", IF(Z15&gt;=$AI$6, "Above Normal", IF(Z15&gt;=$AI$7, "Below Normal", IF(Z15&gt;=$AI$8, "Dry", "Critical"))))</f>
        <v>Wet</v>
      </c>
      <c r="AB15">
        <f>0.3*D15+0.3*MIN(10,G14)+0.2*O15+0.2*MIN(R14,4.5)</f>
        <v>8.129999999999999</v>
      </c>
      <c r="AC15" t="str">
        <f>IF(AB15&gt;=$AI$11, "Wet", IF(AB15&gt;=$AI$12, "Above Normal", IF(AB15&gt;=$AI$13, "Below Normal", IF(AB15&gt;=$AI$14, "Dry", "Critical"))))</f>
        <v>Wet</v>
      </c>
      <c r="AD15">
        <f>0.4*E15+0.3*MIN(10,G14)+0.6*P15+0.2*MIN(R14,4.5)</f>
        <v>8.3810000000000002</v>
      </c>
      <c r="AE15" t="str">
        <f>IF(AD15&gt;=$AI$18, "Wet", IF(AD15&gt;=$AI$19, "Above Normal", IF(AD15&gt;=$AI$20, "Below Normal", IF(AD15&gt;=$AI$21, "Dry", "Critical"))))</f>
        <v>Wet</v>
      </c>
      <c r="AF15" s="3"/>
      <c r="AG15" s="13"/>
      <c r="AH15" s="13"/>
      <c r="AI15" s="13"/>
      <c r="AJ15" s="13" t="s">
        <v>37</v>
      </c>
    </row>
    <row r="16" spans="1:59" x14ac:dyDescent="0.25">
      <c r="B16">
        <v>1981</v>
      </c>
      <c r="C16" t="s">
        <v>16</v>
      </c>
      <c r="D16">
        <v>6.81</v>
      </c>
      <c r="E16">
        <v>3.63</v>
      </c>
      <c r="F16">
        <v>11.1</v>
      </c>
      <c r="G16">
        <v>6.21</v>
      </c>
      <c r="H16">
        <f t="shared" si="1"/>
        <v>6.206999999999999</v>
      </c>
      <c r="I16">
        <f t="shared" si="2"/>
        <v>0.67085548574190434</v>
      </c>
      <c r="J16">
        <f t="shared" si="3"/>
        <v>0.76607056549057517</v>
      </c>
      <c r="K16" t="s">
        <v>20</v>
      </c>
      <c r="L16" t="s">
        <v>4</v>
      </c>
      <c r="M16">
        <v>1981</v>
      </c>
      <c r="N16" t="s">
        <v>18</v>
      </c>
      <c r="O16">
        <v>0.85</v>
      </c>
      <c r="P16">
        <v>2.29</v>
      </c>
      <c r="Q16">
        <v>3.22</v>
      </c>
      <c r="R16">
        <v>2.44</v>
      </c>
      <c r="S16">
        <f t="shared" si="4"/>
        <v>2.444</v>
      </c>
      <c r="T16">
        <f t="shared" si="5"/>
        <v>0.93044189852700498</v>
      </c>
      <c r="U16">
        <f t="shared" si="6"/>
        <v>0.43780687397708679</v>
      </c>
      <c r="V16" t="s">
        <v>20</v>
      </c>
      <c r="W16" t="s">
        <v>4</v>
      </c>
      <c r="X16">
        <f t="shared" si="0"/>
        <v>8.65</v>
      </c>
      <c r="Z16">
        <f>G16+R16</f>
        <v>8.65</v>
      </c>
      <c r="AA16" t="str">
        <f>IF(Z16&gt;=$AI$5, "Wet", IF(Z16&gt;=$AI$6, "Above Normal", IF(Z16&gt;=$AI$7, "Below Normal", IF(Z16&gt;=$AI$8, "Dry", "Critical"))))</f>
        <v>Dry</v>
      </c>
      <c r="AB16">
        <f>0.3*D16+0.3*MIN(10,G15)+0.2*O16+0.2*MIN(R15,4.5)</f>
        <v>5.8249999999999993</v>
      </c>
      <c r="AC16" t="str">
        <f>IF(AB16&gt;=$AI$11, "Wet", IF(AB16&gt;=$AI$12, "Above Normal", IF(AB16&gt;=$AI$13, "Below Normal", IF(AB16&gt;=$AI$14, "Dry", "Critical"))))</f>
        <v>Below Normal</v>
      </c>
      <c r="AD16">
        <f>0.4*E16+0.3*MIN(10,G15)+0.6*P16+0.2*MIN(R15,4.5)</f>
        <v>6.4379999999999997</v>
      </c>
      <c r="AE16" t="str">
        <f>IF(AD16&gt;=$AI$18, "Wet", IF(AD16&gt;=$AI$19, "Above Normal", IF(AD16&gt;=$AI$20, "Below Normal", IF(AD16&gt;=$AI$21, "Dry", "Critical"))))</f>
        <v>Above Normal</v>
      </c>
      <c r="AF16" s="3"/>
      <c r="AG16" s="13"/>
      <c r="AH16" s="13"/>
      <c r="AI16" s="13"/>
      <c r="AJ16" s="13"/>
    </row>
    <row r="17" spans="2:36" x14ac:dyDescent="0.25">
      <c r="B17">
        <v>1982</v>
      </c>
      <c r="C17" t="s">
        <v>16</v>
      </c>
      <c r="D17">
        <v>20.56</v>
      </c>
      <c r="E17">
        <v>11.82</v>
      </c>
      <c r="F17">
        <v>33.409999999999997</v>
      </c>
      <c r="G17">
        <v>12.76</v>
      </c>
      <c r="H17">
        <f t="shared" si="1"/>
        <v>12.759</v>
      </c>
      <c r="I17">
        <f t="shared" si="2"/>
        <v>0.51657653421114513</v>
      </c>
      <c r="J17">
        <f t="shared" si="3"/>
        <v>0.62943804373383483</v>
      </c>
      <c r="K17" t="s">
        <v>23</v>
      </c>
      <c r="L17" t="s">
        <v>3</v>
      </c>
      <c r="M17">
        <v>1982</v>
      </c>
      <c r="N17" t="s">
        <v>18</v>
      </c>
      <c r="O17">
        <v>3.78</v>
      </c>
      <c r="P17">
        <v>7</v>
      </c>
      <c r="Q17">
        <v>11.41</v>
      </c>
      <c r="R17">
        <v>5.45</v>
      </c>
      <c r="S17">
        <f t="shared" si="4"/>
        <v>5.4440000000000008</v>
      </c>
      <c r="T17">
        <f t="shared" si="5"/>
        <v>0.86113152094048495</v>
      </c>
      <c r="U17">
        <f t="shared" si="6"/>
        <v>0.22850844966936074</v>
      </c>
      <c r="V17" t="s">
        <v>23</v>
      </c>
      <c r="W17" t="s">
        <v>3</v>
      </c>
      <c r="X17">
        <f t="shared" si="0"/>
        <v>18.21</v>
      </c>
      <c r="Z17">
        <f>G17+R17</f>
        <v>18.21</v>
      </c>
      <c r="AA17" t="str">
        <f>IF(Z17&gt;=$AI$5, "Wet", IF(Z17&gt;=$AI$6, "Above Normal", IF(Z17&gt;=$AI$7, "Below Normal", IF(Z17&gt;=$AI$8, "Dry", "Critical"))))</f>
        <v>Wet</v>
      </c>
      <c r="AB17">
        <f>0.3*D17+0.3*MIN(10,G16)+0.2*O17+0.2*MIN(R16,4.5)</f>
        <v>9.2749999999999986</v>
      </c>
      <c r="AC17" t="str">
        <f>IF(AB17&gt;=$AI$11, "Wet", IF(AB17&gt;=$AI$12, "Above Normal", IF(AB17&gt;=$AI$13, "Below Normal", IF(AB17&gt;=$AI$14, "Dry", "Critical"))))</f>
        <v>Wet</v>
      </c>
      <c r="AD17">
        <f>0.4*E17+0.3*MIN(10,G16)+0.6*P17+0.2*MIN(R16,4.5)</f>
        <v>11.279</v>
      </c>
      <c r="AE17" t="str">
        <f>IF(AD17&gt;=$AI$18, "Wet", IF(AD17&gt;=$AI$19, "Above Normal", IF(AD17&gt;=$AI$20, "Below Normal", IF(AD17&gt;=$AI$21, "Dry", "Critical"))))</f>
        <v>Wet</v>
      </c>
      <c r="AF17" s="3"/>
      <c r="AG17" s="14" t="s">
        <v>60</v>
      </c>
      <c r="AH17" s="14" t="s">
        <v>59</v>
      </c>
      <c r="AI17" s="14" t="s">
        <v>62</v>
      </c>
      <c r="AJ17" s="14" t="s">
        <v>63</v>
      </c>
    </row>
    <row r="18" spans="2:36" x14ac:dyDescent="0.25">
      <c r="B18">
        <v>1983</v>
      </c>
      <c r="C18" t="s">
        <v>16</v>
      </c>
      <c r="D18">
        <v>22.75</v>
      </c>
      <c r="E18">
        <v>13.66</v>
      </c>
      <c r="F18">
        <v>37.68</v>
      </c>
      <c r="G18">
        <v>15.29</v>
      </c>
      <c r="H18">
        <f t="shared" si="1"/>
        <v>15.289000000000001</v>
      </c>
      <c r="I18">
        <f t="shared" si="2"/>
        <v>0.55360062790241349</v>
      </c>
      <c r="J18">
        <f t="shared" si="3"/>
        <v>0.64261887631630576</v>
      </c>
      <c r="K18" t="s">
        <v>23</v>
      </c>
      <c r="L18" t="s">
        <v>3</v>
      </c>
      <c r="M18">
        <v>1983</v>
      </c>
      <c r="N18" t="s">
        <v>18</v>
      </c>
      <c r="O18">
        <v>5.42</v>
      </c>
      <c r="P18">
        <v>8.73</v>
      </c>
      <c r="Q18">
        <v>15.01</v>
      </c>
      <c r="R18">
        <v>7.22</v>
      </c>
      <c r="S18">
        <f t="shared" si="4"/>
        <v>7.2220000000000013</v>
      </c>
      <c r="T18">
        <f t="shared" si="5"/>
        <v>0.84990307394073661</v>
      </c>
      <c r="U18">
        <f t="shared" si="6"/>
        <v>0.27471614511215725</v>
      </c>
      <c r="V18" t="s">
        <v>23</v>
      </c>
      <c r="W18" t="s">
        <v>3</v>
      </c>
      <c r="X18">
        <f t="shared" si="0"/>
        <v>22.509999999999998</v>
      </c>
      <c r="Z18">
        <f>G18+R18</f>
        <v>22.509999999999998</v>
      </c>
      <c r="AA18" t="str">
        <f>IF(Z18&gt;=$AI$5, "Wet", IF(Z18&gt;=$AI$6, "Above Normal", IF(Z18&gt;=$AI$7, "Below Normal", IF(Z18&gt;=$AI$8, "Dry", "Critical"))))</f>
        <v>Wet</v>
      </c>
      <c r="AB18">
        <f>0.3*D18+0.3*MIN(10,G17)+0.2*O18+0.2*MIN(R17,4.5)</f>
        <v>11.808999999999999</v>
      </c>
      <c r="AC18" t="str">
        <f>IF(AB18&gt;=$AI$11, "Wet", IF(AB18&gt;=$AI$12, "Above Normal", IF(AB18&gt;=$AI$13, "Below Normal", IF(AB18&gt;=$AI$14, "Dry", "Critical"))))</f>
        <v>Wet</v>
      </c>
      <c r="AD18">
        <f>0.4*E18+0.3*MIN(10,G17)+0.6*P18+0.2*MIN(R17,4.5)</f>
        <v>14.602000000000002</v>
      </c>
      <c r="AE18" t="str">
        <f>IF(AD18&gt;=$AI$18, "Wet", IF(AD18&gt;=$AI$19, "Above Normal", IF(AD18&gt;=$AI$20, "Below Normal", IF(AD18&gt;=$AI$21, "Dry", "Critical"))))</f>
        <v>Wet</v>
      </c>
      <c r="AF18" s="3"/>
      <c r="AG18" s="13">
        <f>0.61*AG5</f>
        <v>5.6119999999999992</v>
      </c>
      <c r="AH18" s="13">
        <f>0.88*AH11</f>
        <v>1.13696</v>
      </c>
      <c r="AI18" s="13">
        <f>SUM(AG18:AH18)</f>
        <v>6.7489599999999994</v>
      </c>
      <c r="AJ18" s="13" t="s">
        <v>35</v>
      </c>
    </row>
    <row r="19" spans="2:36" x14ac:dyDescent="0.25">
      <c r="B19">
        <v>1984</v>
      </c>
      <c r="C19" t="s">
        <v>16</v>
      </c>
      <c r="D19">
        <v>15.98</v>
      </c>
      <c r="E19">
        <v>5.52</v>
      </c>
      <c r="F19">
        <v>22.35</v>
      </c>
      <c r="G19">
        <v>10</v>
      </c>
      <c r="H19">
        <f t="shared" si="1"/>
        <v>10.001999999999999</v>
      </c>
      <c r="I19">
        <f t="shared" si="2"/>
        <v>0.52069586082783448</v>
      </c>
      <c r="J19">
        <f t="shared" si="3"/>
        <v>0.77924415116976609</v>
      </c>
      <c r="K19" t="s">
        <v>23</v>
      </c>
      <c r="L19" t="s">
        <v>3</v>
      </c>
      <c r="M19">
        <v>1984</v>
      </c>
      <c r="N19" t="s">
        <v>18</v>
      </c>
      <c r="O19">
        <v>3.51</v>
      </c>
      <c r="P19">
        <v>3.48</v>
      </c>
      <c r="Q19">
        <v>7.13</v>
      </c>
      <c r="R19">
        <v>3.69</v>
      </c>
      <c r="S19">
        <f t="shared" si="4"/>
        <v>3.69</v>
      </c>
      <c r="T19">
        <f t="shared" si="5"/>
        <v>0.80975609756097566</v>
      </c>
      <c r="U19">
        <f t="shared" si="6"/>
        <v>0.43414634146341463</v>
      </c>
      <c r="V19" t="s">
        <v>24</v>
      </c>
      <c r="W19" t="s">
        <v>7</v>
      </c>
      <c r="X19">
        <f t="shared" si="0"/>
        <v>13.69</v>
      </c>
      <c r="Z19">
        <f>G19+R19</f>
        <v>13.69</v>
      </c>
      <c r="AA19" t="str">
        <f>IF(Z19&gt;=$AI$5, "Wet", IF(Z19&gt;=$AI$6, "Above Normal", IF(Z19&gt;=$AI$7, "Below Normal", IF(Z19&gt;=$AI$8, "Dry", "Critical"))))</f>
        <v>Wet</v>
      </c>
      <c r="AB19">
        <f>0.3*D19+0.3*MIN(10,G18)+0.2*O19+0.2*MIN(R18,4.5)</f>
        <v>9.395999999999999</v>
      </c>
      <c r="AC19" t="str">
        <f>IF(AB19&gt;=$AI$11, "Wet", IF(AB19&gt;=$AI$12, "Above Normal", IF(AB19&gt;=$AI$13, "Below Normal", IF(AB19&gt;=$AI$14, "Dry", "Critical"))))</f>
        <v>Wet</v>
      </c>
      <c r="AD19">
        <f>0.4*E19+0.3*MIN(10,G18)+0.6*P19+0.2*MIN(R18,4.5)</f>
        <v>8.1959999999999997</v>
      </c>
      <c r="AE19" t="str">
        <f>IF(AD19&gt;=$AI$18, "Wet", IF(AD19&gt;=$AI$19, "Above Normal", IF(AD19&gt;=$AI$20, "Below Normal", IF(AD19&gt;=$AI$21, "Dry", "Critical"))))</f>
        <v>Wet</v>
      </c>
      <c r="AF19" s="3"/>
      <c r="AG19" s="13">
        <f t="shared" ref="AG19:AG21" si="11">0.61*AG6</f>
        <v>4.758</v>
      </c>
      <c r="AH19" s="13">
        <f t="shared" ref="AH19:AH21" si="12">0.88*AH12</f>
        <v>0.92752000000000001</v>
      </c>
      <c r="AI19" s="13">
        <f t="shared" ref="AI19:AI21" si="13">SUM(AG19:AH19)</f>
        <v>5.6855200000000004</v>
      </c>
      <c r="AJ19" s="13" t="s">
        <v>7</v>
      </c>
    </row>
    <row r="20" spans="2:36" x14ac:dyDescent="0.25">
      <c r="B20">
        <v>1985</v>
      </c>
      <c r="C20" t="s">
        <v>16</v>
      </c>
      <c r="D20">
        <v>6.24</v>
      </c>
      <c r="E20">
        <v>4</v>
      </c>
      <c r="F20">
        <v>11.04</v>
      </c>
      <c r="G20">
        <v>6.47</v>
      </c>
      <c r="H20">
        <f t="shared" si="1"/>
        <v>6.4719999999999995</v>
      </c>
      <c r="I20">
        <f t="shared" si="2"/>
        <v>0.71075401730531518</v>
      </c>
      <c r="J20">
        <f t="shared" si="3"/>
        <v>0.75278121137206433</v>
      </c>
      <c r="K20" t="s">
        <v>20</v>
      </c>
      <c r="L20" t="s">
        <v>4</v>
      </c>
      <c r="M20">
        <v>1985</v>
      </c>
      <c r="N20" t="s">
        <v>18</v>
      </c>
      <c r="O20">
        <v>1.1100000000000001</v>
      </c>
      <c r="P20">
        <v>2.41</v>
      </c>
      <c r="Q20">
        <v>3.6</v>
      </c>
      <c r="R20">
        <v>2.4</v>
      </c>
      <c r="S20">
        <f t="shared" si="4"/>
        <v>2.4059999999999997</v>
      </c>
      <c r="T20">
        <f t="shared" si="5"/>
        <v>0.90773067331670843</v>
      </c>
      <c r="U20">
        <f t="shared" si="6"/>
        <v>0.39900249376558605</v>
      </c>
      <c r="V20" t="s">
        <v>20</v>
      </c>
      <c r="W20" t="s">
        <v>4</v>
      </c>
      <c r="X20">
        <f t="shared" si="0"/>
        <v>8.8699999999999992</v>
      </c>
      <c r="Z20">
        <f>G20+R20</f>
        <v>8.8699999999999992</v>
      </c>
      <c r="AA20" t="str">
        <f>IF(Z20&gt;=$AI$5, "Wet", IF(Z20&gt;=$AI$6, "Above Normal", IF(Z20&gt;=$AI$7, "Below Normal", IF(Z20&gt;=$AI$8, "Dry", "Critical"))))</f>
        <v>Dry</v>
      </c>
      <c r="AB20">
        <f>0.3*D20+0.3*MIN(10,G19)+0.2*O20+0.2*MIN(R19,4.5)</f>
        <v>5.8320000000000007</v>
      </c>
      <c r="AC20" t="str">
        <f>IF(AB20&gt;=$AI$11, "Wet", IF(AB20&gt;=$AI$12, "Above Normal", IF(AB20&gt;=$AI$13, "Below Normal", IF(AB20&gt;=$AI$14, "Dry", "Critical"))))</f>
        <v>Below Normal</v>
      </c>
      <c r="AD20">
        <f>0.4*E20+0.3*MIN(10,G19)+0.6*P20+0.2*MIN(R19,4.5)</f>
        <v>6.7839999999999989</v>
      </c>
      <c r="AE20" t="str">
        <f>IF(AD20&gt;=$AI$18, "Wet", IF(AD20&gt;=$AI$19, "Above Normal", IF(AD20&gt;=$AI$20, "Below Normal", IF(AD20&gt;=$AI$21, "Dry", "Critical"))))</f>
        <v>Wet</v>
      </c>
      <c r="AF20" s="3"/>
      <c r="AG20" s="13">
        <f t="shared" si="11"/>
        <v>3.9649999999999999</v>
      </c>
      <c r="AH20" s="13">
        <f t="shared" si="12"/>
        <v>0.74800000000000011</v>
      </c>
      <c r="AI20" s="13">
        <f t="shared" si="13"/>
        <v>4.7130000000000001</v>
      </c>
      <c r="AJ20" s="13" t="s">
        <v>6</v>
      </c>
    </row>
    <row r="21" spans="2:36" x14ac:dyDescent="0.25">
      <c r="B21">
        <v>1986</v>
      </c>
      <c r="C21" t="s">
        <v>16</v>
      </c>
      <c r="D21">
        <v>19.45</v>
      </c>
      <c r="E21">
        <v>5.45</v>
      </c>
      <c r="F21">
        <v>25.83</v>
      </c>
      <c r="G21">
        <v>9.9600000000000009</v>
      </c>
      <c r="H21">
        <f t="shared" si="1"/>
        <v>9.9559999999999995</v>
      </c>
      <c r="I21">
        <f t="shared" si="2"/>
        <v>0.4139212535154681</v>
      </c>
      <c r="J21">
        <f t="shared" si="3"/>
        <v>0.78103656086781836</v>
      </c>
      <c r="K21" t="s">
        <v>23</v>
      </c>
      <c r="L21" t="s">
        <v>3</v>
      </c>
      <c r="M21">
        <v>1986</v>
      </c>
      <c r="N21" t="s">
        <v>18</v>
      </c>
      <c r="O21">
        <v>4.3600000000000003</v>
      </c>
      <c r="P21">
        <v>4.92</v>
      </c>
      <c r="Q21">
        <v>9.5</v>
      </c>
      <c r="R21">
        <v>4.3099999999999996</v>
      </c>
      <c r="S21">
        <f t="shared" si="4"/>
        <v>4.3040000000000003</v>
      </c>
      <c r="T21">
        <f t="shared" si="5"/>
        <v>0.79739776951672858</v>
      </c>
      <c r="U21">
        <f t="shared" si="6"/>
        <v>0.31412639405204462</v>
      </c>
      <c r="V21" t="s">
        <v>23</v>
      </c>
      <c r="W21" t="s">
        <v>3</v>
      </c>
      <c r="X21">
        <f t="shared" si="0"/>
        <v>14.27</v>
      </c>
      <c r="Z21">
        <f>G21+R21</f>
        <v>14.27</v>
      </c>
      <c r="AA21" t="str">
        <f>IF(Z21&gt;=$AI$5, "Wet", IF(Z21&gt;=$AI$6, "Above Normal", IF(Z21&gt;=$AI$7, "Below Normal", IF(Z21&gt;=$AI$8, "Dry", "Critical"))))</f>
        <v>Wet</v>
      </c>
      <c r="AB21">
        <f>0.3*D21+0.3*MIN(10,G20)+0.2*O21+0.2*MIN(R20,4.5)</f>
        <v>9.1280000000000001</v>
      </c>
      <c r="AC21" t="str">
        <f>IF(AB21&gt;=$AI$11, "Wet", IF(AB21&gt;=$AI$12, "Above Normal", IF(AB21&gt;=$AI$13, "Below Normal", IF(AB21&gt;=$AI$14, "Dry", "Critical"))))</f>
        <v>Wet</v>
      </c>
      <c r="AD21">
        <f>0.4*E21+0.3*MIN(10,G20)+0.6*P21+0.2*MIN(R20,4.5)</f>
        <v>7.5530000000000008</v>
      </c>
      <c r="AE21" t="str">
        <f>IF(AD21&gt;=$AI$18, "Wet", IF(AD21&gt;=$AI$19, "Above Normal", IF(AD21&gt;=$AI$20, "Below Normal", IF(AD21&gt;=$AI$21, "Dry", "Critical"))))</f>
        <v>Wet</v>
      </c>
      <c r="AF21" s="3"/>
      <c r="AG21" s="13">
        <f t="shared" si="11"/>
        <v>3.294</v>
      </c>
      <c r="AH21" s="13">
        <f t="shared" si="12"/>
        <v>0.6283200000000001</v>
      </c>
      <c r="AI21" s="13">
        <f t="shared" si="13"/>
        <v>3.92232</v>
      </c>
      <c r="AJ21" s="13" t="s">
        <v>36</v>
      </c>
    </row>
    <row r="22" spans="2:36" x14ac:dyDescent="0.25">
      <c r="B22">
        <v>1987</v>
      </c>
      <c r="C22" t="s">
        <v>16</v>
      </c>
      <c r="D22">
        <v>5.85</v>
      </c>
      <c r="E22">
        <v>2.8</v>
      </c>
      <c r="F22">
        <v>9.27</v>
      </c>
      <c r="G22">
        <v>5.86</v>
      </c>
      <c r="H22">
        <f t="shared" si="1"/>
        <v>5.8629999999999995</v>
      </c>
      <c r="I22">
        <f t="shared" si="2"/>
        <v>0.70066518847006654</v>
      </c>
      <c r="J22">
        <f t="shared" si="3"/>
        <v>0.80897151628858954</v>
      </c>
      <c r="K22" t="s">
        <v>20</v>
      </c>
      <c r="L22" t="s">
        <v>4</v>
      </c>
      <c r="M22">
        <v>1987</v>
      </c>
      <c r="N22" t="s">
        <v>18</v>
      </c>
      <c r="O22">
        <v>0.55000000000000004</v>
      </c>
      <c r="P22">
        <v>1.48</v>
      </c>
      <c r="Q22">
        <v>2.08</v>
      </c>
      <c r="R22">
        <v>1.86</v>
      </c>
      <c r="S22">
        <f t="shared" si="4"/>
        <v>1.8599999999999999</v>
      </c>
      <c r="T22">
        <f t="shared" si="5"/>
        <v>0.94086021505376349</v>
      </c>
      <c r="U22">
        <f t="shared" si="6"/>
        <v>0.52258064516129032</v>
      </c>
      <c r="V22" t="s">
        <v>21</v>
      </c>
      <c r="W22" t="s">
        <v>5</v>
      </c>
      <c r="X22">
        <f t="shared" si="0"/>
        <v>7.7200000000000006</v>
      </c>
      <c r="Z22">
        <f>G22+R22</f>
        <v>7.7200000000000006</v>
      </c>
      <c r="AA22" t="str">
        <f>IF(Z22&gt;=$AI$5, "Wet", IF(Z22&gt;=$AI$6, "Above Normal", IF(Z22&gt;=$AI$7, "Below Normal", IF(Z22&gt;=$AI$8, "Dry", "Critical"))))</f>
        <v>Dry</v>
      </c>
      <c r="AB22">
        <f>0.3*D22+0.3*MIN(10,G21)+0.2*O22+0.2*MIN(R21,4.5)</f>
        <v>5.7150000000000007</v>
      </c>
      <c r="AC22" t="str">
        <f>IF(AB22&gt;=$AI$11, "Wet", IF(AB22&gt;=$AI$12, "Above Normal", IF(AB22&gt;=$AI$13, "Below Normal", IF(AB22&gt;=$AI$14, "Dry", "Critical"))))</f>
        <v>Below Normal</v>
      </c>
      <c r="AD22">
        <f>0.4*E22+0.3*MIN(10,G21)+0.6*P22+0.2*MIN(R21,4.5)</f>
        <v>5.8579999999999997</v>
      </c>
      <c r="AE22" t="str">
        <f>IF(AD22&gt;=$AI$18, "Wet", IF(AD22&gt;=$AI$19, "Above Normal", IF(AD22&gt;=$AI$20, "Below Normal", IF(AD22&gt;=$AI$21, "Dry", "Critical"))))</f>
        <v>Above Normal</v>
      </c>
      <c r="AF22" s="3"/>
      <c r="AG22" s="13"/>
      <c r="AH22" s="13"/>
      <c r="AI22" s="13"/>
      <c r="AJ22" s="13" t="s">
        <v>37</v>
      </c>
    </row>
    <row r="23" spans="2:36" x14ac:dyDescent="0.25">
      <c r="B23">
        <v>1988</v>
      </c>
      <c r="C23" t="s">
        <v>16</v>
      </c>
      <c r="D23">
        <v>5.78</v>
      </c>
      <c r="E23">
        <v>2.9</v>
      </c>
      <c r="F23">
        <v>9.23</v>
      </c>
      <c r="G23">
        <v>4.6500000000000004</v>
      </c>
      <c r="H23">
        <f t="shared" si="1"/>
        <v>4.6520000000000001</v>
      </c>
      <c r="I23">
        <f t="shared" si="2"/>
        <v>0.62725709372312988</v>
      </c>
      <c r="J23">
        <f t="shared" si="3"/>
        <v>0.75064488392089423</v>
      </c>
      <c r="K23" t="s">
        <v>21</v>
      </c>
      <c r="L23" t="s">
        <v>5</v>
      </c>
      <c r="M23">
        <v>1988</v>
      </c>
      <c r="N23" t="s">
        <v>18</v>
      </c>
      <c r="O23">
        <v>0.86</v>
      </c>
      <c r="P23">
        <v>1.55</v>
      </c>
      <c r="Q23">
        <v>2.48</v>
      </c>
      <c r="R23">
        <v>1.48</v>
      </c>
      <c r="S23">
        <f t="shared" si="4"/>
        <v>1.474</v>
      </c>
      <c r="T23">
        <f t="shared" si="5"/>
        <v>0.88331071913161474</v>
      </c>
      <c r="U23">
        <f t="shared" si="6"/>
        <v>0.36906377204884672</v>
      </c>
      <c r="V23" t="s">
        <v>21</v>
      </c>
      <c r="W23" t="s">
        <v>5</v>
      </c>
      <c r="X23">
        <f t="shared" si="0"/>
        <v>6.1300000000000008</v>
      </c>
      <c r="Z23">
        <f>G23+R23</f>
        <v>6.1300000000000008</v>
      </c>
      <c r="AA23" t="str">
        <f>IF(Z23&gt;=$AI$5, "Wet", IF(Z23&gt;=$AI$6, "Above Normal", IF(Z23&gt;=$AI$7, "Below Normal", IF(Z23&gt;=$AI$8, "Dry", "Critical"))))</f>
        <v>Critical</v>
      </c>
      <c r="AB23">
        <f>0.3*D23+0.3*MIN(10,G22)+0.2*O23+0.2*MIN(R22,4.5)</f>
        <v>4.0360000000000005</v>
      </c>
      <c r="AC23" t="str">
        <f>IF(AB23&gt;=$AI$11, "Wet", IF(AB23&gt;=$AI$12, "Above Normal", IF(AB23&gt;=$AI$13, "Below Normal", IF(AB23&gt;=$AI$14, "Dry", "Critical"))))</f>
        <v>Critical</v>
      </c>
      <c r="AD23">
        <f>0.4*E23+0.3*MIN(10,G22)+0.6*P23+0.2*MIN(R22,4.5)</f>
        <v>4.22</v>
      </c>
      <c r="AE23" t="str">
        <f>IF(AD23&gt;=$AI$18, "Wet", IF(AD23&gt;=$AI$19, "Above Normal", IF(AD23&gt;=$AI$20, "Below Normal", IF(AD23&gt;=$AI$21, "Dry", "Critical"))))</f>
        <v>Dry</v>
      </c>
      <c r="AF23" s="3"/>
    </row>
    <row r="24" spans="2:36" x14ac:dyDescent="0.25">
      <c r="B24">
        <v>1989</v>
      </c>
      <c r="C24" t="s">
        <v>16</v>
      </c>
      <c r="D24">
        <v>9.0299999999999994</v>
      </c>
      <c r="E24">
        <v>5.07</v>
      </c>
      <c r="F24">
        <v>14.82</v>
      </c>
      <c r="G24">
        <v>6.13</v>
      </c>
      <c r="H24">
        <f t="shared" si="1"/>
        <v>6.1319999999999997</v>
      </c>
      <c r="I24">
        <f t="shared" si="2"/>
        <v>0.55821917808219179</v>
      </c>
      <c r="J24">
        <f t="shared" si="3"/>
        <v>0.669275929549902</v>
      </c>
      <c r="K24" t="s">
        <v>20</v>
      </c>
      <c r="L24" t="s">
        <v>4</v>
      </c>
      <c r="M24">
        <v>1989</v>
      </c>
      <c r="N24" t="s">
        <v>18</v>
      </c>
      <c r="O24">
        <v>1.07</v>
      </c>
      <c r="P24">
        <v>2.42</v>
      </c>
      <c r="Q24">
        <v>3.56</v>
      </c>
      <c r="R24">
        <v>1.96</v>
      </c>
      <c r="S24">
        <f t="shared" si="4"/>
        <v>1.962</v>
      </c>
      <c r="T24">
        <f t="shared" si="5"/>
        <v>0.89092762487257904</v>
      </c>
      <c r="U24">
        <f t="shared" si="6"/>
        <v>0.25993883792048933</v>
      </c>
      <c r="V24" t="s">
        <v>21</v>
      </c>
      <c r="W24" t="s">
        <v>5</v>
      </c>
      <c r="X24">
        <f t="shared" si="0"/>
        <v>8.09</v>
      </c>
      <c r="Z24">
        <f>G24+R24</f>
        <v>8.09</v>
      </c>
      <c r="AA24" t="str">
        <f>IF(Z24&gt;=$AI$5, "Wet", IF(Z24&gt;=$AI$6, "Above Normal", IF(Z24&gt;=$AI$7, "Below Normal", IF(Z24&gt;=$AI$8, "Dry", "Critical"))))</f>
        <v>Dry</v>
      </c>
      <c r="AB24">
        <f>0.3*D24+0.3*MIN(10,G23)+0.2*O24+0.2*MIN(R23,4.5)</f>
        <v>4.6139999999999999</v>
      </c>
      <c r="AC24" t="str">
        <f>IF(AB24&gt;=$AI$11, "Wet", IF(AB24&gt;=$AI$12, "Above Normal", IF(AB24&gt;=$AI$13, "Below Normal", IF(AB24&gt;=$AI$14, "Dry", "Critical"))))</f>
        <v>Dry</v>
      </c>
      <c r="AD24">
        <f>0.4*E24+0.3*MIN(10,G23)+0.6*P24+0.2*MIN(R23,4.5)</f>
        <v>5.1710000000000003</v>
      </c>
      <c r="AE24" t="str">
        <f>IF(AD24&gt;=$AI$18, "Wet", IF(AD24&gt;=$AI$19, "Above Normal", IF(AD24&gt;=$AI$20, "Below Normal", IF(AD24&gt;=$AI$21, "Dry", "Critical"))))</f>
        <v>Below Normal</v>
      </c>
      <c r="AF24" s="3"/>
    </row>
    <row r="25" spans="2:36" x14ac:dyDescent="0.25">
      <c r="B25">
        <v>1990</v>
      </c>
      <c r="C25" t="s">
        <v>16</v>
      </c>
      <c r="D25">
        <v>4.9400000000000004</v>
      </c>
      <c r="E25">
        <v>3.72</v>
      </c>
      <c r="F25">
        <v>9.26</v>
      </c>
      <c r="G25">
        <v>4.8099999999999996</v>
      </c>
      <c r="H25">
        <f t="shared" si="1"/>
        <v>4.8090000000000002</v>
      </c>
      <c r="I25">
        <f t="shared" si="2"/>
        <v>0.69182782283218958</v>
      </c>
      <c r="J25">
        <f t="shared" si="3"/>
        <v>0.69058016219588259</v>
      </c>
      <c r="K25" t="s">
        <v>21</v>
      </c>
      <c r="L25" t="s">
        <v>5</v>
      </c>
      <c r="M25">
        <v>1990</v>
      </c>
      <c r="N25" t="s">
        <v>18</v>
      </c>
      <c r="O25">
        <v>0.83</v>
      </c>
      <c r="P25">
        <v>1.59</v>
      </c>
      <c r="Q25">
        <v>2.46</v>
      </c>
      <c r="R25">
        <v>1.51</v>
      </c>
      <c r="S25">
        <f t="shared" si="4"/>
        <v>1.512</v>
      </c>
      <c r="T25">
        <f t="shared" si="5"/>
        <v>0.89021164021164023</v>
      </c>
      <c r="U25">
        <f t="shared" si="6"/>
        <v>0.36904761904761907</v>
      </c>
      <c r="V25" t="s">
        <v>21</v>
      </c>
      <c r="W25" t="s">
        <v>5</v>
      </c>
      <c r="X25">
        <f t="shared" si="0"/>
        <v>6.3199999999999994</v>
      </c>
      <c r="Z25">
        <f>G25+R25</f>
        <v>6.3199999999999994</v>
      </c>
      <c r="AA25" t="str">
        <f>IF(Z25&gt;=$AI$5, "Wet", IF(Z25&gt;=$AI$6, "Above Normal", IF(Z25&gt;=$AI$7, "Below Normal", IF(Z25&gt;=$AI$8, "Dry", "Critical"))))</f>
        <v>Critical</v>
      </c>
      <c r="AB25">
        <f>0.3*D25+0.3*MIN(10,G24)+0.2*O25+0.2*MIN(R24,4.5)</f>
        <v>3.8789999999999996</v>
      </c>
      <c r="AC25" t="str">
        <f>IF(AB25&gt;=$AI$11, "Wet", IF(AB25&gt;=$AI$12, "Above Normal", IF(AB25&gt;=$AI$13, "Below Normal", IF(AB25&gt;=$AI$14, "Dry", "Critical"))))</f>
        <v>Critical</v>
      </c>
      <c r="AD25">
        <f>0.4*E25+0.3*MIN(10,G24)+0.6*P25+0.2*MIN(R24,4.5)</f>
        <v>4.673</v>
      </c>
      <c r="AE25" t="str">
        <f>IF(AD25&gt;=$AI$18, "Wet", IF(AD25&gt;=$AI$19, "Above Normal", IF(AD25&gt;=$AI$20, "Below Normal", IF(AD25&gt;=$AI$21, "Dry", "Critical"))))</f>
        <v>Dry</v>
      </c>
      <c r="AF25" s="3"/>
    </row>
    <row r="26" spans="2:36" x14ac:dyDescent="0.25">
      <c r="B26">
        <v>1991</v>
      </c>
      <c r="C26" t="s">
        <v>16</v>
      </c>
      <c r="D26">
        <v>3.9</v>
      </c>
      <c r="E26">
        <v>4.01</v>
      </c>
      <c r="F26">
        <v>8.44</v>
      </c>
      <c r="G26">
        <v>4.21</v>
      </c>
      <c r="H26">
        <f t="shared" si="1"/>
        <v>4.2169999999999996</v>
      </c>
      <c r="I26">
        <f t="shared" si="2"/>
        <v>0.7225515769504387</v>
      </c>
      <c r="J26">
        <f t="shared" si="3"/>
        <v>0.61963481147735355</v>
      </c>
      <c r="K26" t="s">
        <v>21</v>
      </c>
      <c r="L26" t="s">
        <v>5</v>
      </c>
      <c r="M26">
        <v>1991</v>
      </c>
      <c r="N26" t="s">
        <v>18</v>
      </c>
      <c r="O26">
        <v>0.56000000000000005</v>
      </c>
      <c r="P26">
        <v>2.57</v>
      </c>
      <c r="Q26">
        <v>3.2</v>
      </c>
      <c r="R26">
        <v>1.96</v>
      </c>
      <c r="S26">
        <f t="shared" si="4"/>
        <v>1.956</v>
      </c>
      <c r="T26">
        <f t="shared" si="5"/>
        <v>0.94274028629856843</v>
      </c>
      <c r="U26">
        <f t="shared" si="6"/>
        <v>0.21165644171779144</v>
      </c>
      <c r="V26" t="s">
        <v>21</v>
      </c>
      <c r="W26" t="s">
        <v>5</v>
      </c>
      <c r="X26">
        <f t="shared" si="0"/>
        <v>6.17</v>
      </c>
      <c r="Z26">
        <f>G26+R26</f>
        <v>6.17</v>
      </c>
      <c r="AA26" t="str">
        <f>IF(Z26&gt;=$AI$5, "Wet", IF(Z26&gt;=$AI$6, "Above Normal", IF(Z26&gt;=$AI$7, "Below Normal", IF(Z26&gt;=$AI$8, "Dry", "Critical"))))</f>
        <v>Critical</v>
      </c>
      <c r="AB26">
        <f>0.3*D26+0.3*MIN(10,G25)+0.2*O26+0.2*MIN(R25,4.5)</f>
        <v>3.0269999999999997</v>
      </c>
      <c r="AC26" t="str">
        <f>IF(AB26&gt;=$AI$11, "Wet", IF(AB26&gt;=$AI$12, "Above Normal", IF(AB26&gt;=$AI$13, "Below Normal", IF(AB26&gt;=$AI$14, "Dry", "Critical"))))</f>
        <v>Critical</v>
      </c>
      <c r="AD26">
        <f>0.4*E26+0.3*MIN(10,G25)+0.6*P26+0.2*MIN(R25,4.5)</f>
        <v>4.891</v>
      </c>
      <c r="AE26" t="str">
        <f>IF(AD26&gt;=$AI$18, "Wet", IF(AD26&gt;=$AI$19, "Above Normal", IF(AD26&gt;=$AI$20, "Below Normal", IF(AD26&gt;=$AI$21, "Dry", "Critical"))))</f>
        <v>Below Normal</v>
      </c>
      <c r="AF26" s="3"/>
    </row>
    <row r="27" spans="2:36" x14ac:dyDescent="0.25">
      <c r="B27">
        <v>1992</v>
      </c>
      <c r="C27" t="s">
        <v>16</v>
      </c>
      <c r="D27">
        <v>5.41</v>
      </c>
      <c r="E27">
        <v>2.93</v>
      </c>
      <c r="F27">
        <v>8.8699999999999992</v>
      </c>
      <c r="G27">
        <v>4.0599999999999996</v>
      </c>
      <c r="H27">
        <f t="shared" si="1"/>
        <v>4.0579999999999998</v>
      </c>
      <c r="I27">
        <f t="shared" si="2"/>
        <v>0.60004928536224744</v>
      </c>
      <c r="J27">
        <f t="shared" si="3"/>
        <v>0.71118777723016269</v>
      </c>
      <c r="K27" t="s">
        <v>21</v>
      </c>
      <c r="L27" t="s">
        <v>5</v>
      </c>
      <c r="M27">
        <v>1992</v>
      </c>
      <c r="N27" t="s">
        <v>18</v>
      </c>
      <c r="O27">
        <v>0.86</v>
      </c>
      <c r="P27">
        <v>1.66</v>
      </c>
      <c r="Q27">
        <v>2.58</v>
      </c>
      <c r="R27">
        <v>1.56</v>
      </c>
      <c r="S27">
        <f t="shared" si="4"/>
        <v>1.56</v>
      </c>
      <c r="T27">
        <f t="shared" si="5"/>
        <v>0.88974358974358969</v>
      </c>
      <c r="U27">
        <f t="shared" si="6"/>
        <v>0.36153846153846159</v>
      </c>
      <c r="V27" t="s">
        <v>21</v>
      </c>
      <c r="W27" t="s">
        <v>5</v>
      </c>
      <c r="X27">
        <f t="shared" si="0"/>
        <v>5.6199999999999992</v>
      </c>
      <c r="Z27">
        <f>G27+R27</f>
        <v>5.6199999999999992</v>
      </c>
      <c r="AA27" t="str">
        <f>IF(Z27&gt;=$AI$5, "Wet", IF(Z27&gt;=$AI$6, "Above Normal", IF(Z27&gt;=$AI$7, "Below Normal", IF(Z27&gt;=$AI$8, "Dry", "Critical"))))</f>
        <v>Critical</v>
      </c>
      <c r="AB27">
        <f>0.3*D27+0.3*MIN(10,G26)+0.2*O27+0.2*MIN(R26,4.5)</f>
        <v>3.45</v>
      </c>
      <c r="AC27" t="str">
        <f>IF(AB27&gt;=$AI$11, "Wet", IF(AB27&gt;=$AI$12, "Above Normal", IF(AB27&gt;=$AI$13, "Below Normal", IF(AB27&gt;=$AI$14, "Dry", "Critical"))))</f>
        <v>Critical</v>
      </c>
      <c r="AD27">
        <f>0.4*E27+0.3*MIN(10,G26)+0.6*P27+0.2*MIN(R26,4.5)</f>
        <v>3.823</v>
      </c>
      <c r="AE27" t="str">
        <f>IF(AD27&gt;=$AI$18, "Wet", IF(AD27&gt;=$AI$19, "Above Normal", IF(AD27&gt;=$AI$20, "Below Normal", IF(AD27&gt;=$AI$21, "Dry", "Critical"))))</f>
        <v>Critical</v>
      </c>
      <c r="AF27" s="3"/>
    </row>
    <row r="28" spans="2:36" x14ac:dyDescent="0.25">
      <c r="B28">
        <v>1993</v>
      </c>
      <c r="C28" t="s">
        <v>16</v>
      </c>
      <c r="D28">
        <v>12.44</v>
      </c>
      <c r="E28">
        <v>8.98</v>
      </c>
      <c r="F28">
        <v>22.21</v>
      </c>
      <c r="G28">
        <v>8.5399999999999991</v>
      </c>
      <c r="H28">
        <f t="shared" si="1"/>
        <v>8.5419999999999998</v>
      </c>
      <c r="I28">
        <f t="shared" si="2"/>
        <v>0.56309997658627964</v>
      </c>
      <c r="J28">
        <f t="shared" si="3"/>
        <v>0.57948958089440405</v>
      </c>
      <c r="K28" t="s">
        <v>24</v>
      </c>
      <c r="L28" t="s">
        <v>7</v>
      </c>
      <c r="M28">
        <v>1993</v>
      </c>
      <c r="N28" t="s">
        <v>18</v>
      </c>
      <c r="O28">
        <v>2.4900000000000002</v>
      </c>
      <c r="P28">
        <v>5.65</v>
      </c>
      <c r="Q28">
        <v>8.3800000000000008</v>
      </c>
      <c r="R28">
        <v>4.2</v>
      </c>
      <c r="S28">
        <f t="shared" si="4"/>
        <v>4.2</v>
      </c>
      <c r="T28">
        <f t="shared" si="5"/>
        <v>0.88142857142857134</v>
      </c>
      <c r="U28">
        <f t="shared" si="6"/>
        <v>0.19285714285714287</v>
      </c>
      <c r="V28" t="s">
        <v>23</v>
      </c>
      <c r="W28" t="s">
        <v>3</v>
      </c>
      <c r="X28">
        <f t="shared" si="0"/>
        <v>12.739999999999998</v>
      </c>
      <c r="Z28">
        <f>G28+R28</f>
        <v>12.739999999999998</v>
      </c>
      <c r="AA28" t="str">
        <f>IF(Z28&gt;=$AI$5, "Wet", IF(Z28&gt;=$AI$6, "Above Normal", IF(Z28&gt;=$AI$7, "Below Normal", IF(Z28&gt;=$AI$8, "Dry", "Critical"))))</f>
        <v>Above Normal</v>
      </c>
      <c r="AB28">
        <f>0.3*D28+0.3*MIN(10,G27)+0.2*O28+0.2*MIN(R27,4.5)</f>
        <v>5.76</v>
      </c>
      <c r="AC28" t="str">
        <f>IF(AB28&gt;=$AI$11, "Wet", IF(AB28&gt;=$AI$12, "Above Normal", IF(AB28&gt;=$AI$13, "Below Normal", IF(AB28&gt;=$AI$14, "Dry", "Critical"))))</f>
        <v>Below Normal</v>
      </c>
      <c r="AD28">
        <f>0.4*E28+0.3*MIN(10,G27)+0.6*P28+0.2*MIN(R27,4.5)</f>
        <v>8.5120000000000005</v>
      </c>
      <c r="AE28" t="str">
        <f>IF(AD28&gt;=$AI$18, "Wet", IF(AD28&gt;=$AI$19, "Above Normal", IF(AD28&gt;=$AI$20, "Below Normal", IF(AD28&gt;=$AI$21, "Dry", "Critical"))))</f>
        <v>Wet</v>
      </c>
      <c r="AF28" s="3"/>
    </row>
    <row r="29" spans="2:36" x14ac:dyDescent="0.25">
      <c r="B29">
        <v>1994</v>
      </c>
      <c r="C29" t="s">
        <v>16</v>
      </c>
      <c r="D29">
        <v>4.55</v>
      </c>
      <c r="E29">
        <v>2.73</v>
      </c>
      <c r="F29">
        <v>7.81</v>
      </c>
      <c r="G29">
        <v>5.0199999999999996</v>
      </c>
      <c r="H29">
        <f t="shared" si="1"/>
        <v>5.0190000000000001</v>
      </c>
      <c r="I29">
        <f t="shared" si="2"/>
        <v>0.72803347280334729</v>
      </c>
      <c r="J29">
        <f t="shared" si="3"/>
        <v>0.7824267782426777</v>
      </c>
      <c r="K29" t="s">
        <v>21</v>
      </c>
      <c r="L29" t="s">
        <v>5</v>
      </c>
      <c r="M29">
        <v>1994</v>
      </c>
      <c r="N29" t="s">
        <v>18</v>
      </c>
      <c r="O29">
        <v>0.66</v>
      </c>
      <c r="P29">
        <v>1.8</v>
      </c>
      <c r="Q29">
        <v>2.54</v>
      </c>
      <c r="R29">
        <v>2.0499999999999998</v>
      </c>
      <c r="S29">
        <f t="shared" si="4"/>
        <v>2.0520000000000005</v>
      </c>
      <c r="T29">
        <f t="shared" si="5"/>
        <v>0.93567251461988288</v>
      </c>
      <c r="U29">
        <f t="shared" si="6"/>
        <v>0.47368421052631571</v>
      </c>
      <c r="V29" t="s">
        <v>21</v>
      </c>
      <c r="W29" t="s">
        <v>5</v>
      </c>
      <c r="X29">
        <f t="shared" si="0"/>
        <v>7.0699999999999994</v>
      </c>
      <c r="Z29">
        <f>G29+R29</f>
        <v>7.0699999999999994</v>
      </c>
      <c r="AA29" t="str">
        <f>IF(Z29&gt;=$AI$5, "Wet", IF(Z29&gt;=$AI$6, "Above Normal", IF(Z29&gt;=$AI$7, "Below Normal", IF(Z29&gt;=$AI$8, "Dry", "Critical"))))</f>
        <v>Critical</v>
      </c>
      <c r="AB29">
        <f>0.3*D29+0.3*MIN(10,G28)+0.2*O29+0.2*MIN(R28,4.5)</f>
        <v>4.8989999999999991</v>
      </c>
      <c r="AC29" t="str">
        <f>IF(AB29&gt;=$AI$11, "Wet", IF(AB29&gt;=$AI$12, "Above Normal", IF(AB29&gt;=$AI$13, "Below Normal", IF(AB29&gt;=$AI$14, "Dry", "Critical"))))</f>
        <v>Dry</v>
      </c>
      <c r="AD29">
        <f>0.4*E29+0.3*MIN(10,G28)+0.6*P29+0.2*MIN(R28,4.5)</f>
        <v>5.5739999999999998</v>
      </c>
      <c r="AE29" t="str">
        <f>IF(AD29&gt;=$AI$18, "Wet", IF(AD29&gt;=$AI$19, "Above Normal", IF(AD29&gt;=$AI$20, "Below Normal", IF(AD29&gt;=$AI$21, "Dry", "Critical"))))</f>
        <v>Below Normal</v>
      </c>
      <c r="AF29" s="3"/>
    </row>
    <row r="30" spans="2:36" x14ac:dyDescent="0.25">
      <c r="B30">
        <v>1995</v>
      </c>
      <c r="C30" t="s">
        <v>16</v>
      </c>
      <c r="D30">
        <v>19.829999999999998</v>
      </c>
      <c r="E30">
        <v>13.6</v>
      </c>
      <c r="F30">
        <v>34.549999999999997</v>
      </c>
      <c r="G30">
        <v>12.89</v>
      </c>
      <c r="H30">
        <f t="shared" si="1"/>
        <v>12.895</v>
      </c>
      <c r="I30">
        <f t="shared" si="2"/>
        <v>0.53865839472663823</v>
      </c>
      <c r="J30">
        <f t="shared" si="3"/>
        <v>0.57813105854982538</v>
      </c>
      <c r="K30" t="s">
        <v>23</v>
      </c>
      <c r="L30" t="s">
        <v>3</v>
      </c>
      <c r="M30">
        <v>1995</v>
      </c>
      <c r="N30" t="s">
        <v>18</v>
      </c>
      <c r="O30">
        <v>3.67</v>
      </c>
      <c r="P30">
        <v>8.01</v>
      </c>
      <c r="Q30">
        <v>12.32</v>
      </c>
      <c r="R30">
        <v>5.95</v>
      </c>
      <c r="S30">
        <f t="shared" si="4"/>
        <v>5.95</v>
      </c>
      <c r="T30">
        <f t="shared" si="5"/>
        <v>0.87663865546218489</v>
      </c>
      <c r="U30">
        <f t="shared" si="6"/>
        <v>0.1922689075630252</v>
      </c>
      <c r="V30" t="s">
        <v>23</v>
      </c>
      <c r="W30" t="s">
        <v>3</v>
      </c>
      <c r="X30">
        <f t="shared" si="0"/>
        <v>18.84</v>
      </c>
      <c r="Z30">
        <f>G30+R30</f>
        <v>18.84</v>
      </c>
      <c r="AA30" t="str">
        <f>IF(Z30&gt;=$AI$5, "Wet", IF(Z30&gt;=$AI$6, "Above Normal", IF(Z30&gt;=$AI$7, "Below Normal", IF(Z30&gt;=$AI$8, "Dry", "Critical"))))</f>
        <v>Wet</v>
      </c>
      <c r="AB30">
        <f>0.3*D30+0.3*MIN(10,G29)+0.2*O30+0.2*MIN(R29,4.5)</f>
        <v>8.5989999999999984</v>
      </c>
      <c r="AC30" t="str">
        <f>IF(AB30&gt;=$AI$11, "Wet", IF(AB30&gt;=$AI$12, "Above Normal", IF(AB30&gt;=$AI$13, "Below Normal", IF(AB30&gt;=$AI$14, "Dry", "Critical"))))</f>
        <v>Wet</v>
      </c>
      <c r="AD30">
        <f>0.4*E30+0.3*MIN(10,G29)+0.6*P30+0.2*MIN(R29,4.5)</f>
        <v>12.161999999999999</v>
      </c>
      <c r="AE30" t="str">
        <f>IF(AD30&gt;=$AI$18, "Wet", IF(AD30&gt;=$AI$19, "Above Normal", IF(AD30&gt;=$AI$20, "Below Normal", IF(AD30&gt;=$AI$21, "Dry", "Critical"))))</f>
        <v>Wet</v>
      </c>
      <c r="AF30" s="3"/>
    </row>
    <row r="31" spans="2:36" x14ac:dyDescent="0.25">
      <c r="B31">
        <v>1996</v>
      </c>
      <c r="C31" t="s">
        <v>16</v>
      </c>
      <c r="D31">
        <v>13.05</v>
      </c>
      <c r="E31">
        <v>8.3699999999999992</v>
      </c>
      <c r="F31">
        <v>22.29</v>
      </c>
      <c r="G31">
        <v>10.26</v>
      </c>
      <c r="H31">
        <f t="shared" si="1"/>
        <v>10.263</v>
      </c>
      <c r="I31">
        <f t="shared" si="2"/>
        <v>0.6185325928091201</v>
      </c>
      <c r="J31">
        <f t="shared" si="3"/>
        <v>0.67377959660917863</v>
      </c>
      <c r="K31" t="s">
        <v>23</v>
      </c>
      <c r="L31" t="s">
        <v>3</v>
      </c>
      <c r="M31">
        <v>1996</v>
      </c>
      <c r="N31" t="s">
        <v>18</v>
      </c>
      <c r="O31">
        <v>2.57</v>
      </c>
      <c r="P31">
        <v>4.51</v>
      </c>
      <c r="Q31">
        <v>7.22</v>
      </c>
      <c r="R31">
        <v>4.12</v>
      </c>
      <c r="S31">
        <f t="shared" si="4"/>
        <v>4.12</v>
      </c>
      <c r="T31">
        <f t="shared" si="5"/>
        <v>0.87524271844660184</v>
      </c>
      <c r="U31">
        <f t="shared" si="6"/>
        <v>0.34320388349514563</v>
      </c>
      <c r="V31" t="s">
        <v>23</v>
      </c>
      <c r="W31" t="s">
        <v>3</v>
      </c>
      <c r="X31">
        <f t="shared" si="0"/>
        <v>14.379999999999999</v>
      </c>
      <c r="Z31">
        <f>G31+R31</f>
        <v>14.379999999999999</v>
      </c>
      <c r="AA31" t="str">
        <f>IF(Z31&gt;=$AI$5, "Wet", IF(Z31&gt;=$AI$6, "Above Normal", IF(Z31&gt;=$AI$7, "Below Normal", IF(Z31&gt;=$AI$8, "Dry", "Critical"))))</f>
        <v>Wet</v>
      </c>
      <c r="AB31">
        <f>0.3*D31+0.3*MIN(10,G30)+0.2*O31+0.2*MIN(R30,4.5)</f>
        <v>8.3290000000000006</v>
      </c>
      <c r="AC31" t="str">
        <f>IF(AB31&gt;=$AI$11, "Wet", IF(AB31&gt;=$AI$12, "Above Normal", IF(AB31&gt;=$AI$13, "Below Normal", IF(AB31&gt;=$AI$14, "Dry", "Critical"))))</f>
        <v>Wet</v>
      </c>
      <c r="AD31">
        <f>0.4*E31+0.3*MIN(10,G30)+0.6*P31+0.2*MIN(R30,4.5)</f>
        <v>9.9540000000000006</v>
      </c>
      <c r="AE31" t="str">
        <f>IF(AD31&gt;=$AI$18, "Wet", IF(AD31&gt;=$AI$19, "Above Normal", IF(AD31&gt;=$AI$20, "Below Normal", IF(AD31&gt;=$AI$21, "Dry", "Critical"))))</f>
        <v>Wet</v>
      </c>
      <c r="AF31" s="3"/>
    </row>
    <row r="32" spans="2:36" x14ac:dyDescent="0.25">
      <c r="B32">
        <v>1997</v>
      </c>
      <c r="C32" t="s">
        <v>16</v>
      </c>
      <c r="D32">
        <v>20.22</v>
      </c>
      <c r="E32">
        <v>4.3899999999999997</v>
      </c>
      <c r="F32">
        <v>25.42</v>
      </c>
      <c r="G32">
        <v>10.82</v>
      </c>
      <c r="H32">
        <f t="shared" si="1"/>
        <v>10.821999999999999</v>
      </c>
      <c r="I32">
        <f t="shared" si="2"/>
        <v>0.43947514322676035</v>
      </c>
      <c r="J32">
        <f t="shared" si="3"/>
        <v>0.83773794123082601</v>
      </c>
      <c r="K32" t="s">
        <v>23</v>
      </c>
      <c r="L32" t="s">
        <v>3</v>
      </c>
      <c r="M32">
        <v>1997</v>
      </c>
      <c r="N32" t="s">
        <v>18</v>
      </c>
      <c r="O32">
        <v>5.75</v>
      </c>
      <c r="P32">
        <v>3.59</v>
      </c>
      <c r="Q32">
        <v>9.51</v>
      </c>
      <c r="R32">
        <v>4.13</v>
      </c>
      <c r="S32">
        <f t="shared" si="4"/>
        <v>4.1280000000000001</v>
      </c>
      <c r="T32">
        <f t="shared" si="5"/>
        <v>0.72141472868217049</v>
      </c>
      <c r="U32">
        <f t="shared" si="6"/>
        <v>0.47819767441860467</v>
      </c>
      <c r="V32" t="s">
        <v>23</v>
      </c>
      <c r="W32" t="s">
        <v>3</v>
      </c>
      <c r="X32">
        <f t="shared" si="0"/>
        <v>14.95</v>
      </c>
      <c r="Z32">
        <f>G32+R32</f>
        <v>14.95</v>
      </c>
      <c r="AA32" t="str">
        <f>IF(Z32&gt;=$AI$5, "Wet", IF(Z32&gt;=$AI$6, "Above Normal", IF(Z32&gt;=$AI$7, "Below Normal", IF(Z32&gt;=$AI$8, "Dry", "Critical"))))</f>
        <v>Wet</v>
      </c>
      <c r="AB32">
        <f>0.3*D32+0.3*MIN(10,G31)+0.2*O32+0.2*MIN(R31,4.5)</f>
        <v>11.04</v>
      </c>
      <c r="AC32" t="str">
        <f>IF(AB32&gt;=$AI$11, "Wet", IF(AB32&gt;=$AI$12, "Above Normal", IF(AB32&gt;=$AI$13, "Below Normal", IF(AB32&gt;=$AI$14, "Dry", "Critical"))))</f>
        <v>Wet</v>
      </c>
      <c r="AD32">
        <f>0.4*E32+0.3*MIN(10,G31)+0.6*P32+0.2*MIN(R31,4.5)</f>
        <v>7.734</v>
      </c>
      <c r="AE32" t="str">
        <f>IF(AD32&gt;=$AI$18, "Wet", IF(AD32&gt;=$AI$19, "Above Normal", IF(AD32&gt;=$AI$20, "Below Normal", IF(AD32&gt;=$AI$21, "Dry", "Critical"))))</f>
        <v>Wet</v>
      </c>
      <c r="AF32" s="3"/>
    </row>
    <row r="33" spans="2:32" x14ac:dyDescent="0.25">
      <c r="B33">
        <v>1998</v>
      </c>
      <c r="C33" t="s">
        <v>16</v>
      </c>
      <c r="D33">
        <v>17.649999999999999</v>
      </c>
      <c r="E33">
        <v>12.54</v>
      </c>
      <c r="F33">
        <v>31.4</v>
      </c>
      <c r="G33">
        <v>13.31</v>
      </c>
      <c r="H33">
        <f t="shared" si="1"/>
        <v>13.311</v>
      </c>
      <c r="I33">
        <f t="shared" si="2"/>
        <v>0.60220869957178269</v>
      </c>
      <c r="J33">
        <f t="shared" si="3"/>
        <v>0.62316880775298611</v>
      </c>
      <c r="K33" t="s">
        <v>23</v>
      </c>
      <c r="L33" t="s">
        <v>3</v>
      </c>
      <c r="M33">
        <v>1998</v>
      </c>
      <c r="N33" t="s">
        <v>18</v>
      </c>
      <c r="O33">
        <v>2.82</v>
      </c>
      <c r="P33">
        <v>7.11</v>
      </c>
      <c r="Q33">
        <v>10.43</v>
      </c>
      <c r="R33">
        <v>5.65</v>
      </c>
      <c r="S33">
        <f t="shared" si="4"/>
        <v>5.6560000000000006</v>
      </c>
      <c r="T33">
        <f t="shared" si="5"/>
        <v>0.90028288543140034</v>
      </c>
      <c r="U33">
        <f t="shared" si="6"/>
        <v>0.24575671852899575</v>
      </c>
      <c r="V33" t="s">
        <v>23</v>
      </c>
      <c r="W33" t="s">
        <v>3</v>
      </c>
      <c r="X33">
        <f t="shared" si="0"/>
        <v>18.96</v>
      </c>
      <c r="Z33">
        <f>G33+R33</f>
        <v>18.96</v>
      </c>
      <c r="AA33" t="str">
        <f>IF(Z33&gt;=$AI$5, "Wet", IF(Z33&gt;=$AI$6, "Above Normal", IF(Z33&gt;=$AI$7, "Below Normal", IF(Z33&gt;=$AI$8, "Dry", "Critical"))))</f>
        <v>Wet</v>
      </c>
      <c r="AB33">
        <f>0.3*D33+0.3*MIN(10,G32)+0.2*O33+0.2*MIN(R32,4.5)</f>
        <v>9.6849999999999987</v>
      </c>
      <c r="AC33" t="str">
        <f>IF(AB33&gt;=$AI$11, "Wet", IF(AB33&gt;=$AI$12, "Above Normal", IF(AB33&gt;=$AI$13, "Below Normal", IF(AB33&gt;=$AI$14, "Dry", "Critical"))))</f>
        <v>Wet</v>
      </c>
      <c r="AD33">
        <f>0.4*E33+0.3*MIN(10,G32)+0.6*P33+0.2*MIN(R32,4.5)</f>
        <v>13.108000000000001</v>
      </c>
      <c r="AE33" t="str">
        <f>IF(AD33&gt;=$AI$18, "Wet", IF(AD33&gt;=$AI$19, "Above Normal", IF(AD33&gt;=$AI$20, "Below Normal", IF(AD33&gt;=$AI$21, "Dry", "Critical"))))</f>
        <v>Wet</v>
      </c>
      <c r="AF33" s="3"/>
    </row>
    <row r="34" spans="2:32" x14ac:dyDescent="0.25">
      <c r="B34">
        <v>1999</v>
      </c>
      <c r="C34" t="s">
        <v>16</v>
      </c>
      <c r="D34">
        <v>12.97</v>
      </c>
      <c r="E34">
        <v>7.26</v>
      </c>
      <c r="F34">
        <v>21.19</v>
      </c>
      <c r="G34">
        <v>9.8000000000000007</v>
      </c>
      <c r="H34">
        <f t="shared" si="1"/>
        <v>9.7949999999999999</v>
      </c>
      <c r="I34">
        <f t="shared" si="2"/>
        <v>0.60275650842266459</v>
      </c>
      <c r="J34">
        <f t="shared" si="3"/>
        <v>0.70352220520673814</v>
      </c>
      <c r="K34" t="s">
        <v>23</v>
      </c>
      <c r="L34" t="s">
        <v>3</v>
      </c>
      <c r="M34">
        <v>1999</v>
      </c>
      <c r="N34" t="s">
        <v>18</v>
      </c>
      <c r="O34">
        <v>1.9</v>
      </c>
      <c r="P34">
        <v>3.85</v>
      </c>
      <c r="Q34">
        <v>5.91</v>
      </c>
      <c r="R34">
        <v>3.59</v>
      </c>
      <c r="S34">
        <f t="shared" si="4"/>
        <v>3.59</v>
      </c>
      <c r="T34">
        <f t="shared" si="5"/>
        <v>0.89415041782729809</v>
      </c>
      <c r="U34">
        <f t="shared" si="6"/>
        <v>0.35654596100278552</v>
      </c>
      <c r="V34" t="s">
        <v>24</v>
      </c>
      <c r="W34" t="s">
        <v>7</v>
      </c>
      <c r="X34">
        <f t="shared" si="0"/>
        <v>13.39</v>
      </c>
      <c r="Z34">
        <f>G34+R34</f>
        <v>13.39</v>
      </c>
      <c r="AA34" t="str">
        <f>IF(Z34&gt;=$AI$5, "Wet", IF(Z34&gt;=$AI$6, "Above Normal", IF(Z34&gt;=$AI$7, "Below Normal", IF(Z34&gt;=$AI$8, "Dry", "Critical"))))</f>
        <v>Wet</v>
      </c>
      <c r="AB34">
        <f>0.3*D34+0.3*MIN(10,G33)+0.2*O34+0.2*MIN(R33,4.5)</f>
        <v>8.1709999999999994</v>
      </c>
      <c r="AC34" t="str">
        <f>IF(AB34&gt;=$AI$11, "Wet", IF(AB34&gt;=$AI$12, "Above Normal", IF(AB34&gt;=$AI$13, "Below Normal", IF(AB34&gt;=$AI$14, "Dry", "Critical"))))</f>
        <v>Wet</v>
      </c>
      <c r="AD34">
        <f>0.4*E34+0.3*MIN(10,G33)+0.6*P34+0.2*MIN(R33,4.5)</f>
        <v>9.1140000000000008</v>
      </c>
      <c r="AE34" t="str">
        <f>IF(AD34&gt;=$AI$18, "Wet", IF(AD34&gt;=$AI$19, "Above Normal", IF(AD34&gt;=$AI$20, "Below Normal", IF(AD34&gt;=$AI$21, "Dry", "Critical"))))</f>
        <v>Wet</v>
      </c>
      <c r="AF34" s="3"/>
    </row>
    <row r="35" spans="2:32" x14ac:dyDescent="0.25">
      <c r="B35">
        <v>2000</v>
      </c>
      <c r="C35" t="s">
        <v>16</v>
      </c>
      <c r="D35">
        <v>12.06</v>
      </c>
      <c r="E35">
        <v>5.96</v>
      </c>
      <c r="F35">
        <v>18.899999999999999</v>
      </c>
      <c r="G35">
        <v>8.94</v>
      </c>
      <c r="H35">
        <f t="shared" si="1"/>
        <v>8.9420000000000002</v>
      </c>
      <c r="I35">
        <f t="shared" si="2"/>
        <v>0.59539252963542832</v>
      </c>
      <c r="J35">
        <f t="shared" si="3"/>
        <v>0.73339297696264816</v>
      </c>
      <c r="K35" t="s">
        <v>24</v>
      </c>
      <c r="L35" t="s">
        <v>7</v>
      </c>
      <c r="M35">
        <v>2000</v>
      </c>
      <c r="N35" t="s">
        <v>18</v>
      </c>
      <c r="O35">
        <v>1.98</v>
      </c>
      <c r="P35">
        <v>3.78</v>
      </c>
      <c r="Q35">
        <v>5.9</v>
      </c>
      <c r="R35">
        <v>3.38</v>
      </c>
      <c r="S35">
        <f t="shared" si="4"/>
        <v>3.3819999999999997</v>
      </c>
      <c r="T35">
        <f t="shared" si="5"/>
        <v>0.88290952099349496</v>
      </c>
      <c r="U35">
        <f t="shared" si="6"/>
        <v>0.32939089296274393</v>
      </c>
      <c r="V35" t="s">
        <v>24</v>
      </c>
      <c r="W35" t="s">
        <v>7</v>
      </c>
      <c r="X35">
        <f t="shared" si="0"/>
        <v>12.32</v>
      </c>
      <c r="Z35">
        <f>G35+R35</f>
        <v>12.32</v>
      </c>
      <c r="AA35" t="str">
        <f>IF(Z35&gt;=$AI$5, "Wet", IF(Z35&gt;=$AI$6, "Above Normal", IF(Z35&gt;=$AI$7, "Below Normal", IF(Z35&gt;=$AI$8, "Dry", "Critical"))))</f>
        <v>Above Normal</v>
      </c>
      <c r="AB35">
        <f>0.3*D35+0.3*MIN(10,G34)+0.2*O35+0.2*MIN(R34,4.5)</f>
        <v>7.6719999999999997</v>
      </c>
      <c r="AC35" t="str">
        <f>IF(AB35&gt;=$AI$11, "Wet", IF(AB35&gt;=$AI$12, "Above Normal", IF(AB35&gt;=$AI$13, "Below Normal", IF(AB35&gt;=$AI$14, "Dry", "Critical"))))</f>
        <v>Above Normal</v>
      </c>
      <c r="AD35">
        <f>0.4*E35+0.3*MIN(10,G34)+0.6*P35+0.2*MIN(R34,4.5)</f>
        <v>8.3099999999999987</v>
      </c>
      <c r="AE35" t="str">
        <f>IF(AD35&gt;=$AI$18, "Wet", IF(AD35&gt;=$AI$19, "Above Normal", IF(AD35&gt;=$AI$20, "Below Normal", IF(AD35&gt;=$AI$21, "Dry", "Critical"))))</f>
        <v>Wet</v>
      </c>
      <c r="AF35" s="3"/>
    </row>
    <row r="36" spans="2:32" x14ac:dyDescent="0.25">
      <c r="B36">
        <v>2001</v>
      </c>
      <c r="C36" t="s">
        <v>16</v>
      </c>
      <c r="D36">
        <v>5.64</v>
      </c>
      <c r="E36">
        <v>3.46</v>
      </c>
      <c r="F36">
        <v>9.81</v>
      </c>
      <c r="G36">
        <v>5.65</v>
      </c>
      <c r="H36">
        <f t="shared" si="1"/>
        <v>5.758</v>
      </c>
      <c r="I36">
        <f t="shared" si="2"/>
        <v>0.70614796804445989</v>
      </c>
      <c r="J36">
        <f t="shared" si="3"/>
        <v>0.75963876345953452</v>
      </c>
      <c r="K36" t="s">
        <v>20</v>
      </c>
      <c r="L36" t="s">
        <v>4</v>
      </c>
      <c r="M36">
        <v>2001</v>
      </c>
      <c r="N36" t="s">
        <v>18</v>
      </c>
      <c r="O36">
        <v>0.61</v>
      </c>
      <c r="P36">
        <v>1.48</v>
      </c>
      <c r="Q36">
        <v>2.12</v>
      </c>
      <c r="R36">
        <v>1.38</v>
      </c>
      <c r="S36">
        <f t="shared" si="4"/>
        <v>1.6859999999999999</v>
      </c>
      <c r="T36">
        <f t="shared" si="5"/>
        <v>0.9276393831553974</v>
      </c>
      <c r="U36">
        <f t="shared" si="6"/>
        <v>0.4733096085409253</v>
      </c>
      <c r="V36" t="s">
        <v>21</v>
      </c>
      <c r="W36" t="s">
        <v>5</v>
      </c>
      <c r="X36">
        <f t="shared" si="0"/>
        <v>7.03</v>
      </c>
      <c r="Z36">
        <f>G36+R36</f>
        <v>7.03</v>
      </c>
      <c r="AA36" t="str">
        <f>IF(Z36&gt;=$AI$5, "Wet", IF(Z36&gt;=$AI$6, "Above Normal", IF(Z36&gt;=$AI$7, "Below Normal", IF(Z36&gt;=$AI$8, "Dry", "Critical"))))</f>
        <v>Critical</v>
      </c>
      <c r="AB36">
        <f>0.3*D36+0.3*MIN(10,G35)+0.2*O36+0.2*MIN(R35,4.5)</f>
        <v>5.1719999999999997</v>
      </c>
      <c r="AC36" t="str">
        <f>IF(AB36&gt;=$AI$11, "Wet", IF(AB36&gt;=$AI$12, "Above Normal", IF(AB36&gt;=$AI$13, "Below Normal", IF(AB36&gt;=$AI$14, "Dry", "Critical"))))</f>
        <v>Dry</v>
      </c>
      <c r="AD36">
        <f>0.4*E36+0.3*MIN(10,G35)+0.6*P36+0.2*MIN(R35,4.5)</f>
        <v>5.63</v>
      </c>
      <c r="AE36" t="str">
        <f>IF(AD36&gt;=$AI$18, "Wet", IF(AD36&gt;=$AI$19, "Above Normal", IF(AD36&gt;=$AI$20, "Below Normal", IF(AD36&gt;=$AI$21, "Dry", "Critical"))))</f>
        <v>Below Normal</v>
      </c>
      <c r="AF36" s="3"/>
    </row>
    <row r="37" spans="2:32" x14ac:dyDescent="0.25">
      <c r="B37">
        <v>2002</v>
      </c>
      <c r="C37" t="s">
        <v>16</v>
      </c>
      <c r="D37">
        <v>9.32</v>
      </c>
      <c r="E37">
        <v>4.57</v>
      </c>
      <c r="F37">
        <v>14.6</v>
      </c>
      <c r="G37">
        <v>6.35</v>
      </c>
      <c r="H37">
        <f t="shared" si="1"/>
        <v>6.3190000000000008</v>
      </c>
      <c r="I37">
        <f t="shared" si="2"/>
        <v>0.55752492482987814</v>
      </c>
      <c r="J37">
        <f t="shared" si="3"/>
        <v>0.71071372052539949</v>
      </c>
      <c r="K37" t="s">
        <v>20</v>
      </c>
      <c r="L37" t="s">
        <v>4</v>
      </c>
      <c r="M37">
        <v>2002</v>
      </c>
      <c r="N37" t="s">
        <v>18</v>
      </c>
      <c r="O37">
        <v>1.27</v>
      </c>
      <c r="P37">
        <v>2.75</v>
      </c>
      <c r="Q37">
        <v>4.0599999999999996</v>
      </c>
      <c r="R37">
        <v>2.34</v>
      </c>
      <c r="S37">
        <f t="shared" si="4"/>
        <v>2.1799999999999997</v>
      </c>
      <c r="T37">
        <f t="shared" si="5"/>
        <v>0.88348623853211017</v>
      </c>
      <c r="U37">
        <f t="shared" si="6"/>
        <v>0.24311926605504591</v>
      </c>
      <c r="V37" t="s">
        <v>19</v>
      </c>
      <c r="W37" t="s">
        <v>4</v>
      </c>
      <c r="X37">
        <f t="shared" si="0"/>
        <v>8.69</v>
      </c>
      <c r="Z37">
        <f>G37+R37</f>
        <v>8.69</v>
      </c>
      <c r="AA37" t="str">
        <f>IF(Z37&gt;=$AI$5, "Wet", IF(Z37&gt;=$AI$6, "Above Normal", IF(Z37&gt;=$AI$7, "Below Normal", IF(Z37&gt;=$AI$8, "Dry", "Critical"))))</f>
        <v>Dry</v>
      </c>
      <c r="AB37">
        <f>0.3*D37+0.3*MIN(10,G36)+0.2*O37+0.2*MIN(R36,4.5)</f>
        <v>5.020999999999999</v>
      </c>
      <c r="AC37" t="str">
        <f>IF(AB37&gt;=$AI$11, "Wet", IF(AB37&gt;=$AI$12, "Above Normal", IF(AB37&gt;=$AI$13, "Below Normal", IF(AB37&gt;=$AI$14, "Dry", "Critical"))))</f>
        <v>Dry</v>
      </c>
      <c r="AD37">
        <f>0.4*E37+0.3*MIN(10,G36)+0.6*P37+0.2*MIN(R36,4.5)</f>
        <v>5.4489999999999998</v>
      </c>
      <c r="AE37" t="str">
        <f>IF(AD37&gt;=$AI$18, "Wet", IF(AD37&gt;=$AI$19, "Above Normal", IF(AD37&gt;=$AI$20, "Below Normal", IF(AD37&gt;=$AI$21, "Dry", "Critical"))))</f>
        <v>Below Normal</v>
      </c>
      <c r="AF37" s="3"/>
    </row>
    <row r="38" spans="2:32" x14ac:dyDescent="0.25">
      <c r="B38">
        <v>2003</v>
      </c>
      <c r="C38" t="s">
        <v>16</v>
      </c>
      <c r="D38">
        <v>10.71</v>
      </c>
      <c r="E38">
        <v>7.74</v>
      </c>
      <c r="F38">
        <v>19.309999999999999</v>
      </c>
      <c r="G38">
        <v>8.2100000000000009</v>
      </c>
      <c r="H38">
        <f t="shared" si="1"/>
        <v>8.2140000000000004</v>
      </c>
      <c r="I38">
        <f t="shared" si="2"/>
        <v>0.60883856829802763</v>
      </c>
      <c r="J38">
        <f t="shared" si="3"/>
        <v>0.62308254200146096</v>
      </c>
      <c r="K38" t="s">
        <v>24</v>
      </c>
      <c r="L38" t="s">
        <v>7</v>
      </c>
      <c r="M38">
        <v>2003</v>
      </c>
      <c r="N38" t="s">
        <v>18</v>
      </c>
      <c r="O38">
        <v>1.25</v>
      </c>
      <c r="P38">
        <v>3.49</v>
      </c>
      <c r="Q38">
        <v>4.87</v>
      </c>
      <c r="R38">
        <v>2.81</v>
      </c>
      <c r="S38">
        <f t="shared" si="4"/>
        <v>2.8119999999999998</v>
      </c>
      <c r="T38">
        <f t="shared" si="5"/>
        <v>0.91109530583214793</v>
      </c>
      <c r="U38">
        <f t="shared" si="6"/>
        <v>0.2553342816500711</v>
      </c>
      <c r="V38" t="s">
        <v>17</v>
      </c>
      <c r="W38" t="s">
        <v>6</v>
      </c>
      <c r="X38">
        <f t="shared" si="0"/>
        <v>11.020000000000001</v>
      </c>
      <c r="Z38">
        <f>G38+R38</f>
        <v>11.020000000000001</v>
      </c>
      <c r="AA38" t="str">
        <f>IF(Z38&gt;=$AI$5, "Wet", IF(Z38&gt;=$AI$6, "Above Normal", IF(Z38&gt;=$AI$7, "Below Normal", IF(Z38&gt;=$AI$8, "Dry", "Critical"))))</f>
        <v>Above Normal</v>
      </c>
      <c r="AB38">
        <f>0.3*D38+0.3*MIN(10,G37)+0.2*O38+0.2*MIN(R37,4.5)</f>
        <v>5.8360000000000003</v>
      </c>
      <c r="AC38" t="str">
        <f>IF(AB38&gt;=$AI$11, "Wet", IF(AB38&gt;=$AI$12, "Above Normal", IF(AB38&gt;=$AI$13, "Below Normal", IF(AB38&gt;=$AI$14, "Dry", "Critical"))))</f>
        <v>Below Normal</v>
      </c>
      <c r="AD38">
        <f>0.4*E38+0.3*MIN(10,G37)+0.6*P38+0.2*MIN(R37,4.5)</f>
        <v>7.5629999999999988</v>
      </c>
      <c r="AE38" t="str">
        <f>IF(AD38&gt;=$AI$18, "Wet", IF(AD38&gt;=$AI$19, "Above Normal", IF(AD38&gt;=$AI$20, "Below Normal", IF(AD38&gt;=$AI$21, "Dry", "Critical"))))</f>
        <v>Wet</v>
      </c>
      <c r="AF38" s="3"/>
    </row>
    <row r="39" spans="2:32" x14ac:dyDescent="0.25">
      <c r="B39">
        <v>2004</v>
      </c>
      <c r="C39" t="s">
        <v>16</v>
      </c>
      <c r="D39">
        <v>10.95</v>
      </c>
      <c r="E39">
        <v>4.4000000000000004</v>
      </c>
      <c r="F39">
        <v>16.04</v>
      </c>
      <c r="G39">
        <v>7.51</v>
      </c>
      <c r="H39">
        <f t="shared" si="1"/>
        <v>7.508</v>
      </c>
      <c r="I39">
        <f t="shared" si="2"/>
        <v>0.56246670218433681</v>
      </c>
      <c r="J39">
        <f t="shared" si="3"/>
        <v>0.76558337773042084</v>
      </c>
      <c r="K39" t="s">
        <v>17</v>
      </c>
      <c r="L39" t="s">
        <v>6</v>
      </c>
      <c r="M39">
        <v>2004</v>
      </c>
      <c r="N39" t="s">
        <v>18</v>
      </c>
      <c r="O39">
        <v>1.51</v>
      </c>
      <c r="P39">
        <v>2.25</v>
      </c>
      <c r="Q39">
        <v>3.81</v>
      </c>
      <c r="R39">
        <v>2.21</v>
      </c>
      <c r="S39">
        <f t="shared" si="4"/>
        <v>2.214</v>
      </c>
      <c r="T39">
        <f t="shared" si="5"/>
        <v>0.86359530261969286</v>
      </c>
      <c r="U39">
        <f t="shared" si="6"/>
        <v>0.39024390243902446</v>
      </c>
      <c r="V39" t="s">
        <v>19</v>
      </c>
      <c r="W39" t="s">
        <v>4</v>
      </c>
      <c r="X39">
        <f t="shared" si="0"/>
        <v>9.7199999999999989</v>
      </c>
      <c r="Z39">
        <f>G39+R39</f>
        <v>9.7199999999999989</v>
      </c>
      <c r="AA39" t="str">
        <f>IF(Z39&gt;=$AI$5, "Wet", IF(Z39&gt;=$AI$6, "Above Normal", IF(Z39&gt;=$AI$7, "Below Normal", IF(Z39&gt;=$AI$8, "Dry", "Critical"))))</f>
        <v>Below Normal</v>
      </c>
      <c r="AB39">
        <f>0.3*D39+0.3*MIN(10,G38)+0.2*O39+0.2*MIN(R38,4.5)</f>
        <v>6.6119999999999992</v>
      </c>
      <c r="AC39" t="str">
        <f>IF(AB39&gt;=$AI$11, "Wet", IF(AB39&gt;=$AI$12, "Above Normal", IF(AB39&gt;=$AI$13, "Below Normal", IF(AB39&gt;=$AI$14, "Dry", "Critical"))))</f>
        <v>Above Normal</v>
      </c>
      <c r="AD39">
        <f>0.4*E39+0.3*MIN(10,G38)+0.6*P39+0.2*MIN(R38,4.5)</f>
        <v>6.1350000000000007</v>
      </c>
      <c r="AE39" t="str">
        <f>IF(AD39&gt;=$AI$18, "Wet", IF(AD39&gt;=$AI$19, "Above Normal", IF(AD39&gt;=$AI$20, "Below Normal", IF(AD39&gt;=$AI$21, "Dry", "Critical"))))</f>
        <v>Above Normal</v>
      </c>
      <c r="AF39" s="3"/>
    </row>
    <row r="40" spans="2:32" x14ac:dyDescent="0.25">
      <c r="B40">
        <v>2005</v>
      </c>
      <c r="C40" t="s">
        <v>16</v>
      </c>
      <c r="D40">
        <v>8.4</v>
      </c>
      <c r="E40">
        <v>9.2799999999999994</v>
      </c>
      <c r="F40">
        <v>18.55</v>
      </c>
      <c r="G40">
        <v>8.49</v>
      </c>
      <c r="H40">
        <f t="shared" si="1"/>
        <v>8.4849999999999994</v>
      </c>
      <c r="I40">
        <f t="shared" si="2"/>
        <v>0.70300530347672363</v>
      </c>
      <c r="J40">
        <f t="shared" si="3"/>
        <v>0.56252209781968177</v>
      </c>
      <c r="K40" t="s">
        <v>27</v>
      </c>
      <c r="L40" t="s">
        <v>7</v>
      </c>
      <c r="M40">
        <v>2005</v>
      </c>
      <c r="N40" t="s">
        <v>18</v>
      </c>
      <c r="O40">
        <v>2.73</v>
      </c>
      <c r="P40">
        <v>6.28</v>
      </c>
      <c r="Q40">
        <v>9.2100000000000009</v>
      </c>
      <c r="R40">
        <v>4.75</v>
      </c>
      <c r="S40">
        <f t="shared" si="4"/>
        <v>4.7560000000000002</v>
      </c>
      <c r="T40">
        <f t="shared" si="5"/>
        <v>0.88519764507989906</v>
      </c>
      <c r="U40">
        <f t="shared" si="6"/>
        <v>0.20773759461732547</v>
      </c>
      <c r="V40" t="s">
        <v>29</v>
      </c>
      <c r="W40" t="s">
        <v>3</v>
      </c>
      <c r="X40">
        <f t="shared" si="0"/>
        <v>13.24</v>
      </c>
      <c r="Z40">
        <f>G40+R40</f>
        <v>13.24</v>
      </c>
      <c r="AA40" t="str">
        <f>IF(Z40&gt;=$AI$5, "Wet", IF(Z40&gt;=$AI$6, "Above Normal", IF(Z40&gt;=$AI$7, "Below Normal", IF(Z40&gt;=$AI$8, "Dry", "Critical"))))</f>
        <v>Wet</v>
      </c>
      <c r="AB40">
        <f>0.3*D40+0.3*MIN(10,G39)+0.2*O40+0.2*MIN(R39,4.5)</f>
        <v>5.7610000000000001</v>
      </c>
      <c r="AC40" t="str">
        <f>IF(AB40&gt;=$AI$11, "Wet", IF(AB40&gt;=$AI$12, "Above Normal", IF(AB40&gt;=$AI$13, "Below Normal", IF(AB40&gt;=$AI$14, "Dry", "Critical"))))</f>
        <v>Below Normal</v>
      </c>
      <c r="AD40">
        <f>0.4*E40+0.3*MIN(10,G39)+0.6*P40+0.2*MIN(R39,4.5)</f>
        <v>10.175000000000001</v>
      </c>
      <c r="AE40" t="str">
        <f>IF(AD40&gt;=$AI$18, "Wet", IF(AD40&gt;=$AI$19, "Above Normal", IF(AD40&gt;=$AI$20, "Below Normal", IF(AD40&gt;=$AI$21, "Dry", "Critical"))))</f>
        <v>Wet</v>
      </c>
      <c r="AF40" s="3"/>
    </row>
    <row r="41" spans="2:32" x14ac:dyDescent="0.25">
      <c r="B41">
        <v>2006</v>
      </c>
      <c r="C41" t="s">
        <v>16</v>
      </c>
      <c r="D41">
        <v>18.059999999999999</v>
      </c>
      <c r="E41">
        <v>13.09</v>
      </c>
      <c r="F41">
        <v>32.090000000000003</v>
      </c>
      <c r="G41">
        <v>13.2</v>
      </c>
      <c r="H41">
        <f t="shared" si="1"/>
        <v>13.201000000000001</v>
      </c>
      <c r="I41">
        <f t="shared" si="2"/>
        <v>0.5895765472312704</v>
      </c>
      <c r="J41">
        <f t="shared" si="3"/>
        <v>0.60336338156200287</v>
      </c>
      <c r="K41" t="s">
        <v>29</v>
      </c>
      <c r="L41" t="s">
        <v>3</v>
      </c>
      <c r="M41">
        <v>2006</v>
      </c>
      <c r="N41" t="s">
        <v>18</v>
      </c>
      <c r="O41">
        <v>2.86</v>
      </c>
      <c r="P41">
        <v>7.37</v>
      </c>
      <c r="Q41">
        <v>10.44</v>
      </c>
      <c r="R41">
        <v>5.9</v>
      </c>
      <c r="S41">
        <f t="shared" si="4"/>
        <v>5.8940000000000001</v>
      </c>
      <c r="T41">
        <f t="shared" si="5"/>
        <v>0.90295215473362744</v>
      </c>
      <c r="U41">
        <f t="shared" si="6"/>
        <v>0.24974550390227349</v>
      </c>
      <c r="V41" t="s">
        <v>29</v>
      </c>
      <c r="W41" t="s">
        <v>3</v>
      </c>
      <c r="X41">
        <f t="shared" si="0"/>
        <v>19.100000000000001</v>
      </c>
      <c r="Z41">
        <f>G41+R41</f>
        <v>19.100000000000001</v>
      </c>
      <c r="AA41" t="str">
        <f>IF(Z41&gt;=$AI$5, "Wet", IF(Z41&gt;=$AI$6, "Above Normal", IF(Z41&gt;=$AI$7, "Below Normal", IF(Z41&gt;=$AI$8, "Dry", "Critical"))))</f>
        <v>Wet</v>
      </c>
      <c r="AB41">
        <f>0.3*D41+0.3*MIN(10,G40)+0.2*O41+0.2*MIN(R40,4.5)</f>
        <v>9.4369999999999994</v>
      </c>
      <c r="AC41" t="str">
        <f>IF(AB41&gt;=$AI$11, "Wet", IF(AB41&gt;=$AI$12, "Above Normal", IF(AB41&gt;=$AI$13, "Below Normal", IF(AB41&gt;=$AI$14, "Dry", "Critical"))))</f>
        <v>Wet</v>
      </c>
      <c r="AD41">
        <f>0.4*E41+0.3*MIN(10,G40)+0.6*P41+0.2*MIN(R40,4.5)</f>
        <v>13.105000000000002</v>
      </c>
      <c r="AE41" t="str">
        <f>IF(AD41&gt;=$AI$18, "Wet", IF(AD41&gt;=$AI$19, "Above Normal", IF(AD41&gt;=$AI$20, "Below Normal", IF(AD41&gt;=$AI$21, "Dry", "Critical"))))</f>
        <v>Wet</v>
      </c>
      <c r="AF41" s="3"/>
    </row>
    <row r="42" spans="2:32" x14ac:dyDescent="0.25">
      <c r="B42">
        <v>2007</v>
      </c>
      <c r="C42" t="s">
        <v>16</v>
      </c>
      <c r="D42">
        <v>6.59</v>
      </c>
      <c r="E42">
        <v>3.04</v>
      </c>
      <c r="F42">
        <v>10.28</v>
      </c>
      <c r="G42">
        <v>6.19</v>
      </c>
      <c r="H42">
        <f t="shared" si="1"/>
        <v>6.1929999999999996</v>
      </c>
      <c r="I42">
        <f t="shared" si="2"/>
        <v>0.68076860972065245</v>
      </c>
      <c r="J42">
        <f t="shared" si="3"/>
        <v>0.80364928144679482</v>
      </c>
      <c r="K42" t="s">
        <v>19</v>
      </c>
      <c r="L42" t="s">
        <v>4</v>
      </c>
      <c r="M42">
        <v>2007</v>
      </c>
      <c r="N42" t="s">
        <v>18</v>
      </c>
      <c r="O42">
        <v>0.99</v>
      </c>
      <c r="P42">
        <v>1.46</v>
      </c>
      <c r="Q42">
        <v>2.5099999999999998</v>
      </c>
      <c r="R42">
        <v>1.97</v>
      </c>
      <c r="S42">
        <f t="shared" si="4"/>
        <v>1.9740000000000002</v>
      </c>
      <c r="T42">
        <f t="shared" si="5"/>
        <v>0.89969604863221875</v>
      </c>
      <c r="U42">
        <f t="shared" si="6"/>
        <v>0.55623100303951367</v>
      </c>
      <c r="V42" t="s">
        <v>21</v>
      </c>
      <c r="W42" t="s">
        <v>5</v>
      </c>
      <c r="X42">
        <f t="shared" si="0"/>
        <v>8.16</v>
      </c>
      <c r="Z42">
        <f>G42+R42</f>
        <v>8.16</v>
      </c>
      <c r="AA42" t="str">
        <f>IF(Z42&gt;=$AI$5, "Wet", IF(Z42&gt;=$AI$6, "Above Normal", IF(Z42&gt;=$AI$7, "Below Normal", IF(Z42&gt;=$AI$8, "Dry", "Critical"))))</f>
        <v>Dry</v>
      </c>
      <c r="AB42">
        <f>0.3*D42+0.3*MIN(10,G41)+0.2*O42+0.2*MIN(R41,4.5)</f>
        <v>6.0750000000000011</v>
      </c>
      <c r="AC42" t="str">
        <f>IF(AB42&gt;=$AI$11, "Wet", IF(AB42&gt;=$AI$12, "Above Normal", IF(AB42&gt;=$AI$13, "Below Normal", IF(AB42&gt;=$AI$14, "Dry", "Critical"))))</f>
        <v>Below Normal</v>
      </c>
      <c r="AD42">
        <f>0.4*E42+0.3*MIN(10,G41)+0.6*P42+0.2*MIN(R41,4.5)</f>
        <v>5.9920000000000009</v>
      </c>
      <c r="AE42" t="str">
        <f>IF(AD42&gt;=$AI$18, "Wet", IF(AD42&gt;=$AI$19, "Above Normal", IF(AD42&gt;=$AI$20, "Below Normal", IF(AD42&gt;=$AI$21, "Dry", "Critical"))))</f>
        <v>Above Normal</v>
      </c>
      <c r="AF42" s="3"/>
    </row>
    <row r="43" spans="2:32" x14ac:dyDescent="0.25">
      <c r="B43">
        <v>2008</v>
      </c>
      <c r="C43" t="s">
        <v>16</v>
      </c>
      <c r="D43">
        <v>5.9</v>
      </c>
      <c r="E43">
        <v>3.82</v>
      </c>
      <c r="F43">
        <v>10.28</v>
      </c>
      <c r="G43">
        <v>5.16</v>
      </c>
      <c r="H43">
        <f t="shared" si="1"/>
        <v>5.1550000000000002</v>
      </c>
      <c r="I43">
        <f t="shared" si="2"/>
        <v>0.65664403491755574</v>
      </c>
      <c r="J43">
        <f t="shared" si="3"/>
        <v>0.70358874878758482</v>
      </c>
      <c r="K43" t="s">
        <v>30</v>
      </c>
      <c r="L43" t="s">
        <v>5</v>
      </c>
      <c r="M43">
        <v>2008</v>
      </c>
      <c r="N43" t="s">
        <v>18</v>
      </c>
      <c r="O43">
        <v>0.99</v>
      </c>
      <c r="P43">
        <v>2.4500000000000002</v>
      </c>
      <c r="Q43">
        <v>3.49</v>
      </c>
      <c r="R43">
        <v>2.06</v>
      </c>
      <c r="S43">
        <f t="shared" si="4"/>
        <v>2.0619999999999998</v>
      </c>
      <c r="T43">
        <f t="shared" si="5"/>
        <v>0.90397672162948595</v>
      </c>
      <c r="U43">
        <f t="shared" si="6"/>
        <v>0.28709990300678961</v>
      </c>
      <c r="V43" t="s">
        <v>30</v>
      </c>
      <c r="W43" t="s">
        <v>5</v>
      </c>
      <c r="X43">
        <f t="shared" si="0"/>
        <v>7.2200000000000006</v>
      </c>
      <c r="Z43">
        <f>G43+R43</f>
        <v>7.2200000000000006</v>
      </c>
      <c r="AA43" t="str">
        <f>IF(Z43&gt;=$AI$5, "Wet", IF(Z43&gt;=$AI$6, "Above Normal", IF(Z43&gt;=$AI$7, "Below Normal", IF(Z43&gt;=$AI$8, "Dry", "Critical"))))</f>
        <v>Critical</v>
      </c>
      <c r="AB43">
        <f>0.3*D43+0.3*MIN(10,G42)+0.2*O43+0.2*MIN(R42,4.5)</f>
        <v>4.2189999999999994</v>
      </c>
      <c r="AC43" t="str">
        <f>IF(AB43&gt;=$AI$11, "Wet", IF(AB43&gt;=$AI$12, "Above Normal", IF(AB43&gt;=$AI$13, "Below Normal", IF(AB43&gt;=$AI$14, "Dry", "Critical"))))</f>
        <v>Critical</v>
      </c>
      <c r="AD43">
        <f>0.4*E43+0.3*MIN(10,G42)+0.6*P43+0.2*MIN(R42,4.5)</f>
        <v>5.2489999999999997</v>
      </c>
      <c r="AE43" t="str">
        <f>IF(AD43&gt;=$AI$18, "Wet", IF(AD43&gt;=$AI$19, "Above Normal", IF(AD43&gt;=$AI$20, "Below Normal", IF(AD43&gt;=$AI$21, "Dry", "Critical"))))</f>
        <v>Below Normal</v>
      </c>
      <c r="AF43" s="3"/>
    </row>
    <row r="44" spans="2:32" x14ac:dyDescent="0.25">
      <c r="B44">
        <v>2009</v>
      </c>
      <c r="C44" t="s">
        <v>16</v>
      </c>
      <c r="D44">
        <v>7.05</v>
      </c>
      <c r="E44">
        <v>5.3</v>
      </c>
      <c r="F44">
        <v>13.02</v>
      </c>
      <c r="G44">
        <v>5.78</v>
      </c>
      <c r="H44">
        <f t="shared" si="1"/>
        <v>5.7829999999999995</v>
      </c>
      <c r="I44">
        <f t="shared" si="2"/>
        <v>0.63427286875324229</v>
      </c>
      <c r="J44">
        <f t="shared" si="3"/>
        <v>0.63340826560608687</v>
      </c>
      <c r="K44" t="s">
        <v>19</v>
      </c>
      <c r="L44" t="s">
        <v>4</v>
      </c>
      <c r="M44">
        <v>2009</v>
      </c>
      <c r="N44" t="s">
        <v>18</v>
      </c>
      <c r="O44">
        <v>1.51</v>
      </c>
      <c r="P44">
        <v>3.35</v>
      </c>
      <c r="Q44">
        <v>4.9400000000000004</v>
      </c>
      <c r="R44">
        <v>2.72</v>
      </c>
      <c r="S44">
        <f t="shared" si="4"/>
        <v>2.7239999999999998</v>
      </c>
      <c r="T44">
        <f t="shared" si="5"/>
        <v>0.8891336270190896</v>
      </c>
      <c r="U44">
        <f t="shared" si="6"/>
        <v>0.26211453744493396</v>
      </c>
      <c r="V44" t="s">
        <v>22</v>
      </c>
      <c r="W44" t="s">
        <v>6</v>
      </c>
      <c r="X44">
        <f>SUM(G44,R44)</f>
        <v>8.5</v>
      </c>
      <c r="Z44">
        <f>G44+R44</f>
        <v>8.5</v>
      </c>
      <c r="AA44" t="str">
        <f>IF(Z44&gt;=$AI$5, "Wet", IF(Z44&gt;=$AI$6, "Above Normal", IF(Z44&gt;=$AI$7, "Below Normal", IF(Z44&gt;=$AI$8, "Dry", "Critical"))))</f>
        <v>Dry</v>
      </c>
      <c r="AB44">
        <f>0.3*D44+0.3*MIN(10,G43)+0.2*O44+0.2*MIN(R43,4.5)</f>
        <v>4.3769999999999998</v>
      </c>
      <c r="AC44" t="str">
        <f>IF(AB44&gt;=$AI$11, "Wet", IF(AB44&gt;=$AI$12, "Above Normal", IF(AB44&gt;=$AI$13, "Below Normal", IF(AB44&gt;=$AI$14, "Dry", "Critical"))))</f>
        <v>Critical</v>
      </c>
      <c r="AD44">
        <f>0.4*E44+0.3*MIN(10,G43)+0.6*P44+0.2*MIN(R43,4.5)</f>
        <v>6.09</v>
      </c>
      <c r="AE44" t="str">
        <f>IF(AD44&gt;=$AI$18, "Wet", IF(AD44&gt;=$AI$19, "Above Normal", IF(AD44&gt;=$AI$20, "Below Normal", IF(AD44&gt;=$AI$21, "Dry", "Critical"))))</f>
        <v>Above Normal</v>
      </c>
      <c r="AF44" s="3"/>
    </row>
    <row r="45" spans="2:32" x14ac:dyDescent="0.25">
      <c r="B45">
        <v>2010</v>
      </c>
      <c r="C45" t="s">
        <v>16</v>
      </c>
      <c r="D45">
        <v>7.45</v>
      </c>
      <c r="E45">
        <v>7.78</v>
      </c>
      <c r="F45">
        <v>16.010000000000002</v>
      </c>
      <c r="G45">
        <v>7.08</v>
      </c>
      <c r="H45">
        <f t="shared" si="1"/>
        <v>7.0809999999999995</v>
      </c>
      <c r="I45">
        <f t="shared" si="2"/>
        <v>0.68436661488490336</v>
      </c>
      <c r="J45">
        <f t="shared" si="3"/>
        <v>0.56051405168761481</v>
      </c>
      <c r="K45" t="s">
        <v>17</v>
      </c>
      <c r="L45" t="s">
        <v>6</v>
      </c>
      <c r="M45">
        <v>2010</v>
      </c>
      <c r="N45" t="s">
        <v>18</v>
      </c>
      <c r="O45">
        <v>1.43</v>
      </c>
      <c r="P45">
        <v>4.53</v>
      </c>
      <c r="Q45">
        <v>6.08</v>
      </c>
      <c r="R45">
        <v>3.55</v>
      </c>
      <c r="S45">
        <f t="shared" si="4"/>
        <v>3.548</v>
      </c>
      <c r="T45">
        <f t="shared" si="5"/>
        <v>0.91939120631341598</v>
      </c>
      <c r="U45">
        <f t="shared" si="6"/>
        <v>0.23393461104847804</v>
      </c>
      <c r="V45" t="s">
        <v>27</v>
      </c>
      <c r="W45" t="s">
        <v>7</v>
      </c>
      <c r="X45">
        <f t="shared" si="0"/>
        <v>10.629999999999999</v>
      </c>
      <c r="Z45">
        <f>G45+R45</f>
        <v>10.629999999999999</v>
      </c>
      <c r="AA45" t="str">
        <f>IF(Z45&gt;=$AI$5, "Wet", IF(Z45&gt;=$AI$6, "Above Normal", IF(Z45&gt;=$AI$7, "Below Normal", IF(Z45&gt;=$AI$8, "Dry", "Critical"))))</f>
        <v>Below Normal</v>
      </c>
      <c r="AB45">
        <f>0.3*D45+0.3*MIN(10,G44)+0.2*O45+0.2*MIN(R44,4.5)</f>
        <v>4.7989999999999995</v>
      </c>
      <c r="AC45" t="str">
        <f>IF(AB45&gt;=$AI$11, "Wet", IF(AB45&gt;=$AI$12, "Above Normal", IF(AB45&gt;=$AI$13, "Below Normal", IF(AB45&gt;=$AI$14, "Dry", "Critical"))))</f>
        <v>Dry</v>
      </c>
      <c r="AD45">
        <f>0.4*E45+0.3*MIN(10,G44)+0.6*P45+0.2*MIN(R44,4.5)</f>
        <v>8.1080000000000005</v>
      </c>
      <c r="AE45" t="str">
        <f>IF(AD45&gt;=$AI$18, "Wet", IF(AD45&gt;=$AI$19, "Above Normal", IF(AD45&gt;=$AI$20, "Below Normal", IF(AD45&gt;=$AI$21, "Dry", "Critical"))))</f>
        <v>Wet</v>
      </c>
      <c r="AF45" s="3"/>
    </row>
    <row r="46" spans="2:32" x14ac:dyDescent="0.25">
      <c r="B46">
        <v>2011</v>
      </c>
      <c r="C46" t="s">
        <v>16</v>
      </c>
      <c r="D46">
        <v>12.68</v>
      </c>
      <c r="E46">
        <v>11.53</v>
      </c>
      <c r="F46">
        <v>25.21</v>
      </c>
      <c r="G46">
        <v>10.54</v>
      </c>
      <c r="H46">
        <f t="shared" si="1"/>
        <v>10.540000000000001</v>
      </c>
      <c r="I46">
        <f t="shared" si="2"/>
        <v>0.63908918406072102</v>
      </c>
      <c r="J46">
        <f t="shared" si="3"/>
        <v>0.56242884250474379</v>
      </c>
      <c r="K46" t="s">
        <v>29</v>
      </c>
      <c r="L46" t="s">
        <v>3</v>
      </c>
      <c r="M46">
        <v>2011</v>
      </c>
      <c r="N46" t="s">
        <v>18</v>
      </c>
      <c r="O46">
        <v>3.68</v>
      </c>
      <c r="P46">
        <v>6.9</v>
      </c>
      <c r="Q46">
        <v>10.99</v>
      </c>
      <c r="R46">
        <v>5.58</v>
      </c>
      <c r="S46">
        <f t="shared" si="4"/>
        <v>5.5859999999999994</v>
      </c>
      <c r="T46">
        <f t="shared" si="5"/>
        <v>0.86824203365556751</v>
      </c>
      <c r="U46">
        <f t="shared" si="6"/>
        <v>0.25886143931256717</v>
      </c>
      <c r="V46" t="s">
        <v>29</v>
      </c>
      <c r="W46" t="s">
        <v>3</v>
      </c>
      <c r="X46">
        <f t="shared" si="0"/>
        <v>16.119999999999997</v>
      </c>
      <c r="Z46">
        <f>G46+R46</f>
        <v>16.119999999999997</v>
      </c>
      <c r="AA46" t="str">
        <f>IF(Z46&gt;=$AI$5, "Wet", IF(Z46&gt;=$AI$6, "Above Normal", IF(Z46&gt;=$AI$7, "Below Normal", IF(Z46&gt;=$AI$8, "Dry", "Critical"))))</f>
        <v>Wet</v>
      </c>
      <c r="AB46">
        <f>0.3*D46+0.3*MIN(10,G45)+0.2*O46+0.2*MIN(R45,4.5)</f>
        <v>7.3739999999999997</v>
      </c>
      <c r="AC46" t="str">
        <f>IF(AB46&gt;=$AI$11, "Wet", IF(AB46&gt;=$AI$12, "Above Normal", IF(AB46&gt;=$AI$13, "Below Normal", IF(AB46&gt;=$AI$14, "Dry", "Critical"))))</f>
        <v>Above Normal</v>
      </c>
      <c r="AD46">
        <f>0.4*E46+0.3*MIN(10,G45)+0.6*P46+0.2*MIN(R45,4.5)</f>
        <v>11.586000000000002</v>
      </c>
      <c r="AE46" t="str">
        <f>IF(AD46&gt;=$AI$18, "Wet", IF(AD46&gt;=$AI$19, "Above Normal", IF(AD46&gt;=$AI$20, "Below Normal", IF(AD46&gt;=$AI$21, "Dry", "Critical"))))</f>
        <v>Wet</v>
      </c>
      <c r="AF46" s="3"/>
    </row>
    <row r="47" spans="2:32" x14ac:dyDescent="0.25">
      <c r="B47">
        <v>2012</v>
      </c>
      <c r="C47" t="s">
        <v>16</v>
      </c>
      <c r="D47">
        <v>5.69</v>
      </c>
      <c r="E47">
        <v>5.46</v>
      </c>
      <c r="F47">
        <v>11.84</v>
      </c>
      <c r="G47">
        <v>6.89</v>
      </c>
      <c r="H47">
        <f t="shared" si="1"/>
        <v>6.891</v>
      </c>
      <c r="I47">
        <f t="shared" si="2"/>
        <v>0.75228558989986938</v>
      </c>
      <c r="J47">
        <f t="shared" si="3"/>
        <v>0.68306486721811055</v>
      </c>
      <c r="K47" t="s">
        <v>22</v>
      </c>
      <c r="L47" t="s">
        <v>6</v>
      </c>
      <c r="M47">
        <v>2012</v>
      </c>
      <c r="N47" t="s">
        <v>18</v>
      </c>
      <c r="O47">
        <v>0.83</v>
      </c>
      <c r="P47">
        <v>1.86</v>
      </c>
      <c r="Q47">
        <v>2.76</v>
      </c>
      <c r="R47">
        <v>2.1800000000000002</v>
      </c>
      <c r="S47">
        <f t="shared" si="4"/>
        <v>2.1819999999999999</v>
      </c>
      <c r="T47">
        <f t="shared" si="5"/>
        <v>0.92392300641613201</v>
      </c>
      <c r="U47">
        <f t="shared" si="6"/>
        <v>0.4885426214482127</v>
      </c>
      <c r="V47" t="s">
        <v>19</v>
      </c>
      <c r="W47" t="s">
        <v>4</v>
      </c>
      <c r="X47">
        <f t="shared" si="0"/>
        <v>9.07</v>
      </c>
      <c r="Z47">
        <f>G47+R47</f>
        <v>9.07</v>
      </c>
      <c r="AA47" t="str">
        <f>IF(Z47&gt;=$AI$5, "Wet", IF(Z47&gt;=$AI$6, "Above Normal", IF(Z47&gt;=$AI$7, "Below Normal", IF(Z47&gt;=$AI$8, "Dry", "Critical"))))</f>
        <v>Below Normal</v>
      </c>
      <c r="AB47">
        <f>0.3*D47+0.3*MIN(10,G46)+0.2*O47+0.2*MIN(R46,4.5)</f>
        <v>5.7730000000000006</v>
      </c>
      <c r="AC47" t="str">
        <f>IF(AB47&gt;=$AI$11, "Wet", IF(AB47&gt;=$AI$12, "Above Normal", IF(AB47&gt;=$AI$13, "Below Normal", IF(AB47&gt;=$AI$14, "Dry", "Critical"))))</f>
        <v>Below Normal</v>
      </c>
      <c r="AD47">
        <f>0.4*E47+0.3*MIN(10,G46)+0.6*P47+0.2*MIN(R46,4.5)</f>
        <v>7.2000000000000011</v>
      </c>
      <c r="AE47" t="str">
        <f>IF(AD47&gt;=$AI$18, "Wet", IF(AD47&gt;=$AI$19, "Above Normal", IF(AD47&gt;=$AI$20, "Below Normal", IF(AD47&gt;=$AI$21, "Dry", "Critical"))))</f>
        <v>Wet</v>
      </c>
      <c r="AF47" s="3"/>
    </row>
    <row r="48" spans="2:32" x14ac:dyDescent="0.25">
      <c r="B48">
        <v>2013</v>
      </c>
      <c r="C48" t="s">
        <v>16</v>
      </c>
      <c r="D48">
        <v>8.52</v>
      </c>
      <c r="E48">
        <v>3.01</v>
      </c>
      <c r="F48">
        <v>12.19</v>
      </c>
      <c r="G48">
        <v>5.83</v>
      </c>
      <c r="H48">
        <f t="shared" si="1"/>
        <v>5.827</v>
      </c>
      <c r="I48">
        <f t="shared" si="2"/>
        <v>0.5613523253818431</v>
      </c>
      <c r="J48">
        <f t="shared" si="3"/>
        <v>0.79337566500772261</v>
      </c>
      <c r="K48" t="s">
        <v>19</v>
      </c>
      <c r="L48" t="s">
        <v>4</v>
      </c>
      <c r="M48">
        <v>2013</v>
      </c>
      <c r="N48" t="s">
        <v>18</v>
      </c>
      <c r="O48">
        <v>1.33</v>
      </c>
      <c r="P48">
        <v>1.67</v>
      </c>
      <c r="Q48">
        <v>3.05</v>
      </c>
      <c r="R48">
        <v>1.71</v>
      </c>
      <c r="S48">
        <f t="shared" si="4"/>
        <v>1.7040000000000002</v>
      </c>
      <c r="T48">
        <f t="shared" si="5"/>
        <v>0.8438967136150235</v>
      </c>
      <c r="U48">
        <f t="shared" si="6"/>
        <v>0.4119718309859155</v>
      </c>
      <c r="V48" t="s">
        <v>21</v>
      </c>
      <c r="W48" t="s">
        <v>5</v>
      </c>
      <c r="X48">
        <f t="shared" si="0"/>
        <v>7.54</v>
      </c>
      <c r="Z48">
        <f>G48+R48</f>
        <v>7.54</v>
      </c>
      <c r="AA48" t="str">
        <f>IF(Z48&gt;=$AI$5, "Wet", IF(Z48&gt;=$AI$6, "Above Normal", IF(Z48&gt;=$AI$7, "Below Normal", IF(Z48&gt;=$AI$8, "Dry", "Critical"))))</f>
        <v>Dry</v>
      </c>
      <c r="AB48">
        <f>0.3*D48+0.3*MIN(10,G47)+0.2*O48+0.2*MIN(R47,4.5)</f>
        <v>5.3249999999999993</v>
      </c>
      <c r="AC48" t="str">
        <f>IF(AB48&gt;=$AI$11, "Wet", IF(AB48&gt;=$AI$12, "Above Normal", IF(AB48&gt;=$AI$13, "Below Normal", IF(AB48&gt;=$AI$14, "Dry", "Critical"))))</f>
        <v>Dry</v>
      </c>
      <c r="AD48">
        <f>0.4*E48+0.3*MIN(10,G47)+0.6*P48+0.2*MIN(R47,4.5)</f>
        <v>4.7089999999999996</v>
      </c>
      <c r="AE48" t="str">
        <f>IF(AD48&gt;=$AI$18, "Wet", IF(AD48&gt;=$AI$19, "Above Normal", IF(AD48&gt;=$AI$20, "Below Normal", IF(AD48&gt;=$AI$21, "Dry", "Critical"))))</f>
        <v>Dry</v>
      </c>
      <c r="AF48" s="3"/>
    </row>
    <row r="49" spans="2:32" x14ac:dyDescent="0.25">
      <c r="B49">
        <v>2014</v>
      </c>
      <c r="C49" t="s">
        <v>16</v>
      </c>
      <c r="D49">
        <v>4.29</v>
      </c>
      <c r="E49">
        <v>2.59</v>
      </c>
      <c r="F49">
        <v>7.46</v>
      </c>
      <c r="G49">
        <v>4.07</v>
      </c>
      <c r="H49">
        <f t="shared" si="1"/>
        <v>4.0720000000000001</v>
      </c>
      <c r="I49">
        <f t="shared" si="2"/>
        <v>0.68393909626719063</v>
      </c>
      <c r="J49">
        <f t="shared" si="3"/>
        <v>0.74557956777996059</v>
      </c>
      <c r="K49" t="s">
        <v>30</v>
      </c>
      <c r="L49" t="s">
        <v>5</v>
      </c>
      <c r="M49">
        <v>2014</v>
      </c>
      <c r="N49" t="s">
        <v>18</v>
      </c>
      <c r="O49">
        <v>0.46</v>
      </c>
      <c r="P49">
        <v>1.21</v>
      </c>
      <c r="Q49">
        <v>1.72</v>
      </c>
      <c r="R49">
        <v>1.1599999999999999</v>
      </c>
      <c r="S49">
        <f t="shared" si="4"/>
        <v>1.1599999999999999</v>
      </c>
      <c r="T49">
        <f t="shared" si="5"/>
        <v>0.92068965517241386</v>
      </c>
      <c r="U49">
        <f t="shared" si="6"/>
        <v>0.37413793103448284</v>
      </c>
      <c r="V49" t="s">
        <v>30</v>
      </c>
      <c r="W49" t="s">
        <v>5</v>
      </c>
      <c r="X49">
        <f t="shared" si="0"/>
        <v>5.23</v>
      </c>
      <c r="Z49">
        <f>G49+R49</f>
        <v>5.23</v>
      </c>
      <c r="AA49" t="str">
        <f>IF(Z49&gt;=$AI$5, "Wet", IF(Z49&gt;=$AI$6, "Above Normal", IF(Z49&gt;=$AI$7, "Below Normal", IF(Z49&gt;=$AI$8, "Dry", "Critical"))))</f>
        <v>Critical</v>
      </c>
      <c r="AB49">
        <f>0.3*D49+0.3*MIN(10,G48)+0.2*O49+0.2*MIN(R48,4.5)</f>
        <v>3.4699999999999998</v>
      </c>
      <c r="AC49" t="str">
        <f>IF(AB49&gt;=$AI$11, "Wet", IF(AB49&gt;=$AI$12, "Above Normal", IF(AB49&gt;=$AI$13, "Below Normal", IF(AB49&gt;=$AI$14, "Dry", "Critical"))))</f>
        <v>Critical</v>
      </c>
      <c r="AD49">
        <f>0.4*E49+0.3*MIN(10,G48)+0.6*P49+0.2*MIN(R48,4.5)</f>
        <v>3.8530000000000002</v>
      </c>
      <c r="AE49" t="str">
        <f>IF(AD49&gt;=$AI$18, "Wet", IF(AD49&gt;=$AI$19, "Above Normal", IF(AD49&gt;=$AI$20, "Below Normal", IF(AD49&gt;=$AI$21, "Dry", "Critical"))))</f>
        <v>Critical</v>
      </c>
      <c r="AF49" s="3"/>
    </row>
    <row r="50" spans="2:32" x14ac:dyDescent="0.25">
      <c r="B50">
        <v>2015</v>
      </c>
      <c r="C50" t="s">
        <v>16</v>
      </c>
      <c r="D50">
        <v>6.91</v>
      </c>
      <c r="E50">
        <v>1.77</v>
      </c>
      <c r="F50">
        <v>9.23</v>
      </c>
      <c r="G50">
        <v>4</v>
      </c>
      <c r="H50">
        <f t="shared" si="1"/>
        <v>4.0020000000000007</v>
      </c>
      <c r="I50">
        <f t="shared" si="2"/>
        <v>0.48200899550224885</v>
      </c>
      <c r="J50">
        <f t="shared" si="3"/>
        <v>0.82308845577211387</v>
      </c>
      <c r="K50" t="s">
        <v>30</v>
      </c>
      <c r="L50" t="s">
        <v>5</v>
      </c>
      <c r="M50">
        <v>2015</v>
      </c>
      <c r="N50" t="s">
        <v>18</v>
      </c>
      <c r="O50">
        <v>0.67</v>
      </c>
      <c r="P50">
        <v>0.74</v>
      </c>
      <c r="Q50">
        <v>1.44</v>
      </c>
      <c r="R50">
        <v>0.81</v>
      </c>
      <c r="S50">
        <f t="shared" si="4"/>
        <v>0.81</v>
      </c>
      <c r="T50">
        <f t="shared" si="5"/>
        <v>0.83456790123456781</v>
      </c>
      <c r="U50">
        <f t="shared" si="6"/>
        <v>0.45185185185185184</v>
      </c>
      <c r="V50" t="s">
        <v>21</v>
      </c>
      <c r="W50" t="s">
        <v>5</v>
      </c>
      <c r="X50">
        <f t="shared" si="0"/>
        <v>4.8100000000000005</v>
      </c>
      <c r="Z50">
        <f>G50+R50</f>
        <v>4.8100000000000005</v>
      </c>
      <c r="AA50" t="str">
        <f>IF(Z50&gt;=$AI$5, "Wet", IF(Z50&gt;=$AI$6, "Above Normal", IF(Z50&gt;=$AI$7, "Below Normal", IF(Z50&gt;=$AI$8, "Dry", "Critical"))))</f>
        <v>Critical</v>
      </c>
      <c r="AB50">
        <f>0.3*D50+0.3*MIN(10,G49)+0.2*O50+0.2*MIN(R49,4.5)</f>
        <v>3.66</v>
      </c>
      <c r="AC50" t="str">
        <f>IF(AB50&gt;=$AI$11, "Wet", IF(AB50&gt;=$AI$12, "Above Normal", IF(AB50&gt;=$AI$13, "Below Normal", IF(AB50&gt;=$AI$14, "Dry", "Critical"))))</f>
        <v>Critical</v>
      </c>
      <c r="AD50">
        <f>0.4*E50+0.3*MIN(10,G49)+0.6*P50+0.2*MIN(R49,4.5)</f>
        <v>2.6050000000000004</v>
      </c>
      <c r="AE50" t="str">
        <f>IF(AD50&gt;=$AI$18, "Wet", IF(AD50&gt;=$AI$19, "Above Normal", IF(AD50&gt;=$AI$20, "Below Normal", IF(AD50&gt;=$AI$21, "Dry", "Critical"))))</f>
        <v>Critical</v>
      </c>
      <c r="AF50" s="3"/>
    </row>
    <row r="51" spans="2:32" x14ac:dyDescent="0.25">
      <c r="B51">
        <v>2016</v>
      </c>
      <c r="C51" t="s">
        <v>16</v>
      </c>
      <c r="D51">
        <v>12.24</v>
      </c>
      <c r="E51">
        <v>4.5999999999999996</v>
      </c>
      <c r="F51">
        <v>17.48</v>
      </c>
      <c r="G51">
        <v>6.71</v>
      </c>
      <c r="H51">
        <f t="shared" si="1"/>
        <v>6.7119999999999997</v>
      </c>
      <c r="I51">
        <f t="shared" si="2"/>
        <v>0.45292014302741362</v>
      </c>
      <c r="J51">
        <f t="shared" si="3"/>
        <v>0.72586412395709177</v>
      </c>
      <c r="K51" t="s">
        <v>22</v>
      </c>
      <c r="L51" t="s">
        <v>6</v>
      </c>
      <c r="M51">
        <v>2016</v>
      </c>
      <c r="N51" t="s">
        <v>18</v>
      </c>
      <c r="O51">
        <v>2.0299999999999998</v>
      </c>
      <c r="P51">
        <v>2.98</v>
      </c>
      <c r="Q51">
        <v>5.0599999999999996</v>
      </c>
      <c r="R51">
        <v>2.35</v>
      </c>
      <c r="S51">
        <f t="shared" si="4"/>
        <v>2.3559999999999999</v>
      </c>
      <c r="T51">
        <f t="shared" si="5"/>
        <v>0.82767402376910026</v>
      </c>
      <c r="U51">
        <f t="shared" si="6"/>
        <v>0.24108658743633279</v>
      </c>
      <c r="V51" t="s">
        <v>19</v>
      </c>
      <c r="W51" t="s">
        <v>4</v>
      </c>
      <c r="X51">
        <f t="shared" si="0"/>
        <v>9.06</v>
      </c>
      <c r="Z51">
        <f>G51+R51</f>
        <v>9.06</v>
      </c>
      <c r="AA51" t="str">
        <f>IF(Z51&gt;=$AI$5, "Wet", IF(Z51&gt;=$AI$6, "Above Normal", IF(Z51&gt;=$AI$7, "Below Normal", IF(Z51&gt;=$AI$8, "Dry", "Critical"))))</f>
        <v>Below Normal</v>
      </c>
      <c r="AB51">
        <f>0.3*D51+0.3*MIN(10,G50)+0.2*O51+0.2*MIN(R50,4.5)</f>
        <v>5.4399999999999995</v>
      </c>
      <c r="AC51" t="str">
        <f>IF(AB51&gt;=$AI$11, "Wet", IF(AB51&gt;=$AI$12, "Above Normal", IF(AB51&gt;=$AI$13, "Below Normal", IF(AB51&gt;=$AI$14, "Dry", "Critical"))))</f>
        <v>Below Normal</v>
      </c>
      <c r="AD51">
        <f>0.4*E51+0.3*MIN(10,G50)+0.6*P51+0.2*MIN(R50,4.5)</f>
        <v>4.99</v>
      </c>
      <c r="AE51" t="str">
        <f>IF(AD51&gt;=$AI$18, "Wet", IF(AD51&gt;=$AI$19, "Above Normal", IF(AD51&gt;=$AI$20, "Below Normal", IF(AD51&gt;=$AI$21, "Dry", "Critical"))))</f>
        <v>Below Normal</v>
      </c>
      <c r="AF51" s="3"/>
    </row>
    <row r="52" spans="2:32" x14ac:dyDescent="0.25">
      <c r="B52">
        <v>2017</v>
      </c>
      <c r="C52" t="s">
        <v>16</v>
      </c>
      <c r="D52">
        <v>26.17</v>
      </c>
      <c r="E52">
        <v>10.69</v>
      </c>
      <c r="F52">
        <v>37.82</v>
      </c>
      <c r="G52">
        <v>14.14</v>
      </c>
      <c r="H52">
        <f t="shared" si="1"/>
        <v>14.139999999999999</v>
      </c>
      <c r="I52">
        <f t="shared" si="2"/>
        <v>0.4447666195190948</v>
      </c>
      <c r="J52">
        <f t="shared" si="3"/>
        <v>0.69759547383309772</v>
      </c>
      <c r="K52" t="s">
        <v>23</v>
      </c>
      <c r="L52" t="s">
        <v>3</v>
      </c>
      <c r="M52">
        <v>2017</v>
      </c>
      <c r="N52" t="s">
        <v>18</v>
      </c>
      <c r="O52">
        <v>6.65</v>
      </c>
      <c r="P52">
        <v>7.77</v>
      </c>
      <c r="Q52">
        <v>14.84</v>
      </c>
      <c r="R52">
        <v>6.46</v>
      </c>
      <c r="S52">
        <f t="shared" si="4"/>
        <v>6.4619999999999997</v>
      </c>
      <c r="T52">
        <f t="shared" si="5"/>
        <v>0.79418136799752392</v>
      </c>
      <c r="U52">
        <f t="shared" si="6"/>
        <v>0.2785515320334262</v>
      </c>
      <c r="V52" t="s">
        <v>23</v>
      </c>
      <c r="W52" t="s">
        <v>3</v>
      </c>
      <c r="X52">
        <f t="shared" si="0"/>
        <v>20.6</v>
      </c>
      <c r="Z52">
        <f>G52+R52</f>
        <v>20.6</v>
      </c>
      <c r="AA52" t="str">
        <f>IF(Z52&gt;=$AI$5, "Wet", IF(Z52&gt;=$AI$6, "Above Normal", IF(Z52&gt;=$AI$7, "Below Normal", IF(Z52&gt;=$AI$8, "Dry", "Critical"))))</f>
        <v>Wet</v>
      </c>
      <c r="AB52">
        <f>0.3*D52+0.3*MIN(10,G51)+0.2*O52+0.2*MIN(R51,4.5)</f>
        <v>11.664000000000001</v>
      </c>
      <c r="AC52" t="str">
        <f>IF(AB52&gt;=$AI$11, "Wet", IF(AB52&gt;=$AI$12, "Above Normal", IF(AB52&gt;=$AI$13, "Below Normal", IF(AB52&gt;=$AI$14, "Dry", "Critical"))))</f>
        <v>Wet</v>
      </c>
      <c r="AD52">
        <f>0.4*E52+0.3*MIN(10,G51)+0.6*P52+0.2*MIN(R51,4.5)</f>
        <v>11.421000000000001</v>
      </c>
      <c r="AE52" t="str">
        <f>IF(AD52&gt;=$AI$18, "Wet", IF(AD52&gt;=$AI$19, "Above Normal", IF(AD52&gt;=$AI$20, "Below Normal", IF(AD52&gt;=$AI$21, "Dry", "Critical"))))</f>
        <v>Wet</v>
      </c>
      <c r="AF52" s="3"/>
    </row>
    <row r="53" spans="2:32" x14ac:dyDescent="0.25">
      <c r="B53">
        <v>2018</v>
      </c>
      <c r="C53" t="s">
        <v>16</v>
      </c>
      <c r="D53">
        <v>7.09</v>
      </c>
      <c r="E53">
        <v>5.05</v>
      </c>
      <c r="F53">
        <v>12.86</v>
      </c>
      <c r="G53">
        <v>7.14</v>
      </c>
      <c r="H53">
        <f t="shared" si="1"/>
        <v>7.1470000000000002</v>
      </c>
      <c r="I53">
        <f t="shared" si="2"/>
        <v>0.70239261228487471</v>
      </c>
      <c r="J53">
        <f t="shared" si="3"/>
        <v>0.71736392892122558</v>
      </c>
      <c r="K53" t="s">
        <v>22</v>
      </c>
      <c r="L53" t="s">
        <v>6</v>
      </c>
      <c r="M53">
        <v>2018</v>
      </c>
      <c r="N53" t="s">
        <v>18</v>
      </c>
      <c r="O53">
        <v>1.64</v>
      </c>
      <c r="P53">
        <v>3.01</v>
      </c>
      <c r="Q53">
        <v>4.76</v>
      </c>
      <c r="R53">
        <v>3.03</v>
      </c>
      <c r="S53">
        <f t="shared" si="4"/>
        <v>3.0339999999999998</v>
      </c>
      <c r="T53">
        <f t="shared" si="5"/>
        <v>0.89189189189189189</v>
      </c>
      <c r="U53">
        <f t="shared" si="6"/>
        <v>0.40474620962425845</v>
      </c>
      <c r="V53" t="s">
        <v>22</v>
      </c>
      <c r="W53" t="s">
        <v>6</v>
      </c>
      <c r="X53">
        <f t="shared" si="0"/>
        <v>10.17</v>
      </c>
      <c r="Z53">
        <f>G53+R53</f>
        <v>10.17</v>
      </c>
      <c r="AA53" t="str">
        <f>IF(Z53&gt;=$AI$5, "Wet", IF(Z53&gt;=$AI$6, "Above Normal", IF(Z53&gt;=$AI$7, "Below Normal", IF(Z53&gt;=$AI$8, "Dry", "Critical"))))</f>
        <v>Below Normal</v>
      </c>
      <c r="AB53">
        <f>0.3*D53+0.3*MIN(10,G52)+0.2*O53+0.2*MIN(R52,4.5)</f>
        <v>6.3550000000000004</v>
      </c>
      <c r="AC53" t="str">
        <f>IF(AB53&gt;=$AI$11, "Wet", IF(AB53&gt;=$AI$12, "Above Normal", IF(AB53&gt;=$AI$13, "Below Normal", IF(AB53&gt;=$AI$14, "Dry", "Critical"))))</f>
        <v>Below Normal</v>
      </c>
      <c r="AD53">
        <f>0.4*E53+0.3*MIN(10,G52)+0.6*P53+0.2*MIN(R52,4.5)</f>
        <v>7.726</v>
      </c>
      <c r="AE53" t="str">
        <f>IF(AD53&gt;=$AI$18, "Wet", IF(AD53&gt;=$AI$19, "Above Normal", IF(AD53&gt;=$AI$20, "Below Normal", IF(AD53&gt;=$AI$21, "Dry", "Critical"))))</f>
        <v>Wet</v>
      </c>
      <c r="AF53" s="3"/>
    </row>
    <row r="54" spans="2:32" x14ac:dyDescent="0.25">
      <c r="B54">
        <v>2019</v>
      </c>
      <c r="C54" t="s">
        <v>16</v>
      </c>
      <c r="D54">
        <v>13.11</v>
      </c>
      <c r="E54">
        <v>10.66</v>
      </c>
      <c r="F54">
        <v>24.77</v>
      </c>
      <c r="G54">
        <v>10.34</v>
      </c>
      <c r="H54">
        <f t="shared" si="1"/>
        <v>10.338999999999999</v>
      </c>
      <c r="I54">
        <f t="shared" si="2"/>
        <v>0.61959570558081067</v>
      </c>
      <c r="J54">
        <f t="shared" si="3"/>
        <v>0.58758100396556723</v>
      </c>
      <c r="K54" t="s">
        <v>29</v>
      </c>
      <c r="L54" t="s">
        <v>3</v>
      </c>
      <c r="M54">
        <v>2019</v>
      </c>
      <c r="N54" t="s">
        <v>18</v>
      </c>
      <c r="O54">
        <v>2.64</v>
      </c>
      <c r="P54">
        <v>6.34</v>
      </c>
      <c r="Q54">
        <v>9.2799999999999994</v>
      </c>
      <c r="R54">
        <v>4.9400000000000004</v>
      </c>
      <c r="S54">
        <f t="shared" si="4"/>
        <v>4.9379999999999997</v>
      </c>
      <c r="T54">
        <f t="shared" si="5"/>
        <v>0.89307411907654932</v>
      </c>
      <c r="U54">
        <f t="shared" si="6"/>
        <v>0.22964763061968407</v>
      </c>
      <c r="V54" t="s">
        <v>29</v>
      </c>
      <c r="W54" t="s">
        <v>3</v>
      </c>
      <c r="X54">
        <f t="shared" si="0"/>
        <v>15.280000000000001</v>
      </c>
      <c r="Z54">
        <f>G54+R54</f>
        <v>15.280000000000001</v>
      </c>
      <c r="AA54" t="str">
        <f>IF(Z54&gt;=$AI$5, "Wet", IF(Z54&gt;=$AI$6, "Above Normal", IF(Z54&gt;=$AI$7, "Below Normal", IF(Z54&gt;=$AI$8, "Dry", "Critical"))))</f>
        <v>Wet</v>
      </c>
      <c r="AB54">
        <f>0.3*D54+0.3*MIN(10,G53)+0.2*O54+0.2*MIN(R53,4.5)</f>
        <v>7.2089999999999996</v>
      </c>
      <c r="AC54" t="str">
        <f>IF(AB54&gt;=$AI$11, "Wet", IF(AB54&gt;=$AI$12, "Above Normal", IF(AB54&gt;=$AI$13, "Below Normal", IF(AB54&gt;=$AI$14, "Dry", "Critical"))))</f>
        <v>Above Normal</v>
      </c>
      <c r="AD54">
        <f>0.4*E54+0.3*MIN(10,G53)+0.6*P54+0.2*MIN(R53,4.5)</f>
        <v>10.816000000000001</v>
      </c>
      <c r="AE54" t="str">
        <f>IF(AD54&gt;=$AI$18, "Wet", IF(AD54&gt;=$AI$19, "Above Normal", IF(AD54&gt;=$AI$20, "Below Normal", IF(AD54&gt;=$AI$21, "Dry", "Critical"))))</f>
        <v>Wet</v>
      </c>
      <c r="AF54" s="3"/>
    </row>
    <row r="55" spans="2:32" x14ac:dyDescent="0.25">
      <c r="B55">
        <v>2020</v>
      </c>
      <c r="C55" t="s">
        <v>16</v>
      </c>
      <c r="D55">
        <v>4.91</v>
      </c>
      <c r="E55">
        <v>4.13</v>
      </c>
      <c r="F55">
        <v>9.7100000000000009</v>
      </c>
      <c r="G55">
        <v>6.12</v>
      </c>
      <c r="H55">
        <f t="shared" si="1"/>
        <v>6.125</v>
      </c>
      <c r="I55">
        <f t="shared" si="2"/>
        <v>0.75951020408163272</v>
      </c>
      <c r="J55">
        <f t="shared" si="3"/>
        <v>0.73028571428571432</v>
      </c>
      <c r="K55" t="s">
        <v>19</v>
      </c>
      <c r="L55" t="s">
        <v>4</v>
      </c>
      <c r="M55">
        <v>2020</v>
      </c>
      <c r="N55" t="s">
        <v>18</v>
      </c>
      <c r="O55">
        <v>0.8</v>
      </c>
      <c r="P55">
        <v>2.15</v>
      </c>
      <c r="Q55">
        <v>3.02</v>
      </c>
      <c r="R55">
        <v>2.35</v>
      </c>
      <c r="S55">
        <f t="shared" si="4"/>
        <v>2.3499999999999996</v>
      </c>
      <c r="T55">
        <f t="shared" si="5"/>
        <v>0.9319148936170214</v>
      </c>
      <c r="U55">
        <f t="shared" si="6"/>
        <v>0.45106382978723414</v>
      </c>
      <c r="V55" t="s">
        <v>19</v>
      </c>
      <c r="W55" t="s">
        <v>4</v>
      </c>
      <c r="X55">
        <f t="shared" si="0"/>
        <v>8.4700000000000006</v>
      </c>
      <c r="Z55">
        <f>G55+R55</f>
        <v>8.4700000000000006</v>
      </c>
      <c r="AA55" t="str">
        <f>IF(Z55&gt;=$AI$5, "Wet", IF(Z55&gt;=$AI$6, "Above Normal", IF(Z55&gt;=$AI$7, "Below Normal", IF(Z55&gt;=$AI$8, "Dry", "Critical"))))</f>
        <v>Dry</v>
      </c>
      <c r="AB55">
        <f>0.3*D55+0.3*MIN(10,G54)+0.2*O55+0.2*MIN(R54,4.5)</f>
        <v>5.5330000000000004</v>
      </c>
      <c r="AC55" t="str">
        <f>IF(AB55&gt;=$AI$11, "Wet", IF(AB55&gt;=$AI$12, "Above Normal", IF(AB55&gt;=$AI$13, "Below Normal", IF(AB55&gt;=$AI$14, "Dry", "Critical"))))</f>
        <v>Below Normal</v>
      </c>
      <c r="AD55">
        <f>0.4*E55+0.3*MIN(10,G54)+0.6*P55+0.2*MIN(R54,4.5)</f>
        <v>6.8420000000000005</v>
      </c>
      <c r="AE55" t="str">
        <f>IF(AD55&gt;=$AI$18, "Wet", IF(AD55&gt;=$AI$19, "Above Normal", IF(AD55&gt;=$AI$20, "Below Normal", IF(AD55&gt;=$AI$21, "Dry", "Critical"))))</f>
        <v>Wet</v>
      </c>
      <c r="AF55" s="3"/>
    </row>
    <row r="56" spans="2:32" x14ac:dyDescent="0.25">
      <c r="B56">
        <v>2021</v>
      </c>
      <c r="C56" t="s">
        <v>16</v>
      </c>
      <c r="D56">
        <v>3.52</v>
      </c>
      <c r="E56">
        <v>2.2599999999999998</v>
      </c>
      <c r="F56">
        <v>6.37</v>
      </c>
      <c r="G56">
        <v>3.8</v>
      </c>
      <c r="H56">
        <f t="shared" si="1"/>
        <v>3.7959999999999998</v>
      </c>
      <c r="I56">
        <f t="shared" si="2"/>
        <v>0.72181243414120122</v>
      </c>
      <c r="J56">
        <f t="shared" si="3"/>
        <v>0.76185458377239201</v>
      </c>
      <c r="K56" t="s">
        <v>30</v>
      </c>
      <c r="L56" t="s">
        <v>5</v>
      </c>
      <c r="M56">
        <v>2021</v>
      </c>
      <c r="N56" t="s">
        <v>18</v>
      </c>
      <c r="O56">
        <v>0.51</v>
      </c>
      <c r="P56">
        <v>1.24</v>
      </c>
      <c r="Q56">
        <v>1.8</v>
      </c>
      <c r="R56">
        <v>1.32</v>
      </c>
      <c r="S56">
        <f t="shared" si="4"/>
        <v>1.3160000000000001</v>
      </c>
      <c r="T56">
        <f t="shared" si="5"/>
        <v>0.92249240121580545</v>
      </c>
      <c r="U56">
        <f t="shared" si="6"/>
        <v>0.4346504559270517</v>
      </c>
      <c r="V56" t="s">
        <v>30</v>
      </c>
      <c r="W56" t="s">
        <v>5</v>
      </c>
      <c r="X56">
        <f t="shared" si="0"/>
        <v>5.12</v>
      </c>
      <c r="Z56">
        <f>G56+R56</f>
        <v>5.12</v>
      </c>
      <c r="AA56" t="str">
        <f>IF(Z56&gt;=$AI$5, "Wet", IF(Z56&gt;=$AI$6, "Above Normal", IF(Z56&gt;=$AI$7, "Below Normal", IF(Z56&gt;=$AI$8, "Dry", "Critical"))))</f>
        <v>Critical</v>
      </c>
      <c r="AB56">
        <f>0.3*D56+0.3*MIN(10,G55)+0.2*O56+0.2*MIN(R55,4.5)</f>
        <v>3.464</v>
      </c>
      <c r="AC56" t="str">
        <f>IF(AB56&gt;=$AI$11, "Wet", IF(AB56&gt;=$AI$12, "Above Normal", IF(AB56&gt;=$AI$13, "Below Normal", IF(AB56&gt;=$AI$14, "Dry", "Critical"))))</f>
        <v>Critical</v>
      </c>
      <c r="AD56">
        <f>0.4*E56+0.3*MIN(10,G55)+0.6*P56+0.2*MIN(R55,4.5)</f>
        <v>3.9540000000000002</v>
      </c>
      <c r="AE56" t="str">
        <f>IF(AD56&gt;=$AI$18, "Wet", IF(AD56&gt;=$AI$19, "Above Normal", IF(AD56&gt;=$AI$20, "Below Normal", IF(AD56&gt;=$AI$21, "Dry", "Critical"))))</f>
        <v>Dry</v>
      </c>
      <c r="AF56" s="3"/>
    </row>
    <row r="57" spans="2:32" x14ac:dyDescent="0.25">
      <c r="B57">
        <v>2022</v>
      </c>
      <c r="C57" t="s">
        <v>16</v>
      </c>
      <c r="D57">
        <v>6.71</v>
      </c>
      <c r="E57">
        <v>3.49</v>
      </c>
      <c r="F57">
        <v>10.79</v>
      </c>
      <c r="G57">
        <v>4.55</v>
      </c>
      <c r="H57">
        <f t="shared" si="1"/>
        <v>4.5489999999999995</v>
      </c>
      <c r="I57">
        <f t="shared" si="2"/>
        <v>0.55748516157397232</v>
      </c>
      <c r="J57">
        <f t="shared" si="3"/>
        <v>0.69311936689382281</v>
      </c>
      <c r="K57" t="s">
        <v>30</v>
      </c>
      <c r="L57" t="s">
        <v>5</v>
      </c>
      <c r="M57">
        <v>2022</v>
      </c>
      <c r="N57" t="s">
        <v>18</v>
      </c>
      <c r="O57">
        <v>1.58</v>
      </c>
      <c r="P57">
        <v>1.63</v>
      </c>
      <c r="Q57">
        <v>3.32</v>
      </c>
      <c r="R57">
        <v>1.1559999999999999</v>
      </c>
      <c r="S57">
        <f t="shared" si="4"/>
        <v>1.5580000000000001</v>
      </c>
      <c r="T57">
        <f t="shared" si="5"/>
        <v>0.79717586649550698</v>
      </c>
      <c r="U57">
        <f t="shared" si="6"/>
        <v>0.37227214377406936</v>
      </c>
      <c r="V57" t="s">
        <v>30</v>
      </c>
      <c r="W57" t="s">
        <v>5</v>
      </c>
      <c r="X57">
        <f t="shared" si="0"/>
        <v>5.7059999999999995</v>
      </c>
      <c r="Z57">
        <f>G57+R57</f>
        <v>5.7059999999999995</v>
      </c>
      <c r="AA57" t="str">
        <f>IF(Z57&gt;=$AI$5, "Wet", IF(Z57&gt;=$AI$6, "Above Normal", IF(Z57&gt;=$AI$7, "Below Normal", IF(Z57&gt;=$AI$8, "Dry", "Critical"))))</f>
        <v>Critical</v>
      </c>
      <c r="AB57">
        <f>0.3*D57+0.3*MIN(10,G56)+0.2*O57+0.2*MIN(R56,4.5)</f>
        <v>3.7329999999999997</v>
      </c>
      <c r="AC57" t="str">
        <f>IF(AB57&gt;=$AI$11, "Wet", IF(AB57&gt;=$AI$12, "Above Normal", IF(AB57&gt;=$AI$13, "Below Normal", IF(AB57&gt;=$AI$14, "Dry", "Critical"))))</f>
        <v>Critical</v>
      </c>
      <c r="AD57">
        <f>0.4*E57+0.3*MIN(10,G56)+0.6*P57+0.2*MIN(R56,4.5)</f>
        <v>3.7779999999999996</v>
      </c>
      <c r="AE57" t="str">
        <f>IF(AD57&gt;=$AI$18, "Wet", IF(AD57&gt;=$AI$19, "Above Normal", IF(AD57&gt;=$AI$20, "Below Normal", IF(AD57&gt;=$AI$21, "Dry", "Critical"))))</f>
        <v>Critical</v>
      </c>
      <c r="AF57" s="3"/>
    </row>
    <row r="58" spans="2:32" x14ac:dyDescent="0.25">
      <c r="B58">
        <v>2023</v>
      </c>
      <c r="C58" t="s">
        <v>16</v>
      </c>
      <c r="D58">
        <v>13.11</v>
      </c>
      <c r="E58">
        <v>10.07</v>
      </c>
      <c r="F58">
        <v>24.11</v>
      </c>
      <c r="G58">
        <v>9.33</v>
      </c>
      <c r="H58">
        <f t="shared" si="1"/>
        <v>9.3260000000000005</v>
      </c>
      <c r="I58">
        <f t="shared" si="2"/>
        <v>0.57827578811923663</v>
      </c>
      <c r="J58">
        <f t="shared" si="3"/>
        <v>0.56808921295303449</v>
      </c>
      <c r="K58" t="s">
        <v>26</v>
      </c>
      <c r="L58" t="s">
        <v>3</v>
      </c>
      <c r="M58">
        <v>2023</v>
      </c>
      <c r="N58" t="s">
        <v>18</v>
      </c>
      <c r="O58">
        <v>4.7699999999999996</v>
      </c>
      <c r="P58">
        <v>8.56</v>
      </c>
      <c r="Q58">
        <v>13.8</v>
      </c>
      <c r="R58">
        <v>6.4</v>
      </c>
      <c r="S58">
        <f t="shared" si="4"/>
        <v>6.3212000000000002</v>
      </c>
      <c r="T58">
        <f t="shared" si="5"/>
        <v>0.84907928874264382</v>
      </c>
      <c r="U58">
        <f t="shared" si="6"/>
        <v>0.18749604505473644</v>
      </c>
      <c r="V58" t="s">
        <v>26</v>
      </c>
      <c r="W58" t="s">
        <v>3</v>
      </c>
      <c r="X58">
        <f t="shared" ref="X58:X59" si="14">SUM(G58,R58)</f>
        <v>15.73</v>
      </c>
      <c r="Z58">
        <f>G58+R58</f>
        <v>15.73</v>
      </c>
      <c r="AA58" t="str">
        <f>IF(Z58&gt;=$AI$5, "Wet", IF(Z58&gt;=$AI$6, "Above Normal", IF(Z58&gt;=$AI$7, "Below Normal", IF(Z58&gt;=$AI$8, "Dry", "Critical"))))</f>
        <v>Wet</v>
      </c>
      <c r="AB58">
        <f>0.3*D58+0.3*MIN(10,G57)+0.2*O58+0.2*MIN(R57,4.5)</f>
        <v>6.4832000000000001</v>
      </c>
      <c r="AC58" t="str">
        <f>IF(AB58&gt;=$AI$11, "Wet", IF(AB58&gt;=$AI$12, "Above Normal", IF(AB58&gt;=$AI$13, "Below Normal", IF(AB58&gt;=$AI$14, "Dry", "Critical"))))</f>
        <v>Below Normal</v>
      </c>
      <c r="AD58">
        <f>0.4*E58+0.3*MIN(10,G57)+0.6*P58+0.2*MIN(R57,4.5)</f>
        <v>10.760199999999999</v>
      </c>
      <c r="AE58" t="str">
        <f>IF(AD58&gt;=$AI$18, "Wet", IF(AD58&gt;=$AI$19, "Above Normal", IF(AD58&gt;=$AI$20, "Below Normal", IF(AD58&gt;=$AI$21, "Dry", "Critical"))))</f>
        <v>Wet</v>
      </c>
      <c r="AF58" s="3"/>
    </row>
    <row r="59" spans="2:32" x14ac:dyDescent="0.25">
      <c r="B59">
        <v>2024</v>
      </c>
      <c r="C59" t="s">
        <v>16</v>
      </c>
      <c r="D59">
        <v>10.56</v>
      </c>
      <c r="E59">
        <v>6.12</v>
      </c>
      <c r="F59">
        <v>17.47</v>
      </c>
      <c r="G59">
        <v>8.41</v>
      </c>
      <c r="H59">
        <f t="shared" si="1"/>
        <v>8.4150000000000009</v>
      </c>
      <c r="I59">
        <f t="shared" si="2"/>
        <v>0.62352941176470578</v>
      </c>
      <c r="J59">
        <f t="shared" si="3"/>
        <v>0.70909090909090911</v>
      </c>
      <c r="K59" t="s">
        <v>27</v>
      </c>
      <c r="L59" t="s">
        <v>7</v>
      </c>
      <c r="M59">
        <v>2024</v>
      </c>
      <c r="N59" t="s">
        <v>18</v>
      </c>
      <c r="O59">
        <v>1.61</v>
      </c>
      <c r="P59">
        <v>3.78</v>
      </c>
      <c r="Q59">
        <v>5.48</v>
      </c>
      <c r="R59">
        <v>3.49</v>
      </c>
      <c r="S59">
        <f t="shared" si="4"/>
        <v>3.4899999999999998</v>
      </c>
      <c r="T59">
        <f t="shared" si="5"/>
        <v>0.90773638968481374</v>
      </c>
      <c r="U59">
        <f t="shared" si="6"/>
        <v>0.3501432664756447</v>
      </c>
      <c r="V59" t="s">
        <v>27</v>
      </c>
      <c r="W59" t="s">
        <v>7</v>
      </c>
      <c r="X59">
        <f t="shared" si="14"/>
        <v>11.9</v>
      </c>
      <c r="Z59">
        <f>G59+R59</f>
        <v>11.9</v>
      </c>
      <c r="AA59" t="str">
        <f>IF(Z59&gt;=$AI$5, "Wet", IF(Z59&gt;=$AI$6, "Above Normal", IF(Z59&gt;=$AI$7, "Below Normal", IF(Z59&gt;=$AI$8, "Dry", "Critical"))))</f>
        <v>Above Normal</v>
      </c>
      <c r="AB59">
        <f>0.3*D59+0.3*MIN(10,G58)+0.2*O59+0.2*MIN(R58,4.5)</f>
        <v>7.1890000000000009</v>
      </c>
      <c r="AC59" t="str">
        <f>IF(AB59&gt;=$AI$11, "Wet", IF(AB59&gt;=$AI$12, "Above Normal", IF(AB59&gt;=$AI$13, "Below Normal", IF(AB59&gt;=$AI$14, "Dry", "Critical"))))</f>
        <v>Above Normal</v>
      </c>
      <c r="AD59">
        <f>0.4*E59+0.3*MIN(10,G58)+0.6*P59+0.2*MIN(R58,4.5)</f>
        <v>8.4149999999999991</v>
      </c>
      <c r="AE59" t="str">
        <f>IF(AD59&gt;=$AI$18, "Wet", IF(AD59&gt;=$AI$19, "Above Normal", IF(AD59&gt;=$AI$20, "Below Normal", IF(AD59&gt;=$AI$21, "Dry", "Critical"))))</f>
        <v>Wet</v>
      </c>
      <c r="AF59" s="3"/>
    </row>
    <row r="60" spans="2:32" x14ac:dyDescent="0.25">
      <c r="D60">
        <f>AVERAGE(D4:D59)</f>
        <v>10.836964285714284</v>
      </c>
      <c r="E60">
        <f>AVERAGE(E4:E59)</f>
        <v>6.2812499999999982</v>
      </c>
      <c r="G60">
        <f>AVERAGE(G4:G59)</f>
        <v>8.004821428571427</v>
      </c>
      <c r="H60"/>
      <c r="I60">
        <f>AVERAGE(I4:I59)</f>
        <v>0.61152960252245436</v>
      </c>
      <c r="J60">
        <f>AVERAGE(J4:J59)</f>
        <v>0.69728844577007432</v>
      </c>
      <c r="O60">
        <f>AVERAGE(O4:O59)</f>
        <v>2.035714285714286</v>
      </c>
      <c r="P60">
        <f>AVERAGE(P4:P59)</f>
        <v>3.7791071428571437</v>
      </c>
      <c r="T60">
        <f>AVERAGE(T4:T59)</f>
        <v>0.88245530473163369</v>
      </c>
      <c r="U60">
        <f>AVERAGE(U4:U59)</f>
        <v>0.33708789571305064</v>
      </c>
      <c r="AA60"/>
      <c r="AC60"/>
      <c r="AE60"/>
      <c r="AF60"/>
    </row>
    <row r="61" spans="2:32" x14ac:dyDescent="0.25">
      <c r="D61">
        <f>D60/SUM(D60:E60)</f>
        <v>0.63306628278149846</v>
      </c>
      <c r="E61">
        <f>1-D61</f>
        <v>0.36693371721850154</v>
      </c>
      <c r="H61"/>
      <c r="I61"/>
      <c r="J61"/>
      <c r="O61">
        <f>O60/SUM(O60:P60)</f>
        <v>0.35009059361852413</v>
      </c>
      <c r="P61">
        <f>1-O61</f>
        <v>0.64990940638147587</v>
      </c>
      <c r="AA61"/>
      <c r="AC61"/>
      <c r="AE61"/>
      <c r="AF61"/>
    </row>
    <row r="62" spans="2:32" x14ac:dyDescent="0.25">
      <c r="H62"/>
      <c r="I62"/>
      <c r="J62"/>
      <c r="AA62"/>
      <c r="AC62"/>
      <c r="AE62"/>
      <c r="AF62"/>
    </row>
    <row r="63" spans="2:32" x14ac:dyDescent="0.25">
      <c r="G63">
        <f>0.4*E60+0.3*D60+0.3*G60</f>
        <v>8.1650357142857111</v>
      </c>
      <c r="H63"/>
      <c r="I63"/>
      <c r="J63"/>
      <c r="AA63"/>
      <c r="AC63"/>
      <c r="AE63"/>
      <c r="AF63"/>
    </row>
    <row r="64" spans="2:32" x14ac:dyDescent="0.25">
      <c r="H64"/>
      <c r="I64"/>
      <c r="J64"/>
      <c r="AA64"/>
      <c r="AC64"/>
      <c r="AE64"/>
      <c r="AF64"/>
    </row>
    <row r="65" spans="8:32" x14ac:dyDescent="0.25">
      <c r="H65"/>
      <c r="I65"/>
      <c r="J65"/>
      <c r="AA65"/>
      <c r="AC65"/>
      <c r="AE65"/>
      <c r="AF65"/>
    </row>
    <row r="66" spans="8:32" x14ac:dyDescent="0.25">
      <c r="H66"/>
      <c r="I66"/>
      <c r="J66"/>
      <c r="AA66"/>
      <c r="AC66"/>
      <c r="AE66"/>
      <c r="AF66"/>
    </row>
    <row r="67" spans="8:32" x14ac:dyDescent="0.25">
      <c r="H67"/>
      <c r="I67"/>
      <c r="J67"/>
      <c r="AA67"/>
      <c r="AC67"/>
      <c r="AE67"/>
      <c r="AF67"/>
    </row>
    <row r="68" spans="8:32" x14ac:dyDescent="0.25">
      <c r="H68"/>
      <c r="I68"/>
      <c r="J68"/>
      <c r="AA68"/>
      <c r="AC68"/>
      <c r="AE68"/>
      <c r="AF68"/>
    </row>
    <row r="69" spans="8:32" x14ac:dyDescent="0.25">
      <c r="H69"/>
      <c r="I69"/>
      <c r="J69"/>
      <c r="AA69"/>
      <c r="AC69"/>
      <c r="AE69"/>
      <c r="AF69"/>
    </row>
    <row r="70" spans="8:32" x14ac:dyDescent="0.25">
      <c r="H70"/>
      <c r="I70"/>
      <c r="J70"/>
      <c r="AA70"/>
      <c r="AC70"/>
      <c r="AE70"/>
      <c r="AF70"/>
    </row>
    <row r="71" spans="8:32" x14ac:dyDescent="0.25">
      <c r="H71"/>
      <c r="I71"/>
      <c r="J71"/>
      <c r="AA71"/>
      <c r="AC71"/>
      <c r="AE71"/>
      <c r="AF71"/>
    </row>
    <row r="72" spans="8:32" x14ac:dyDescent="0.25">
      <c r="H72"/>
      <c r="I72"/>
      <c r="J72"/>
      <c r="AA72"/>
      <c r="AC72"/>
      <c r="AE72"/>
      <c r="AF72"/>
    </row>
    <row r="73" spans="8:32" x14ac:dyDescent="0.25">
      <c r="H73"/>
      <c r="I73"/>
      <c r="J73"/>
      <c r="AA73"/>
      <c r="AC73"/>
      <c r="AE73"/>
      <c r="AF73"/>
    </row>
    <row r="74" spans="8:32" x14ac:dyDescent="0.25">
      <c r="H74"/>
      <c r="I74"/>
      <c r="J74"/>
      <c r="AA74"/>
      <c r="AC74"/>
      <c r="AE74"/>
      <c r="AF74"/>
    </row>
    <row r="75" spans="8:32" x14ac:dyDescent="0.25">
      <c r="H75"/>
      <c r="I75"/>
      <c r="J75"/>
      <c r="AA75"/>
      <c r="AC75"/>
      <c r="AE75"/>
      <c r="AF75"/>
    </row>
    <row r="76" spans="8:32" x14ac:dyDescent="0.25">
      <c r="H76"/>
      <c r="I76"/>
      <c r="J76"/>
      <c r="AA76"/>
      <c r="AC76"/>
      <c r="AE76"/>
      <c r="AF76"/>
    </row>
    <row r="77" spans="8:32" x14ac:dyDescent="0.25">
      <c r="H77"/>
      <c r="I77"/>
      <c r="J77"/>
      <c r="AA77"/>
      <c r="AC77"/>
      <c r="AE77"/>
      <c r="AF77"/>
    </row>
  </sheetData>
  <mergeCells count="4">
    <mergeCell ref="M1:X1"/>
    <mergeCell ref="B1:L1"/>
    <mergeCell ref="Z1:AE1"/>
    <mergeCell ref="AG1:A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BD49-C0DC-487A-9D8F-C823CB1FFC0C}">
  <dimension ref="A1:G57"/>
  <sheetViews>
    <sheetView topLeftCell="A22" workbookViewId="0">
      <selection activeCell="D1" sqref="D1"/>
    </sheetView>
  </sheetViews>
  <sheetFormatPr defaultRowHeight="15" x14ac:dyDescent="0.25"/>
  <cols>
    <col min="2" max="2" width="20.85546875" customWidth="1"/>
    <col min="3" max="3" width="25" customWidth="1"/>
    <col min="4" max="4" width="23.5703125" customWidth="1"/>
    <col min="5" max="5" width="18.7109375" customWidth="1"/>
    <col min="6" max="6" width="16.42578125" customWidth="1"/>
    <col min="7" max="7" width="17.42578125" customWidth="1"/>
  </cols>
  <sheetData>
    <row r="1" spans="1:7" x14ac:dyDescent="0.25">
      <c r="A1" s="4" t="s">
        <v>28</v>
      </c>
      <c r="B1" s="8" t="s">
        <v>39</v>
      </c>
      <c r="C1" s="8" t="s">
        <v>38</v>
      </c>
      <c r="D1" s="9" t="s">
        <v>40</v>
      </c>
      <c r="E1" s="9" t="s">
        <v>41</v>
      </c>
      <c r="F1" s="8" t="s">
        <v>42</v>
      </c>
      <c r="G1" s="8" t="s">
        <v>43</v>
      </c>
    </row>
    <row r="2" spans="1:7" x14ac:dyDescent="0.25">
      <c r="A2">
        <v>1969</v>
      </c>
      <c r="B2">
        <v>17.14</v>
      </c>
      <c r="C2" t="s">
        <v>3</v>
      </c>
      <c r="D2">
        <v>7.9810000000000008</v>
      </c>
      <c r="E2" t="s">
        <v>3</v>
      </c>
      <c r="F2">
        <v>11.770000000000001</v>
      </c>
      <c r="G2" t="s">
        <v>3</v>
      </c>
    </row>
    <row r="3" spans="1:7" x14ac:dyDescent="0.25">
      <c r="A3">
        <v>1970</v>
      </c>
      <c r="B3">
        <v>13.58</v>
      </c>
      <c r="C3" t="s">
        <v>3</v>
      </c>
      <c r="D3">
        <v>10.071000000000002</v>
      </c>
      <c r="E3" t="s">
        <v>3</v>
      </c>
      <c r="F3">
        <v>7.4160000000000004</v>
      </c>
      <c r="G3" t="s">
        <v>3</v>
      </c>
    </row>
    <row r="4" spans="1:7" x14ac:dyDescent="0.25">
      <c r="A4">
        <v>1971</v>
      </c>
      <c r="B4">
        <v>13.26</v>
      </c>
      <c r="C4" t="s">
        <v>3</v>
      </c>
      <c r="D4">
        <v>7.761000000000001</v>
      </c>
      <c r="E4" t="s">
        <v>3</v>
      </c>
      <c r="F4">
        <v>9.1340000000000003</v>
      </c>
      <c r="G4" t="s">
        <v>3</v>
      </c>
    </row>
    <row r="5" spans="1:7" x14ac:dyDescent="0.25">
      <c r="A5">
        <v>1972</v>
      </c>
      <c r="B5">
        <v>9.4499999999999993</v>
      </c>
      <c r="C5" t="s">
        <v>6</v>
      </c>
      <c r="D5">
        <v>6.1109999999999998</v>
      </c>
      <c r="E5" t="s">
        <v>6</v>
      </c>
      <c r="F5">
        <v>6.9180000000000001</v>
      </c>
      <c r="G5" t="s">
        <v>3</v>
      </c>
    </row>
    <row r="6" spans="1:7" x14ac:dyDescent="0.25">
      <c r="A6">
        <v>1973</v>
      </c>
      <c r="B6">
        <v>12.08</v>
      </c>
      <c r="C6" t="s">
        <v>7</v>
      </c>
      <c r="D6">
        <v>6.8329999999999993</v>
      </c>
      <c r="E6" t="s">
        <v>7</v>
      </c>
      <c r="F6">
        <v>7.859</v>
      </c>
      <c r="G6" t="s">
        <v>3</v>
      </c>
    </row>
    <row r="7" spans="1:7" x14ac:dyDescent="0.25">
      <c r="A7">
        <v>1974</v>
      </c>
      <c r="B7">
        <v>16.89</v>
      </c>
      <c r="C7" t="s">
        <v>3</v>
      </c>
      <c r="D7">
        <v>10.266999999999999</v>
      </c>
      <c r="E7" t="s">
        <v>3</v>
      </c>
      <c r="F7">
        <v>9.9039999999999999</v>
      </c>
      <c r="G7" t="s">
        <v>3</v>
      </c>
    </row>
    <row r="8" spans="1:7" x14ac:dyDescent="0.25">
      <c r="A8">
        <v>1975</v>
      </c>
      <c r="B8">
        <v>13.2</v>
      </c>
      <c r="C8" t="s">
        <v>3</v>
      </c>
      <c r="D8">
        <v>6.8260000000000005</v>
      </c>
      <c r="E8" t="s">
        <v>7</v>
      </c>
      <c r="F8">
        <v>10.15</v>
      </c>
      <c r="G8" t="s">
        <v>3</v>
      </c>
    </row>
    <row r="9" spans="1:7" x14ac:dyDescent="0.25">
      <c r="A9">
        <v>1976</v>
      </c>
      <c r="B9">
        <v>6.86</v>
      </c>
      <c r="C9" t="s">
        <v>5</v>
      </c>
      <c r="D9">
        <v>5.1199999999999992</v>
      </c>
      <c r="E9" t="s">
        <v>4</v>
      </c>
      <c r="F9">
        <v>5.3170000000000002</v>
      </c>
      <c r="G9" t="s">
        <v>6</v>
      </c>
    </row>
    <row r="10" spans="1:7" x14ac:dyDescent="0.25">
      <c r="A10">
        <v>1977</v>
      </c>
      <c r="B10">
        <v>3.9499999999999997</v>
      </c>
      <c r="C10" t="s">
        <v>5</v>
      </c>
      <c r="D10">
        <v>2.6920000000000002</v>
      </c>
      <c r="E10" t="s">
        <v>5</v>
      </c>
      <c r="F10">
        <v>3.153</v>
      </c>
      <c r="G10" t="s">
        <v>5</v>
      </c>
    </row>
    <row r="11" spans="1:7" x14ac:dyDescent="0.25">
      <c r="A11">
        <v>1978</v>
      </c>
      <c r="B11">
        <v>13.23</v>
      </c>
      <c r="C11" t="s">
        <v>3</v>
      </c>
      <c r="D11">
        <v>6.085</v>
      </c>
      <c r="E11" t="s">
        <v>6</v>
      </c>
      <c r="F11">
        <v>8.2489999999999988</v>
      </c>
      <c r="G11" t="s">
        <v>3</v>
      </c>
    </row>
    <row r="12" spans="1:7" x14ac:dyDescent="0.25">
      <c r="A12">
        <v>1979</v>
      </c>
      <c r="B12">
        <v>10.34</v>
      </c>
      <c r="C12" t="s">
        <v>6</v>
      </c>
      <c r="D12">
        <v>5.6870000000000003</v>
      </c>
      <c r="E12" t="s">
        <v>6</v>
      </c>
      <c r="F12">
        <v>8.1449999999999996</v>
      </c>
      <c r="G12" t="s">
        <v>3</v>
      </c>
    </row>
    <row r="13" spans="1:7" x14ac:dyDescent="0.25">
      <c r="A13">
        <v>1980</v>
      </c>
      <c r="B13">
        <v>13.77</v>
      </c>
      <c r="C13" t="s">
        <v>3</v>
      </c>
      <c r="D13">
        <v>8.129999999999999</v>
      </c>
      <c r="E13" t="s">
        <v>3</v>
      </c>
      <c r="F13">
        <v>8.3810000000000002</v>
      </c>
      <c r="G13" t="s">
        <v>3</v>
      </c>
    </row>
    <row r="14" spans="1:7" x14ac:dyDescent="0.25">
      <c r="A14">
        <v>1981</v>
      </c>
      <c r="B14">
        <v>8.65</v>
      </c>
      <c r="C14" t="s">
        <v>4</v>
      </c>
      <c r="D14">
        <v>5.8249999999999993</v>
      </c>
      <c r="E14" t="s">
        <v>6</v>
      </c>
      <c r="F14">
        <v>6.4379999999999997</v>
      </c>
      <c r="G14" t="s">
        <v>7</v>
      </c>
    </row>
    <row r="15" spans="1:7" x14ac:dyDescent="0.25">
      <c r="A15">
        <v>1982</v>
      </c>
      <c r="B15">
        <v>18.21</v>
      </c>
      <c r="C15" t="s">
        <v>3</v>
      </c>
      <c r="D15">
        <v>9.2749999999999986</v>
      </c>
      <c r="E15" t="s">
        <v>3</v>
      </c>
      <c r="F15">
        <v>11.279</v>
      </c>
      <c r="G15" t="s">
        <v>3</v>
      </c>
    </row>
    <row r="16" spans="1:7" x14ac:dyDescent="0.25">
      <c r="A16">
        <v>1983</v>
      </c>
      <c r="B16">
        <v>22.509999999999998</v>
      </c>
      <c r="C16" t="s">
        <v>3</v>
      </c>
      <c r="D16">
        <v>11.808999999999999</v>
      </c>
      <c r="E16" t="s">
        <v>3</v>
      </c>
      <c r="F16">
        <v>14.602000000000002</v>
      </c>
      <c r="G16" t="s">
        <v>3</v>
      </c>
    </row>
    <row r="17" spans="1:7" x14ac:dyDescent="0.25">
      <c r="A17">
        <v>1984</v>
      </c>
      <c r="B17">
        <v>13.69</v>
      </c>
      <c r="C17" t="s">
        <v>3</v>
      </c>
      <c r="D17">
        <v>9.395999999999999</v>
      </c>
      <c r="E17" t="s">
        <v>3</v>
      </c>
      <c r="F17">
        <v>8.1959999999999997</v>
      </c>
      <c r="G17" t="s">
        <v>3</v>
      </c>
    </row>
    <row r="18" spans="1:7" x14ac:dyDescent="0.25">
      <c r="A18">
        <v>1985</v>
      </c>
      <c r="B18">
        <v>8.8699999999999992</v>
      </c>
      <c r="C18" t="s">
        <v>4</v>
      </c>
      <c r="D18">
        <v>5.8320000000000007</v>
      </c>
      <c r="E18" t="s">
        <v>6</v>
      </c>
      <c r="F18">
        <v>6.7839999999999989</v>
      </c>
      <c r="G18" t="s">
        <v>3</v>
      </c>
    </row>
    <row r="19" spans="1:7" x14ac:dyDescent="0.25">
      <c r="A19">
        <v>1986</v>
      </c>
      <c r="B19">
        <v>14.27</v>
      </c>
      <c r="C19" t="s">
        <v>3</v>
      </c>
      <c r="D19">
        <v>9.1280000000000001</v>
      </c>
      <c r="E19" t="s">
        <v>3</v>
      </c>
      <c r="F19">
        <v>7.5530000000000008</v>
      </c>
      <c r="G19" t="s">
        <v>3</v>
      </c>
    </row>
    <row r="20" spans="1:7" x14ac:dyDescent="0.25">
      <c r="A20">
        <v>1987</v>
      </c>
      <c r="B20">
        <v>7.7200000000000006</v>
      </c>
      <c r="C20" t="s">
        <v>4</v>
      </c>
      <c r="D20">
        <v>5.7150000000000007</v>
      </c>
      <c r="E20" t="s">
        <v>6</v>
      </c>
      <c r="F20">
        <v>5.8579999999999997</v>
      </c>
      <c r="G20" t="s">
        <v>7</v>
      </c>
    </row>
    <row r="21" spans="1:7" x14ac:dyDescent="0.25">
      <c r="A21">
        <v>1988</v>
      </c>
      <c r="B21">
        <v>6.1300000000000008</v>
      </c>
      <c r="C21" t="s">
        <v>5</v>
      </c>
      <c r="D21">
        <v>4.0360000000000005</v>
      </c>
      <c r="E21" t="s">
        <v>5</v>
      </c>
      <c r="F21">
        <v>4.22</v>
      </c>
      <c r="G21" t="s">
        <v>4</v>
      </c>
    </row>
    <row r="22" spans="1:7" x14ac:dyDescent="0.25">
      <c r="A22">
        <v>1989</v>
      </c>
      <c r="B22">
        <v>8.09</v>
      </c>
      <c r="C22" t="s">
        <v>4</v>
      </c>
      <c r="D22">
        <v>4.6139999999999999</v>
      </c>
      <c r="E22" t="s">
        <v>4</v>
      </c>
      <c r="F22">
        <v>5.1710000000000003</v>
      </c>
      <c r="G22" t="s">
        <v>6</v>
      </c>
    </row>
    <row r="23" spans="1:7" x14ac:dyDescent="0.25">
      <c r="A23">
        <v>1990</v>
      </c>
      <c r="B23">
        <v>6.3199999999999994</v>
      </c>
      <c r="C23" t="s">
        <v>5</v>
      </c>
      <c r="D23">
        <v>3.8789999999999996</v>
      </c>
      <c r="E23" t="s">
        <v>5</v>
      </c>
      <c r="F23">
        <v>4.673</v>
      </c>
      <c r="G23" t="s">
        <v>4</v>
      </c>
    </row>
    <row r="24" spans="1:7" x14ac:dyDescent="0.25">
      <c r="A24">
        <v>1991</v>
      </c>
      <c r="B24">
        <v>6.17</v>
      </c>
      <c r="C24" t="s">
        <v>5</v>
      </c>
      <c r="D24">
        <v>3.0269999999999997</v>
      </c>
      <c r="E24" t="s">
        <v>5</v>
      </c>
      <c r="F24">
        <v>4.891</v>
      </c>
      <c r="G24" t="s">
        <v>6</v>
      </c>
    </row>
    <row r="25" spans="1:7" x14ac:dyDescent="0.25">
      <c r="A25">
        <v>1992</v>
      </c>
      <c r="B25">
        <v>5.6199999999999992</v>
      </c>
      <c r="C25" t="s">
        <v>5</v>
      </c>
      <c r="D25">
        <v>3.45</v>
      </c>
      <c r="E25" t="s">
        <v>5</v>
      </c>
      <c r="F25">
        <v>3.823</v>
      </c>
      <c r="G25" t="s">
        <v>5</v>
      </c>
    </row>
    <row r="26" spans="1:7" x14ac:dyDescent="0.25">
      <c r="A26">
        <v>1993</v>
      </c>
      <c r="B26">
        <v>12.739999999999998</v>
      </c>
      <c r="C26" t="s">
        <v>7</v>
      </c>
      <c r="D26">
        <v>5.76</v>
      </c>
      <c r="E26" t="s">
        <v>6</v>
      </c>
      <c r="F26">
        <v>8.5120000000000005</v>
      </c>
      <c r="G26" t="s">
        <v>3</v>
      </c>
    </row>
    <row r="27" spans="1:7" x14ac:dyDescent="0.25">
      <c r="A27">
        <v>1994</v>
      </c>
      <c r="B27">
        <v>7.0699999999999994</v>
      </c>
      <c r="C27" t="s">
        <v>5</v>
      </c>
      <c r="D27">
        <v>4.8989999999999991</v>
      </c>
      <c r="E27" t="s">
        <v>4</v>
      </c>
      <c r="F27">
        <v>5.5739999999999998</v>
      </c>
      <c r="G27" t="s">
        <v>6</v>
      </c>
    </row>
    <row r="28" spans="1:7" x14ac:dyDescent="0.25">
      <c r="A28">
        <v>1995</v>
      </c>
      <c r="B28">
        <v>18.84</v>
      </c>
      <c r="C28" t="s">
        <v>3</v>
      </c>
      <c r="D28">
        <v>8.5989999999999984</v>
      </c>
      <c r="E28" t="s">
        <v>3</v>
      </c>
      <c r="F28">
        <v>12.161999999999999</v>
      </c>
      <c r="G28" t="s">
        <v>3</v>
      </c>
    </row>
    <row r="29" spans="1:7" x14ac:dyDescent="0.25">
      <c r="A29">
        <v>1996</v>
      </c>
      <c r="B29">
        <v>14.379999999999999</v>
      </c>
      <c r="C29" t="s">
        <v>3</v>
      </c>
      <c r="D29">
        <v>8.3290000000000006</v>
      </c>
      <c r="E29" t="s">
        <v>3</v>
      </c>
      <c r="F29">
        <v>9.9540000000000006</v>
      </c>
      <c r="G29" t="s">
        <v>3</v>
      </c>
    </row>
    <row r="30" spans="1:7" x14ac:dyDescent="0.25">
      <c r="A30">
        <v>1997</v>
      </c>
      <c r="B30">
        <v>14.95</v>
      </c>
      <c r="C30" t="s">
        <v>3</v>
      </c>
      <c r="D30">
        <v>11.04</v>
      </c>
      <c r="E30" t="s">
        <v>3</v>
      </c>
      <c r="F30">
        <v>7.734</v>
      </c>
      <c r="G30" t="s">
        <v>3</v>
      </c>
    </row>
    <row r="31" spans="1:7" x14ac:dyDescent="0.25">
      <c r="A31">
        <v>1998</v>
      </c>
      <c r="B31">
        <v>18.96</v>
      </c>
      <c r="C31" t="s">
        <v>3</v>
      </c>
      <c r="D31">
        <v>9.6849999999999987</v>
      </c>
      <c r="E31" t="s">
        <v>3</v>
      </c>
      <c r="F31">
        <v>13.108000000000001</v>
      </c>
      <c r="G31" t="s">
        <v>3</v>
      </c>
    </row>
    <row r="32" spans="1:7" x14ac:dyDescent="0.25">
      <c r="A32">
        <v>1999</v>
      </c>
      <c r="B32">
        <v>13.39</v>
      </c>
      <c r="C32" t="s">
        <v>3</v>
      </c>
      <c r="D32">
        <v>8.1709999999999994</v>
      </c>
      <c r="E32" t="s">
        <v>3</v>
      </c>
      <c r="F32">
        <v>9.1140000000000008</v>
      </c>
      <c r="G32" t="s">
        <v>3</v>
      </c>
    </row>
    <row r="33" spans="1:7" x14ac:dyDescent="0.25">
      <c r="A33">
        <v>2000</v>
      </c>
      <c r="B33">
        <v>12.32</v>
      </c>
      <c r="C33" t="s">
        <v>7</v>
      </c>
      <c r="D33">
        <v>7.6719999999999997</v>
      </c>
      <c r="E33" t="s">
        <v>7</v>
      </c>
      <c r="F33">
        <v>8.3099999999999987</v>
      </c>
      <c r="G33" t="s">
        <v>3</v>
      </c>
    </row>
    <row r="34" spans="1:7" x14ac:dyDescent="0.25">
      <c r="A34">
        <v>2001</v>
      </c>
      <c r="B34">
        <v>7.03</v>
      </c>
      <c r="C34" t="s">
        <v>5</v>
      </c>
      <c r="D34">
        <v>5.1719999999999997</v>
      </c>
      <c r="E34" t="s">
        <v>4</v>
      </c>
      <c r="F34">
        <v>5.63</v>
      </c>
      <c r="G34" t="s">
        <v>6</v>
      </c>
    </row>
    <row r="35" spans="1:7" x14ac:dyDescent="0.25">
      <c r="A35">
        <v>2002</v>
      </c>
      <c r="B35">
        <v>8.69</v>
      </c>
      <c r="C35" t="s">
        <v>4</v>
      </c>
      <c r="D35">
        <v>5.020999999999999</v>
      </c>
      <c r="E35" t="s">
        <v>4</v>
      </c>
      <c r="F35">
        <v>5.4489999999999998</v>
      </c>
      <c r="G35" t="s">
        <v>6</v>
      </c>
    </row>
    <row r="36" spans="1:7" x14ac:dyDescent="0.25">
      <c r="A36">
        <v>2003</v>
      </c>
      <c r="B36">
        <v>11.020000000000001</v>
      </c>
      <c r="C36" t="s">
        <v>7</v>
      </c>
      <c r="D36">
        <v>5.8360000000000003</v>
      </c>
      <c r="E36" t="s">
        <v>6</v>
      </c>
      <c r="F36">
        <v>7.5629999999999988</v>
      </c>
      <c r="G36" t="s">
        <v>3</v>
      </c>
    </row>
    <row r="37" spans="1:7" x14ac:dyDescent="0.25">
      <c r="A37">
        <v>2004</v>
      </c>
      <c r="B37">
        <v>9.7199999999999989</v>
      </c>
      <c r="C37" t="s">
        <v>6</v>
      </c>
      <c r="D37">
        <v>6.6119999999999992</v>
      </c>
      <c r="E37" t="s">
        <v>7</v>
      </c>
      <c r="F37">
        <v>6.1350000000000007</v>
      </c>
      <c r="G37" t="s">
        <v>7</v>
      </c>
    </row>
    <row r="38" spans="1:7" x14ac:dyDescent="0.25">
      <c r="A38">
        <v>2005</v>
      </c>
      <c r="B38">
        <v>13.24</v>
      </c>
      <c r="C38" t="s">
        <v>3</v>
      </c>
      <c r="D38">
        <v>5.7610000000000001</v>
      </c>
      <c r="E38" t="s">
        <v>6</v>
      </c>
      <c r="F38">
        <v>10.175000000000001</v>
      </c>
      <c r="G38" t="s">
        <v>3</v>
      </c>
    </row>
    <row r="39" spans="1:7" x14ac:dyDescent="0.25">
      <c r="A39">
        <v>2006</v>
      </c>
      <c r="B39">
        <v>19.100000000000001</v>
      </c>
      <c r="C39" t="s">
        <v>3</v>
      </c>
      <c r="D39">
        <v>9.4369999999999994</v>
      </c>
      <c r="E39" t="s">
        <v>3</v>
      </c>
      <c r="F39">
        <v>13.105000000000002</v>
      </c>
      <c r="G39" t="s">
        <v>3</v>
      </c>
    </row>
    <row r="40" spans="1:7" x14ac:dyDescent="0.25">
      <c r="A40">
        <v>2007</v>
      </c>
      <c r="B40">
        <v>8.16</v>
      </c>
      <c r="C40" t="s">
        <v>4</v>
      </c>
      <c r="D40">
        <v>6.0750000000000011</v>
      </c>
      <c r="E40" t="s">
        <v>6</v>
      </c>
      <c r="F40">
        <v>5.9920000000000009</v>
      </c>
      <c r="G40" t="s">
        <v>7</v>
      </c>
    </row>
    <row r="41" spans="1:7" x14ac:dyDescent="0.25">
      <c r="A41">
        <v>2008</v>
      </c>
      <c r="B41">
        <v>7.2200000000000006</v>
      </c>
      <c r="C41" t="s">
        <v>5</v>
      </c>
      <c r="D41">
        <v>4.2189999999999994</v>
      </c>
      <c r="E41" t="s">
        <v>5</v>
      </c>
      <c r="F41">
        <v>5.2489999999999997</v>
      </c>
      <c r="G41" t="s">
        <v>6</v>
      </c>
    </row>
    <row r="42" spans="1:7" x14ac:dyDescent="0.25">
      <c r="A42">
        <v>2009</v>
      </c>
      <c r="B42">
        <v>8.5</v>
      </c>
      <c r="C42" t="s">
        <v>4</v>
      </c>
      <c r="D42">
        <v>4.3769999999999998</v>
      </c>
      <c r="E42" t="s">
        <v>5</v>
      </c>
      <c r="F42">
        <v>6.09</v>
      </c>
      <c r="G42" t="s">
        <v>7</v>
      </c>
    </row>
    <row r="43" spans="1:7" x14ac:dyDescent="0.25">
      <c r="A43">
        <v>2010</v>
      </c>
      <c r="B43">
        <v>10.629999999999999</v>
      </c>
      <c r="C43" t="s">
        <v>6</v>
      </c>
      <c r="D43">
        <v>4.7989999999999995</v>
      </c>
      <c r="E43" t="s">
        <v>4</v>
      </c>
      <c r="F43">
        <v>8.1080000000000005</v>
      </c>
      <c r="G43" t="s">
        <v>3</v>
      </c>
    </row>
    <row r="44" spans="1:7" x14ac:dyDescent="0.25">
      <c r="A44">
        <v>2011</v>
      </c>
      <c r="B44">
        <v>16.119999999999997</v>
      </c>
      <c r="C44" t="s">
        <v>3</v>
      </c>
      <c r="D44">
        <v>7.3739999999999997</v>
      </c>
      <c r="E44" t="s">
        <v>7</v>
      </c>
      <c r="F44">
        <v>11.586000000000002</v>
      </c>
      <c r="G44" t="s">
        <v>3</v>
      </c>
    </row>
    <row r="45" spans="1:7" x14ac:dyDescent="0.25">
      <c r="A45">
        <v>2012</v>
      </c>
      <c r="B45">
        <v>9.07</v>
      </c>
      <c r="C45" t="s">
        <v>6</v>
      </c>
      <c r="D45">
        <v>5.7730000000000006</v>
      </c>
      <c r="E45" t="s">
        <v>6</v>
      </c>
      <c r="F45">
        <v>7.2000000000000011</v>
      </c>
      <c r="G45" t="s">
        <v>3</v>
      </c>
    </row>
    <row r="46" spans="1:7" x14ac:dyDescent="0.25">
      <c r="A46">
        <v>2013</v>
      </c>
      <c r="B46">
        <v>7.54</v>
      </c>
      <c r="C46" t="s">
        <v>4</v>
      </c>
      <c r="D46">
        <v>5.3249999999999993</v>
      </c>
      <c r="E46" t="s">
        <v>4</v>
      </c>
      <c r="F46">
        <v>4.7089999999999996</v>
      </c>
      <c r="G46" t="s">
        <v>4</v>
      </c>
    </row>
    <row r="47" spans="1:7" x14ac:dyDescent="0.25">
      <c r="A47">
        <v>2014</v>
      </c>
      <c r="B47">
        <v>5.23</v>
      </c>
      <c r="C47" t="s">
        <v>5</v>
      </c>
      <c r="D47">
        <v>3.4699999999999998</v>
      </c>
      <c r="E47" t="s">
        <v>5</v>
      </c>
      <c r="F47">
        <v>3.8530000000000002</v>
      </c>
      <c r="G47" t="s">
        <v>5</v>
      </c>
    </row>
    <row r="48" spans="1:7" x14ac:dyDescent="0.25">
      <c r="A48">
        <v>2015</v>
      </c>
      <c r="B48">
        <v>4.8100000000000005</v>
      </c>
      <c r="C48" t="s">
        <v>5</v>
      </c>
      <c r="D48">
        <v>3.66</v>
      </c>
      <c r="E48" t="s">
        <v>5</v>
      </c>
      <c r="F48">
        <v>2.6050000000000004</v>
      </c>
      <c r="G48" t="s">
        <v>5</v>
      </c>
    </row>
    <row r="49" spans="1:7" x14ac:dyDescent="0.25">
      <c r="A49">
        <v>2016</v>
      </c>
      <c r="B49">
        <v>9.06</v>
      </c>
      <c r="C49" t="s">
        <v>6</v>
      </c>
      <c r="D49">
        <v>5.4399999999999995</v>
      </c>
      <c r="E49" t="s">
        <v>6</v>
      </c>
      <c r="F49">
        <v>4.99</v>
      </c>
      <c r="G49" t="s">
        <v>6</v>
      </c>
    </row>
    <row r="50" spans="1:7" x14ac:dyDescent="0.25">
      <c r="A50">
        <v>2017</v>
      </c>
      <c r="B50">
        <v>20.6</v>
      </c>
      <c r="C50" t="s">
        <v>3</v>
      </c>
      <c r="D50">
        <v>11.664000000000001</v>
      </c>
      <c r="E50" t="s">
        <v>3</v>
      </c>
      <c r="F50">
        <v>11.421000000000001</v>
      </c>
      <c r="G50" t="s">
        <v>3</v>
      </c>
    </row>
    <row r="51" spans="1:7" x14ac:dyDescent="0.25">
      <c r="A51">
        <v>2018</v>
      </c>
      <c r="B51">
        <v>10.17</v>
      </c>
      <c r="C51" t="s">
        <v>6</v>
      </c>
      <c r="D51">
        <v>6.3550000000000004</v>
      </c>
      <c r="E51" t="s">
        <v>6</v>
      </c>
      <c r="F51">
        <v>7.726</v>
      </c>
      <c r="G51" t="s">
        <v>3</v>
      </c>
    </row>
    <row r="52" spans="1:7" x14ac:dyDescent="0.25">
      <c r="A52">
        <v>2019</v>
      </c>
      <c r="B52">
        <v>15.280000000000001</v>
      </c>
      <c r="C52" t="s">
        <v>3</v>
      </c>
      <c r="D52">
        <v>7.2089999999999996</v>
      </c>
      <c r="E52" t="s">
        <v>7</v>
      </c>
      <c r="F52">
        <v>10.816000000000001</v>
      </c>
      <c r="G52" t="s">
        <v>3</v>
      </c>
    </row>
    <row r="53" spans="1:7" x14ac:dyDescent="0.25">
      <c r="A53">
        <v>2020</v>
      </c>
      <c r="B53">
        <v>8.4700000000000006</v>
      </c>
      <c r="C53" t="s">
        <v>4</v>
      </c>
      <c r="D53">
        <v>5.5330000000000004</v>
      </c>
      <c r="E53" t="s">
        <v>6</v>
      </c>
      <c r="F53">
        <v>6.8420000000000005</v>
      </c>
      <c r="G53" t="s">
        <v>3</v>
      </c>
    </row>
    <row r="54" spans="1:7" x14ac:dyDescent="0.25">
      <c r="A54">
        <v>2021</v>
      </c>
      <c r="B54">
        <v>5.12</v>
      </c>
      <c r="C54" t="s">
        <v>5</v>
      </c>
      <c r="D54">
        <v>3.464</v>
      </c>
      <c r="E54" t="s">
        <v>5</v>
      </c>
      <c r="F54">
        <v>3.9540000000000002</v>
      </c>
      <c r="G54" t="s">
        <v>4</v>
      </c>
    </row>
    <row r="55" spans="1:7" x14ac:dyDescent="0.25">
      <c r="A55">
        <v>2022</v>
      </c>
      <c r="B55">
        <v>5.7059999999999995</v>
      </c>
      <c r="C55" t="s">
        <v>5</v>
      </c>
      <c r="D55">
        <v>3.7329999999999997</v>
      </c>
      <c r="E55" t="s">
        <v>5</v>
      </c>
      <c r="F55">
        <v>3.7779999999999996</v>
      </c>
      <c r="G55" t="s">
        <v>5</v>
      </c>
    </row>
    <row r="56" spans="1:7" x14ac:dyDescent="0.25">
      <c r="A56">
        <v>2023</v>
      </c>
      <c r="B56">
        <v>15.73</v>
      </c>
      <c r="C56" t="s">
        <v>3</v>
      </c>
      <c r="D56">
        <v>6.4832000000000001</v>
      </c>
      <c r="E56" t="s">
        <v>6</v>
      </c>
      <c r="F56">
        <v>10.760199999999999</v>
      </c>
      <c r="G56" t="s">
        <v>3</v>
      </c>
    </row>
    <row r="57" spans="1:7" x14ac:dyDescent="0.25">
      <c r="A57">
        <v>2024</v>
      </c>
      <c r="B57">
        <v>11.9</v>
      </c>
      <c r="C57" t="s">
        <v>7</v>
      </c>
      <c r="D57">
        <v>7.1890000000000009</v>
      </c>
      <c r="E57" t="s">
        <v>7</v>
      </c>
      <c r="F57">
        <v>8.4149999999999991</v>
      </c>
      <c r="G57" t="s">
        <v>3</v>
      </c>
    </row>
  </sheetData>
  <autoFilter ref="A1:G57" xr:uid="{0E3ABD49-C0DC-487A-9D8F-C823CB1FFC0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579-9D8E-4D11-B847-9EF479B7A750}">
  <dimension ref="A3:F28"/>
  <sheetViews>
    <sheetView workbookViewId="0">
      <selection activeCell="A3" sqref="A3:F28"/>
    </sheetView>
  </sheetViews>
  <sheetFormatPr defaultRowHeight="15" x14ac:dyDescent="0.25"/>
  <cols>
    <col min="1" max="1" width="16.28515625" bestFit="1" customWidth="1"/>
    <col min="2" max="2" width="15.5703125" bestFit="1" customWidth="1"/>
    <col min="3" max="3" width="13.5703125" bestFit="1" customWidth="1"/>
    <col min="4" max="4" width="7.5703125" bestFit="1" customWidth="1"/>
    <col min="5" max="5" width="5" bestFit="1" customWidth="1"/>
    <col min="6" max="6" width="6" bestFit="1" customWidth="1"/>
    <col min="7" max="57" width="5" bestFit="1" customWidth="1"/>
  </cols>
  <sheetData>
    <row r="3" spans="1:6" x14ac:dyDescent="0.25">
      <c r="A3" s="10" t="s">
        <v>44</v>
      </c>
      <c r="B3" s="10" t="s">
        <v>38</v>
      </c>
    </row>
    <row r="4" spans="1:6" x14ac:dyDescent="0.25">
      <c r="A4" s="10" t="s">
        <v>28</v>
      </c>
      <c r="B4" t="s">
        <v>7</v>
      </c>
      <c r="C4" t="s">
        <v>6</v>
      </c>
      <c r="D4" t="s">
        <v>5</v>
      </c>
      <c r="E4" t="s">
        <v>4</v>
      </c>
      <c r="F4" t="s">
        <v>3</v>
      </c>
    </row>
    <row r="5" spans="1:6" x14ac:dyDescent="0.25">
      <c r="A5">
        <v>2000</v>
      </c>
      <c r="B5">
        <v>12.32</v>
      </c>
    </row>
    <row r="6" spans="1:6" x14ac:dyDescent="0.25">
      <c r="A6">
        <v>2001</v>
      </c>
      <c r="D6">
        <v>7.03</v>
      </c>
    </row>
    <row r="7" spans="1:6" x14ac:dyDescent="0.25">
      <c r="A7">
        <v>2002</v>
      </c>
      <c r="E7">
        <v>8.69</v>
      </c>
    </row>
    <row r="8" spans="1:6" x14ac:dyDescent="0.25">
      <c r="A8">
        <v>2003</v>
      </c>
      <c r="B8">
        <v>11.020000000000001</v>
      </c>
    </row>
    <row r="9" spans="1:6" x14ac:dyDescent="0.25">
      <c r="A9">
        <v>2004</v>
      </c>
      <c r="C9">
        <v>9.7199999999999989</v>
      </c>
    </row>
    <row r="10" spans="1:6" x14ac:dyDescent="0.25">
      <c r="A10">
        <v>2005</v>
      </c>
      <c r="F10">
        <v>13.24</v>
      </c>
    </row>
    <row r="11" spans="1:6" x14ac:dyDescent="0.25">
      <c r="A11">
        <v>2006</v>
      </c>
      <c r="F11">
        <v>19.100000000000001</v>
      </c>
    </row>
    <row r="12" spans="1:6" x14ac:dyDescent="0.25">
      <c r="A12">
        <v>2007</v>
      </c>
      <c r="E12">
        <v>8.16</v>
      </c>
    </row>
    <row r="13" spans="1:6" x14ac:dyDescent="0.25">
      <c r="A13">
        <v>2008</v>
      </c>
      <c r="D13">
        <v>7.2200000000000006</v>
      </c>
    </row>
    <row r="14" spans="1:6" x14ac:dyDescent="0.25">
      <c r="A14">
        <v>2009</v>
      </c>
      <c r="E14">
        <v>8.5</v>
      </c>
    </row>
    <row r="15" spans="1:6" x14ac:dyDescent="0.25">
      <c r="A15">
        <v>2010</v>
      </c>
      <c r="C15">
        <v>10.629999999999999</v>
      </c>
    </row>
    <row r="16" spans="1:6" x14ac:dyDescent="0.25">
      <c r="A16">
        <v>2011</v>
      </c>
      <c r="F16">
        <v>16.119999999999997</v>
      </c>
    </row>
    <row r="17" spans="1:6" x14ac:dyDescent="0.25">
      <c r="A17">
        <v>2012</v>
      </c>
      <c r="C17">
        <v>9.07</v>
      </c>
    </row>
    <row r="18" spans="1:6" x14ac:dyDescent="0.25">
      <c r="A18">
        <v>2013</v>
      </c>
      <c r="E18">
        <v>7.54</v>
      </c>
    </row>
    <row r="19" spans="1:6" x14ac:dyDescent="0.25">
      <c r="A19">
        <v>2014</v>
      </c>
      <c r="D19">
        <v>5.23</v>
      </c>
    </row>
    <row r="20" spans="1:6" x14ac:dyDescent="0.25">
      <c r="A20">
        <v>2015</v>
      </c>
      <c r="D20">
        <v>4.8100000000000005</v>
      </c>
    </row>
    <row r="21" spans="1:6" x14ac:dyDescent="0.25">
      <c r="A21">
        <v>2016</v>
      </c>
      <c r="C21">
        <v>9.06</v>
      </c>
    </row>
    <row r="22" spans="1:6" x14ac:dyDescent="0.25">
      <c r="A22">
        <v>2017</v>
      </c>
      <c r="F22">
        <v>20.6</v>
      </c>
    </row>
    <row r="23" spans="1:6" x14ac:dyDescent="0.25">
      <c r="A23">
        <v>2018</v>
      </c>
      <c r="C23">
        <v>10.17</v>
      </c>
    </row>
    <row r="24" spans="1:6" x14ac:dyDescent="0.25">
      <c r="A24">
        <v>2019</v>
      </c>
      <c r="F24">
        <v>15.280000000000001</v>
      </c>
    </row>
    <row r="25" spans="1:6" x14ac:dyDescent="0.25">
      <c r="A25">
        <v>2020</v>
      </c>
      <c r="E25">
        <v>8.4700000000000006</v>
      </c>
    </row>
    <row r="26" spans="1:6" x14ac:dyDescent="0.25">
      <c r="A26">
        <v>2021</v>
      </c>
      <c r="D26">
        <v>5.12</v>
      </c>
    </row>
    <row r="27" spans="1:6" x14ac:dyDescent="0.25">
      <c r="A27">
        <v>2022</v>
      </c>
      <c r="D27">
        <v>5.7059999999999995</v>
      </c>
    </row>
    <row r="28" spans="1:6" x14ac:dyDescent="0.25">
      <c r="A28">
        <v>2023</v>
      </c>
      <c r="F28">
        <v>15.73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7AC0-2CA8-4C75-9079-4B65FFD9F6C1}">
  <dimension ref="B2:G70"/>
  <sheetViews>
    <sheetView workbookViewId="0">
      <selection activeCell="Q27" sqref="Q27"/>
    </sheetView>
  </sheetViews>
  <sheetFormatPr defaultRowHeight="15" x14ac:dyDescent="0.25"/>
  <sheetData>
    <row r="2" spans="2:3" x14ac:dyDescent="0.25">
      <c r="B2" t="s">
        <v>47</v>
      </c>
    </row>
    <row r="3" spans="2:3" x14ac:dyDescent="0.25">
      <c r="B3" t="s">
        <v>28</v>
      </c>
      <c r="C3" t="s">
        <v>46</v>
      </c>
    </row>
    <row r="5" spans="2:3" x14ac:dyDescent="0.25">
      <c r="B5" t="s">
        <v>38</v>
      </c>
      <c r="C5" t="s">
        <v>45</v>
      </c>
    </row>
    <row r="6" spans="2:3" x14ac:dyDescent="0.25">
      <c r="B6" t="s">
        <v>5</v>
      </c>
      <c r="C6">
        <v>6</v>
      </c>
    </row>
    <row r="7" spans="2:3" x14ac:dyDescent="0.25">
      <c r="B7" t="s">
        <v>4</v>
      </c>
      <c r="C7">
        <v>5</v>
      </c>
    </row>
    <row r="8" spans="2:3" x14ac:dyDescent="0.25">
      <c r="B8" t="s">
        <v>6</v>
      </c>
      <c r="C8">
        <v>5</v>
      </c>
    </row>
    <row r="9" spans="2:3" x14ac:dyDescent="0.25">
      <c r="B9" t="s">
        <v>7</v>
      </c>
      <c r="C9">
        <v>2</v>
      </c>
    </row>
    <row r="10" spans="2:3" x14ac:dyDescent="0.25">
      <c r="B10" t="s">
        <v>3</v>
      </c>
      <c r="C10">
        <v>6</v>
      </c>
    </row>
    <row r="15" spans="2:3" x14ac:dyDescent="0.25">
      <c r="B15" t="s">
        <v>48</v>
      </c>
    </row>
    <row r="16" spans="2:3" x14ac:dyDescent="0.25">
      <c r="B16" t="s">
        <v>28</v>
      </c>
      <c r="C16" t="s">
        <v>46</v>
      </c>
    </row>
    <row r="18" spans="2:3" x14ac:dyDescent="0.25">
      <c r="B18" t="s">
        <v>41</v>
      </c>
      <c r="C18" t="s">
        <v>45</v>
      </c>
    </row>
    <row r="19" spans="2:3" x14ac:dyDescent="0.25">
      <c r="B19" t="s">
        <v>5</v>
      </c>
      <c r="C19">
        <v>6</v>
      </c>
    </row>
    <row r="20" spans="2:3" x14ac:dyDescent="0.25">
      <c r="B20" t="s">
        <v>4</v>
      </c>
      <c r="C20">
        <v>4</v>
      </c>
    </row>
    <row r="21" spans="2:3" x14ac:dyDescent="0.25">
      <c r="B21" t="s">
        <v>6</v>
      </c>
      <c r="C21">
        <v>8</v>
      </c>
    </row>
    <row r="22" spans="2:3" x14ac:dyDescent="0.25">
      <c r="B22" t="s">
        <v>7</v>
      </c>
      <c r="C22">
        <v>4</v>
      </c>
    </row>
    <row r="23" spans="2:3" x14ac:dyDescent="0.25">
      <c r="B23" t="s">
        <v>3</v>
      </c>
      <c r="C23">
        <v>2</v>
      </c>
    </row>
    <row r="26" spans="2:3" x14ac:dyDescent="0.25">
      <c r="B26" t="s">
        <v>49</v>
      </c>
    </row>
    <row r="27" spans="2:3" x14ac:dyDescent="0.25">
      <c r="B27" t="s">
        <v>28</v>
      </c>
      <c r="C27" t="s">
        <v>46</v>
      </c>
    </row>
    <row r="29" spans="2:3" x14ac:dyDescent="0.25">
      <c r="B29" t="s">
        <v>43</v>
      </c>
      <c r="C29" t="s">
        <v>45</v>
      </c>
    </row>
    <row r="30" spans="2:3" x14ac:dyDescent="0.25">
      <c r="B30" t="s">
        <v>5</v>
      </c>
      <c r="C30">
        <v>3</v>
      </c>
    </row>
    <row r="31" spans="2:3" x14ac:dyDescent="0.25">
      <c r="B31" t="s">
        <v>4</v>
      </c>
      <c r="C31">
        <v>2</v>
      </c>
    </row>
    <row r="32" spans="2:3" x14ac:dyDescent="0.25">
      <c r="B32" t="s">
        <v>6</v>
      </c>
      <c r="C32">
        <v>4</v>
      </c>
    </row>
    <row r="33" spans="2:7" x14ac:dyDescent="0.25">
      <c r="B33" t="s">
        <v>7</v>
      </c>
      <c r="C33">
        <v>3</v>
      </c>
    </row>
    <row r="34" spans="2:7" x14ac:dyDescent="0.25">
      <c r="B34" t="s">
        <v>3</v>
      </c>
      <c r="C34">
        <v>12</v>
      </c>
    </row>
    <row r="45" spans="2:7" x14ac:dyDescent="0.25">
      <c r="B45" t="s">
        <v>44</v>
      </c>
      <c r="C45" t="s">
        <v>38</v>
      </c>
    </row>
    <row r="46" spans="2:7" x14ac:dyDescent="0.25">
      <c r="B46" t="s">
        <v>28</v>
      </c>
      <c r="C46" t="s">
        <v>7</v>
      </c>
      <c r="D46" t="s">
        <v>6</v>
      </c>
      <c r="E46" t="s">
        <v>5</v>
      </c>
      <c r="F46" t="s">
        <v>4</v>
      </c>
      <c r="G46" t="s">
        <v>3</v>
      </c>
    </row>
    <row r="47" spans="2:7" x14ac:dyDescent="0.25">
      <c r="B47">
        <v>2000</v>
      </c>
      <c r="C47">
        <v>12.32</v>
      </c>
    </row>
    <row r="48" spans="2:7" x14ac:dyDescent="0.25">
      <c r="B48">
        <v>2001</v>
      </c>
      <c r="E48">
        <v>7.03</v>
      </c>
    </row>
    <row r="49" spans="2:7" x14ac:dyDescent="0.25">
      <c r="B49">
        <v>2002</v>
      </c>
      <c r="F49">
        <v>8.69</v>
      </c>
    </row>
    <row r="50" spans="2:7" x14ac:dyDescent="0.25">
      <c r="B50">
        <v>2003</v>
      </c>
      <c r="C50">
        <v>11.020000000000001</v>
      </c>
    </row>
    <row r="51" spans="2:7" x14ac:dyDescent="0.25">
      <c r="B51">
        <v>2004</v>
      </c>
      <c r="D51">
        <v>9.7199999999999989</v>
      </c>
    </row>
    <row r="52" spans="2:7" x14ac:dyDescent="0.25">
      <c r="B52">
        <v>2005</v>
      </c>
      <c r="G52">
        <v>13.24</v>
      </c>
    </row>
    <row r="53" spans="2:7" x14ac:dyDescent="0.25">
      <c r="B53">
        <v>2006</v>
      </c>
      <c r="G53">
        <v>19.100000000000001</v>
      </c>
    </row>
    <row r="54" spans="2:7" x14ac:dyDescent="0.25">
      <c r="B54">
        <v>2007</v>
      </c>
      <c r="F54">
        <v>8.16</v>
      </c>
    </row>
    <row r="55" spans="2:7" x14ac:dyDescent="0.25">
      <c r="B55">
        <v>2008</v>
      </c>
      <c r="E55">
        <v>7.2200000000000006</v>
      </c>
    </row>
    <row r="56" spans="2:7" x14ac:dyDescent="0.25">
      <c r="B56">
        <v>2009</v>
      </c>
      <c r="F56">
        <v>8.5</v>
      </c>
    </row>
    <row r="57" spans="2:7" x14ac:dyDescent="0.25">
      <c r="B57">
        <v>2010</v>
      </c>
      <c r="D57">
        <v>10.629999999999999</v>
      </c>
    </row>
    <row r="58" spans="2:7" x14ac:dyDescent="0.25">
      <c r="B58">
        <v>2011</v>
      </c>
      <c r="G58">
        <v>16.119999999999997</v>
      </c>
    </row>
    <row r="59" spans="2:7" x14ac:dyDescent="0.25">
      <c r="B59">
        <v>2012</v>
      </c>
      <c r="D59">
        <v>9.07</v>
      </c>
    </row>
    <row r="60" spans="2:7" x14ac:dyDescent="0.25">
      <c r="B60">
        <v>2013</v>
      </c>
      <c r="F60">
        <v>7.54</v>
      </c>
    </row>
    <row r="61" spans="2:7" x14ac:dyDescent="0.25">
      <c r="B61">
        <v>2014</v>
      </c>
      <c r="E61">
        <v>5.23</v>
      </c>
    </row>
    <row r="62" spans="2:7" x14ac:dyDescent="0.25">
      <c r="B62">
        <v>2015</v>
      </c>
      <c r="E62">
        <v>4.8100000000000005</v>
      </c>
    </row>
    <row r="63" spans="2:7" x14ac:dyDescent="0.25">
      <c r="B63">
        <v>2016</v>
      </c>
      <c r="D63">
        <v>9.06</v>
      </c>
    </row>
    <row r="64" spans="2:7" x14ac:dyDescent="0.25">
      <c r="B64">
        <v>2017</v>
      </c>
      <c r="G64">
        <v>20.6</v>
      </c>
    </row>
    <row r="65" spans="2:7" x14ac:dyDescent="0.25">
      <c r="B65">
        <v>2018</v>
      </c>
      <c r="D65">
        <v>10.17</v>
      </c>
    </row>
    <row r="66" spans="2:7" x14ac:dyDescent="0.25">
      <c r="B66">
        <v>2019</v>
      </c>
      <c r="G66">
        <v>15.280000000000001</v>
      </c>
    </row>
    <row r="67" spans="2:7" x14ac:dyDescent="0.25">
      <c r="B67">
        <v>2020</v>
      </c>
      <c r="F67">
        <v>8.4700000000000006</v>
      </c>
    </row>
    <row r="68" spans="2:7" x14ac:dyDescent="0.25">
      <c r="B68">
        <v>2021</v>
      </c>
      <c r="E68">
        <v>5.12</v>
      </c>
    </row>
    <row r="69" spans="2:7" x14ac:dyDescent="0.25">
      <c r="B69">
        <v>2022</v>
      </c>
      <c r="E69">
        <v>5.7059999999999995</v>
      </c>
    </row>
    <row r="70" spans="2:7" x14ac:dyDescent="0.25">
      <c r="B70">
        <v>2023</v>
      </c>
      <c r="G70">
        <v>15.73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Model</vt:lpstr>
      <vt:lpstr>Combined Weighted Seasonal</vt:lpstr>
      <vt:lpstr>Combined index by year</vt:lpstr>
      <vt:lpstr>Scribble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Sanchez Terrazas</dc:creator>
  <cp:lastModifiedBy>Isaac Sanchez Terrazas</cp:lastModifiedBy>
  <dcterms:created xsi:type="dcterms:W3CDTF">2025-09-21T19:20:50Z</dcterms:created>
  <dcterms:modified xsi:type="dcterms:W3CDTF">2026-06-13T01:05:20Z</dcterms:modified>
</cp:coreProperties>
</file>