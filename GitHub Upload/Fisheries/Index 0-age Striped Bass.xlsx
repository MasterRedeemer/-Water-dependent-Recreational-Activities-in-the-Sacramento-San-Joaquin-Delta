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Works\Delta Water Rec w Jenkins\Laurel Feedback Data Delta\Fisheries\"/>
    </mc:Choice>
  </mc:AlternateContent>
  <xr:revisionPtr revIDLastSave="0" documentId="13_ncr:1_{B75F20D4-195A-4D5B-9A1C-DF1178BF1162}" xr6:coauthVersionLast="47" xr6:coauthVersionMax="47" xr10:uidLastSave="{00000000-0000-0000-0000-000000000000}"/>
  <bookViews>
    <workbookView xWindow="-120" yWindow="-120" windowWidth="38640" windowHeight="21120" activeTab="3" xr2:uid="{B09730CD-6A92-4E2C-A874-A388AF147F38}"/>
  </bookViews>
  <sheets>
    <sheet name="0-age Striped Bass " sheetId="1" r:id="rId1"/>
    <sheet name="Pivot" sheetId="13" r:id="rId2"/>
    <sheet name="0-Age Bass All Yrs" sheetId="9" r:id="rId3"/>
    <sheet name="Dist Mean 0-Age Bass" sheetId="12" r:id="rId4"/>
  </sheets>
  <definedNames>
    <definedName name="_xlnm._FilterDatabase" localSheetId="0" hidden="1">'0-age Striped Bass '!$A$1:$G$67</definedName>
  </definedNames>
  <calcPr calcId="191029"/>
  <pivotCaches>
    <pivotCache cacheId="5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2" l="1"/>
  <c r="F64" i="12"/>
  <c r="E64" i="12"/>
  <c r="D64" i="12"/>
  <c r="C64" i="12"/>
  <c r="B64" i="12"/>
  <c r="C35" i="12"/>
  <c r="D35" i="12"/>
  <c r="E35" i="12"/>
  <c r="F35" i="12"/>
  <c r="G35" i="12"/>
  <c r="B35" i="12"/>
  <c r="O42" i="12"/>
  <c r="N42" i="12" s="1"/>
  <c r="O5" i="12" l="1"/>
  <c r="J5" i="12" s="1"/>
  <c r="J42" i="12"/>
  <c r="K42" i="12"/>
  <c r="M42" i="12"/>
  <c r="L42" i="12"/>
  <c r="F67" i="1"/>
  <c r="L5" i="12" l="1"/>
  <c r="K5" i="12"/>
  <c r="N5" i="12"/>
  <c r="M5" i="1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2" i="1"/>
</calcChain>
</file>

<file path=xl/sharedStrings.xml><?xml version="1.0" encoding="utf-8"?>
<sst xmlns="http://schemas.openxmlformats.org/spreadsheetml/2006/main" count="130" uniqueCount="24">
  <si>
    <t>YEAR</t>
  </si>
  <si>
    <t>INDEX DATE</t>
  </si>
  <si>
    <t>DELTA INDEX</t>
  </si>
  <si>
    <t>SUISUN BAY INDEX</t>
  </si>
  <si>
    <t>TOTAL INDEX</t>
  </si>
  <si>
    <t>Water Year Date</t>
  </si>
  <si>
    <t>Row Labels</t>
  </si>
  <si>
    <t>Grand Total</t>
  </si>
  <si>
    <t>Critical Year Type</t>
  </si>
  <si>
    <t>Below Normal Year Type</t>
  </si>
  <si>
    <t>Dry Year Type</t>
  </si>
  <si>
    <t>Above Normal Year Type</t>
  </si>
  <si>
    <t>Wet Year Type</t>
  </si>
  <si>
    <t>Column Labels</t>
  </si>
  <si>
    <t>average</t>
  </si>
  <si>
    <t>Sum of TOTAL INDEX</t>
  </si>
  <si>
    <t>1969-99</t>
  </si>
  <si>
    <t>69-99</t>
  </si>
  <si>
    <t>00-22</t>
  </si>
  <si>
    <t>2000-2022</t>
  </si>
  <si>
    <t>1959-2022</t>
  </si>
  <si>
    <t>NA</t>
  </si>
  <si>
    <t>Average of TOTAL INDEX</t>
  </si>
  <si>
    <t>Weighted Year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</si>
</sst>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Age-0 townet striped bass survey by drainage year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'0-Age Bass All Yrs'!$D$4</c:f>
              <c:strCache>
                <c:ptCount val="1"/>
                <c:pt idx="0">
                  <c:v>Critical Year Type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A9F-4CE8-85B1-7488C9CEA38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A9F-4CE8-85B1-7488C9CEA38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9F-4CE8-85B1-7488C9CEA38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9F-4CE8-85B1-7488C9CEA381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9F-4CE8-85B1-7488C9CEA381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9F-4CE8-85B1-7488C9CEA381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9F-4CE8-85B1-7488C9CEA381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9F-4CE8-85B1-7488C9CEA381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7A9F-4CE8-85B1-7488C9CEA381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A9F-4CE8-85B1-7488C9CEA381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A9F-4CE8-85B1-7488C9CEA381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A9F-4CE8-85B1-7488C9CEA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'0-Age Bass All Yrs'!$A$5:$A$61</c15:sqref>
                  </c15:fullRef>
                </c:ext>
              </c:extLst>
              <c:f>'0-Age Bass All Yrs'!$A$5:$A$58</c:f>
              <c:strCach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'0-Age Bass All Yrs'!$D$5:$D$61</c15:sqref>
                  </c15:fullRef>
                </c:ext>
              </c:extLst>
              <c:f>'0-Age Bass All Yrs'!$D$5:$D$58</c:f>
              <c:numCache>
                <c:formatCode>General</c:formatCode>
                <c:ptCount val="54"/>
                <c:pt idx="7">
                  <c:v>35.9</c:v>
                </c:pt>
                <c:pt idx="8">
                  <c:v>9</c:v>
                </c:pt>
                <c:pt idx="14">
                  <c:v>0</c:v>
                </c:pt>
                <c:pt idx="19">
                  <c:v>4.5999999999999996</c:v>
                </c:pt>
                <c:pt idx="21">
                  <c:v>4.3</c:v>
                </c:pt>
                <c:pt idx="22">
                  <c:v>5.4</c:v>
                </c:pt>
                <c:pt idx="23">
                  <c:v>10.6</c:v>
                </c:pt>
                <c:pt idx="25">
                  <c:v>10.6</c:v>
                </c:pt>
                <c:pt idx="26">
                  <c:v>0</c:v>
                </c:pt>
                <c:pt idx="32">
                  <c:v>3.4</c:v>
                </c:pt>
                <c:pt idx="33">
                  <c:v>0</c:v>
                </c:pt>
                <c:pt idx="39">
                  <c:v>1.1000000000000001</c:v>
                </c:pt>
                <c:pt idx="45">
                  <c:v>0.3</c:v>
                </c:pt>
                <c:pt idx="46">
                  <c:v>0.3</c:v>
                </c:pt>
                <c:pt idx="52">
                  <c:v>0.1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78-466E-915D-ECA715CC6158}"/>
            </c:ext>
          </c:extLst>
        </c:ser>
        <c:ser>
          <c:idx val="2"/>
          <c:order val="1"/>
          <c:tx>
            <c:strRef>
              <c:f>'0-Age Bass All Yrs'!$E$4</c:f>
              <c:strCache>
                <c:ptCount val="1"/>
                <c:pt idx="0">
                  <c:v>Dry Year Type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A9F-4CE8-85B1-7488C9CEA38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9F-4CE8-85B1-7488C9CEA38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9F-4CE8-85B1-7488C9CEA381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9F-4CE8-85B1-7488C9CEA381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7A9F-4CE8-85B1-7488C9CEA381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7A9F-4CE8-85B1-7488C9CEA381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A9F-4CE8-85B1-7488C9CEA381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A9F-4CE8-85B1-7488C9CEA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'0-Age Bass All Yrs'!$A$5:$A$61</c15:sqref>
                  </c15:fullRef>
                </c:ext>
              </c:extLst>
              <c:f>'0-Age Bass All Yrs'!$A$5:$A$58</c:f>
              <c:strCach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'0-Age Bass All Yrs'!$E$5:$E$61</c15:sqref>
                  </c15:fullRef>
                </c:ext>
              </c:extLst>
              <c:f>'0-Age Bass All Yrs'!$E$5:$E$58</c:f>
              <c:numCache>
                <c:formatCode>General</c:formatCode>
                <c:ptCount val="54"/>
                <c:pt idx="12">
                  <c:v>29.1</c:v>
                </c:pt>
                <c:pt idx="14">
                  <c:v>0</c:v>
                </c:pt>
                <c:pt idx="16">
                  <c:v>6.3</c:v>
                </c:pt>
                <c:pt idx="18">
                  <c:v>12.6</c:v>
                </c:pt>
                <c:pt idx="20">
                  <c:v>5.0999999999999996</c:v>
                </c:pt>
                <c:pt idx="26">
                  <c:v>0</c:v>
                </c:pt>
                <c:pt idx="33">
                  <c:v>0</c:v>
                </c:pt>
                <c:pt idx="38">
                  <c:v>0.3</c:v>
                </c:pt>
                <c:pt idx="40">
                  <c:v>0.8</c:v>
                </c:pt>
                <c:pt idx="44">
                  <c:v>0.6</c:v>
                </c:pt>
                <c:pt idx="51">
                  <c:v>0.6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8-466E-915D-ECA715CC6158}"/>
            </c:ext>
          </c:extLst>
        </c:ser>
        <c:ser>
          <c:idx val="0"/>
          <c:order val="2"/>
          <c:tx>
            <c:strRef>
              <c:f>'0-Age Bass All Yrs'!$C$4</c:f>
              <c:strCache>
                <c:ptCount val="1"/>
                <c:pt idx="0">
                  <c:v>Below Normal Year Type</c:v>
                </c:pt>
              </c:strCache>
            </c:strRef>
          </c:tx>
          <c:spPr>
            <a:solidFill>
              <a:srgbClr val="FF9999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A9F-4CE8-85B1-7488C9CEA38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A9F-4CE8-85B1-7488C9CEA381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7A9F-4CE8-85B1-7488C9CEA381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A9F-4CE8-85B1-7488C9CEA381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A9F-4CE8-85B1-7488C9CEA381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A9F-4CE8-85B1-7488C9CEA381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A9F-4CE8-85B1-7488C9CEA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'0-Age Bass All Yrs'!$A$5:$A$61</c15:sqref>
                  </c15:fullRef>
                </c:ext>
              </c:extLst>
              <c:f>'0-Age Bass All Yrs'!$A$5:$A$58</c:f>
              <c:strCach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'0-Age Bass All Yrs'!$C$5:$C$61</c15:sqref>
                  </c15:fullRef>
                </c:ext>
              </c:extLst>
              <c:f>'0-Age Bass All Yrs'!$C$5:$C$58</c:f>
              <c:numCache>
                <c:formatCode>General</c:formatCode>
                <c:ptCount val="54"/>
                <c:pt idx="3">
                  <c:v>34.5</c:v>
                </c:pt>
                <c:pt idx="10">
                  <c:v>16.899999999999999</c:v>
                </c:pt>
                <c:pt idx="14">
                  <c:v>0</c:v>
                </c:pt>
                <c:pt idx="26">
                  <c:v>0</c:v>
                </c:pt>
                <c:pt idx="33">
                  <c:v>0</c:v>
                </c:pt>
                <c:pt idx="35">
                  <c:v>0.8</c:v>
                </c:pt>
                <c:pt idx="41">
                  <c:v>1.5</c:v>
                </c:pt>
                <c:pt idx="43">
                  <c:v>1.7</c:v>
                </c:pt>
                <c:pt idx="47">
                  <c:v>2.2000000000000002</c:v>
                </c:pt>
                <c:pt idx="49">
                  <c:v>1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8-466E-915D-ECA715CC6158}"/>
            </c:ext>
          </c:extLst>
        </c:ser>
        <c:ser>
          <c:idx val="1"/>
          <c:order val="3"/>
          <c:tx>
            <c:strRef>
              <c:f>'0-Age Bass All Yrs'!$B$4</c:f>
              <c:strCache>
                <c:ptCount val="1"/>
                <c:pt idx="0">
                  <c:v>Above Normal Year Type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A9F-4CE8-85B1-7488C9CEA38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687-4060-B64D-1F28620FB80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687-4060-B64D-1F28620FB80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A9F-4CE8-85B1-7488C9CEA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'0-Age Bass All Yrs'!$A$5:$A$61</c15:sqref>
                  </c15:fullRef>
                </c:ext>
              </c:extLst>
              <c:f>'0-Age Bass All Yrs'!$A$5:$A$58</c:f>
              <c:strCach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'0-Age Bass All Yrs'!$B$5:$B$61</c15:sqref>
                  </c15:fullRef>
                </c:ext>
              </c:extLst>
              <c:f>'0-Age Bass All Yrs'!$B$5:$B$58</c:f>
              <c:numCache>
                <c:formatCode>General</c:formatCode>
                <c:ptCount val="54"/>
                <c:pt idx="4">
                  <c:v>62.7</c:v>
                </c:pt>
                <c:pt idx="14">
                  <c:v>0</c:v>
                </c:pt>
                <c:pt idx="24">
                  <c:v>23.4</c:v>
                </c:pt>
                <c:pt idx="26">
                  <c:v>0</c:v>
                </c:pt>
                <c:pt idx="31">
                  <c:v>5.5</c:v>
                </c:pt>
                <c:pt idx="33">
                  <c:v>0</c:v>
                </c:pt>
                <c:pt idx="34">
                  <c:v>1.5</c:v>
                </c:pt>
                <c:pt idx="5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'0-Age Bass All Yrs'!$B$60</c15:sqref>
                  <c15:dLbl>
                    <c:idx val="5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83EA-41D6-A4DA-C5BB0A9FF34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A578-466E-915D-ECA715CC6158}"/>
            </c:ext>
          </c:extLst>
        </c:ser>
        <c:ser>
          <c:idx val="4"/>
          <c:order val="4"/>
          <c:tx>
            <c:strRef>
              <c:f>'0-Age Bass All Yrs'!$F$4</c:f>
              <c:strCache>
                <c:ptCount val="1"/>
                <c:pt idx="0">
                  <c:v>Wet Year Type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A9F-4CE8-85B1-7488C9CEA38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A9F-4CE8-85B1-7488C9CEA3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A9F-4CE8-85B1-7488C9CEA38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A9F-4CE8-85B1-7488C9CEA38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A9F-4CE8-85B1-7488C9CEA38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A9F-4CE8-85B1-7488C9CEA3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A9F-4CE8-85B1-7488C9CEA38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A9F-4CE8-85B1-7488C9CEA38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9F-4CE8-85B1-7488C9CEA38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9F-4CE8-85B1-7488C9CEA38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9F-4CE8-85B1-7488C9CEA38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9F-4CE8-85B1-7488C9CEA381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9F-4CE8-85B1-7488C9CEA381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9F-4CE8-85B1-7488C9CEA381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7A9F-4CE8-85B1-7488C9CEA381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7A9F-4CE8-85B1-7488C9CEA381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A9F-4CE8-85B1-7488C9CEA381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A9F-4CE8-85B1-7488C9CEA381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A9F-4CE8-85B1-7488C9CEA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'0-Age Bass All Yrs'!$A$5:$A$61</c15:sqref>
                  </c15:fullRef>
                </c:ext>
              </c:extLst>
              <c:f>'0-Age Bass All Yrs'!$A$5:$A$58</c:f>
              <c:strCache>
                <c:ptCount val="54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'0-Age Bass All Yrs'!$F$5:$F$61</c15:sqref>
                  </c15:fullRef>
                </c:ext>
              </c:extLst>
              <c:f>'0-Age Bass All Yrs'!$F$5:$F$58</c:f>
              <c:numCache>
                <c:formatCode>General</c:formatCode>
                <c:ptCount val="54"/>
                <c:pt idx="0">
                  <c:v>73.8</c:v>
                </c:pt>
                <c:pt idx="1">
                  <c:v>78.5</c:v>
                </c:pt>
                <c:pt idx="2">
                  <c:v>69.599999999999994</c:v>
                </c:pt>
                <c:pt idx="5">
                  <c:v>80.8</c:v>
                </c:pt>
                <c:pt idx="6">
                  <c:v>65.5</c:v>
                </c:pt>
                <c:pt idx="9">
                  <c:v>29.6</c:v>
                </c:pt>
                <c:pt idx="11">
                  <c:v>14</c:v>
                </c:pt>
                <c:pt idx="13">
                  <c:v>48.7</c:v>
                </c:pt>
                <c:pt idx="14">
                  <c:v>0</c:v>
                </c:pt>
                <c:pt idx="15">
                  <c:v>26.3</c:v>
                </c:pt>
                <c:pt idx="17">
                  <c:v>64.900000000000006</c:v>
                </c:pt>
                <c:pt idx="26">
                  <c:v>0</c:v>
                </c:pt>
                <c:pt idx="27">
                  <c:v>2.1</c:v>
                </c:pt>
                <c:pt idx="28">
                  <c:v>1.6</c:v>
                </c:pt>
                <c:pt idx="29">
                  <c:v>1.7</c:v>
                </c:pt>
                <c:pt idx="30">
                  <c:v>2.2000000000000002</c:v>
                </c:pt>
                <c:pt idx="33">
                  <c:v>0</c:v>
                </c:pt>
                <c:pt idx="36">
                  <c:v>0.9</c:v>
                </c:pt>
                <c:pt idx="37">
                  <c:v>0.5</c:v>
                </c:pt>
                <c:pt idx="42">
                  <c:v>2.6</c:v>
                </c:pt>
                <c:pt idx="48">
                  <c:v>4</c:v>
                </c:pt>
                <c:pt idx="50">
                  <c:v>1.7</c:v>
                </c:pt>
                <c:pt idx="5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'0-Age Bass All Yrs'!$F$59</c15:sqref>
                  <c15:dLbl>
                    <c:idx val="5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83EA-41D6-A4DA-C5BB0A9FF34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A578-466E-915D-ECA715CC615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25265887"/>
        <c:axId val="725267327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'0-Age Bass All Yrs'!$G$4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'0-Age Bass All Yrs'!$A$5:$A$61</c15:sqref>
                        </c15:fullRef>
                        <c15:formulaRef>
                          <c15:sqref>'0-Age Bass All Yrs'!$A$5:$A$58</c15:sqref>
                        </c15:formulaRef>
                      </c:ext>
                    </c:extLst>
                    <c:strCache>
                      <c:ptCount val="54"/>
                      <c:pt idx="0">
                        <c:v>1969</c:v>
                      </c:pt>
                      <c:pt idx="1">
                        <c:v>1970</c:v>
                      </c:pt>
                      <c:pt idx="2">
                        <c:v>1971</c:v>
                      </c:pt>
                      <c:pt idx="3">
                        <c:v>1972</c:v>
                      </c:pt>
                      <c:pt idx="4">
                        <c:v>1973</c:v>
                      </c:pt>
                      <c:pt idx="5">
                        <c:v>1974</c:v>
                      </c:pt>
                      <c:pt idx="6">
                        <c:v>1975</c:v>
                      </c:pt>
                      <c:pt idx="7">
                        <c:v>1976</c:v>
                      </c:pt>
                      <c:pt idx="8">
                        <c:v>1977</c:v>
                      </c:pt>
                      <c:pt idx="9">
                        <c:v>1978</c:v>
                      </c:pt>
                      <c:pt idx="10">
                        <c:v>1979</c:v>
                      </c:pt>
                      <c:pt idx="11">
                        <c:v>1980</c:v>
                      </c:pt>
                      <c:pt idx="12">
                        <c:v>1981</c:v>
                      </c:pt>
                      <c:pt idx="13">
                        <c:v>1982</c:v>
                      </c:pt>
                      <c:pt idx="14">
                        <c:v>1983</c:v>
                      </c:pt>
                      <c:pt idx="15">
                        <c:v>1984</c:v>
                      </c:pt>
                      <c:pt idx="16">
                        <c:v>1985</c:v>
                      </c:pt>
                      <c:pt idx="17">
                        <c:v>1986</c:v>
                      </c:pt>
                      <c:pt idx="18">
                        <c:v>1987</c:v>
                      </c:pt>
                      <c:pt idx="19">
                        <c:v>1988</c:v>
                      </c:pt>
                      <c:pt idx="20">
                        <c:v>1989</c:v>
                      </c:pt>
                      <c:pt idx="21">
                        <c:v>1990</c:v>
                      </c:pt>
                      <c:pt idx="22">
                        <c:v>1991</c:v>
                      </c:pt>
                      <c:pt idx="23">
                        <c:v>1992</c:v>
                      </c:pt>
                      <c:pt idx="24">
                        <c:v>1993</c:v>
                      </c:pt>
                      <c:pt idx="25">
                        <c:v>1994</c:v>
                      </c:pt>
                      <c:pt idx="26">
                        <c:v>1995</c:v>
                      </c:pt>
                      <c:pt idx="27">
                        <c:v>1996</c:v>
                      </c:pt>
                      <c:pt idx="28">
                        <c:v>1997</c:v>
                      </c:pt>
                      <c:pt idx="29">
                        <c:v>1998</c:v>
                      </c:pt>
                      <c:pt idx="30">
                        <c:v>1999</c:v>
                      </c:pt>
                      <c:pt idx="31">
                        <c:v>2000</c:v>
                      </c:pt>
                      <c:pt idx="32">
                        <c:v>2001</c:v>
                      </c:pt>
                      <c:pt idx="33">
                        <c:v>2002</c:v>
                      </c:pt>
                      <c:pt idx="34">
                        <c:v>2003</c:v>
                      </c:pt>
                      <c:pt idx="35">
                        <c:v>2004</c:v>
                      </c:pt>
                      <c:pt idx="36">
                        <c:v>2005</c:v>
                      </c:pt>
                      <c:pt idx="37">
                        <c:v>2006</c:v>
                      </c:pt>
                      <c:pt idx="38">
                        <c:v>2007</c:v>
                      </c:pt>
                      <c:pt idx="39">
                        <c:v>2008</c:v>
                      </c:pt>
                      <c:pt idx="40">
                        <c:v>2009</c:v>
                      </c:pt>
                      <c:pt idx="41">
                        <c:v>2010</c:v>
                      </c:pt>
                      <c:pt idx="42">
                        <c:v>2011</c:v>
                      </c:pt>
                      <c:pt idx="43">
                        <c:v>2012</c:v>
                      </c:pt>
                      <c:pt idx="44">
                        <c:v>2013</c:v>
                      </c:pt>
                      <c:pt idx="45">
                        <c:v>2014</c:v>
                      </c:pt>
                      <c:pt idx="46">
                        <c:v>2015</c:v>
                      </c:pt>
                      <c:pt idx="47">
                        <c:v>2016</c:v>
                      </c:pt>
                      <c:pt idx="48">
                        <c:v>2017</c:v>
                      </c:pt>
                      <c:pt idx="49">
                        <c:v>2018</c:v>
                      </c:pt>
                      <c:pt idx="50">
                        <c:v>2019</c:v>
                      </c:pt>
                      <c:pt idx="51">
                        <c:v>2020</c:v>
                      </c:pt>
                      <c:pt idx="52">
                        <c:v>2021</c:v>
                      </c:pt>
                      <c:pt idx="53">
                        <c:v>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'0-Age Bass All Yrs'!$G$5:$G$61</c15:sqref>
                        </c15:fullRef>
                        <c15:formulaRef>
                          <c15:sqref>'0-Age Bass All Yrs'!$G$5:$G$58</c15:sqref>
                        </c15:formulaRef>
                      </c:ext>
                    </c:extLst>
                    <c:numCache>
                      <c:formatCode>General</c:formatCode>
                      <c:ptCount val="54"/>
                      <c:pt idx="0">
                        <c:v>73.8</c:v>
                      </c:pt>
                      <c:pt idx="1">
                        <c:v>78.5</c:v>
                      </c:pt>
                      <c:pt idx="2">
                        <c:v>69.599999999999994</c:v>
                      </c:pt>
                      <c:pt idx="3">
                        <c:v>34.5</c:v>
                      </c:pt>
                      <c:pt idx="4">
                        <c:v>62.7</c:v>
                      </c:pt>
                      <c:pt idx="5">
                        <c:v>80.8</c:v>
                      </c:pt>
                      <c:pt idx="6">
                        <c:v>65.5</c:v>
                      </c:pt>
                      <c:pt idx="7">
                        <c:v>35.9</c:v>
                      </c:pt>
                      <c:pt idx="8">
                        <c:v>9</c:v>
                      </c:pt>
                      <c:pt idx="9">
                        <c:v>29.6</c:v>
                      </c:pt>
                      <c:pt idx="10">
                        <c:v>16.899999999999999</c:v>
                      </c:pt>
                      <c:pt idx="11">
                        <c:v>14</c:v>
                      </c:pt>
                      <c:pt idx="12">
                        <c:v>29.1</c:v>
                      </c:pt>
                      <c:pt idx="13">
                        <c:v>48.7</c:v>
                      </c:pt>
                      <c:pt idx="14">
                        <c:v>0</c:v>
                      </c:pt>
                      <c:pt idx="15">
                        <c:v>26.3</c:v>
                      </c:pt>
                      <c:pt idx="16">
                        <c:v>6.3</c:v>
                      </c:pt>
                      <c:pt idx="17">
                        <c:v>64.900000000000006</c:v>
                      </c:pt>
                      <c:pt idx="18">
                        <c:v>12.6</c:v>
                      </c:pt>
                      <c:pt idx="19">
                        <c:v>4.5999999999999996</c:v>
                      </c:pt>
                      <c:pt idx="20">
                        <c:v>5.0999999999999996</c:v>
                      </c:pt>
                      <c:pt idx="21">
                        <c:v>4.3</c:v>
                      </c:pt>
                      <c:pt idx="22">
                        <c:v>5.4</c:v>
                      </c:pt>
                      <c:pt idx="23">
                        <c:v>10.6</c:v>
                      </c:pt>
                      <c:pt idx="24">
                        <c:v>23.4</c:v>
                      </c:pt>
                      <c:pt idx="25">
                        <c:v>10.6</c:v>
                      </c:pt>
                      <c:pt idx="26">
                        <c:v>0</c:v>
                      </c:pt>
                      <c:pt idx="27">
                        <c:v>2.1</c:v>
                      </c:pt>
                      <c:pt idx="28">
                        <c:v>1.6</c:v>
                      </c:pt>
                      <c:pt idx="29">
                        <c:v>1.7</c:v>
                      </c:pt>
                      <c:pt idx="30">
                        <c:v>2.2000000000000002</c:v>
                      </c:pt>
                      <c:pt idx="31">
                        <c:v>5.5</c:v>
                      </c:pt>
                      <c:pt idx="32">
                        <c:v>3.4</c:v>
                      </c:pt>
                      <c:pt idx="33">
                        <c:v>0</c:v>
                      </c:pt>
                      <c:pt idx="34">
                        <c:v>1.5</c:v>
                      </c:pt>
                      <c:pt idx="35">
                        <c:v>0.8</c:v>
                      </c:pt>
                      <c:pt idx="36">
                        <c:v>0.9</c:v>
                      </c:pt>
                      <c:pt idx="37">
                        <c:v>0.5</c:v>
                      </c:pt>
                      <c:pt idx="38">
                        <c:v>0.3</c:v>
                      </c:pt>
                      <c:pt idx="39">
                        <c:v>1.1000000000000001</c:v>
                      </c:pt>
                      <c:pt idx="40">
                        <c:v>0.8</c:v>
                      </c:pt>
                      <c:pt idx="41">
                        <c:v>1.5</c:v>
                      </c:pt>
                      <c:pt idx="42">
                        <c:v>2.6</c:v>
                      </c:pt>
                      <c:pt idx="43">
                        <c:v>1.7</c:v>
                      </c:pt>
                      <c:pt idx="44">
                        <c:v>0.6</c:v>
                      </c:pt>
                      <c:pt idx="45">
                        <c:v>0.3</c:v>
                      </c:pt>
                      <c:pt idx="46">
                        <c:v>0.3</c:v>
                      </c:pt>
                      <c:pt idx="47">
                        <c:v>2.2000000000000002</c:v>
                      </c:pt>
                      <c:pt idx="48">
                        <c:v>4</c:v>
                      </c:pt>
                      <c:pt idx="49">
                        <c:v>1</c:v>
                      </c:pt>
                      <c:pt idx="50">
                        <c:v>1.7</c:v>
                      </c:pt>
                      <c:pt idx="51">
                        <c:v>0.6</c:v>
                      </c:pt>
                      <c:pt idx="52">
                        <c:v>0.1</c:v>
                      </c:pt>
                      <c:pt idx="5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A9F-4CE8-85B1-7488C9CEA381}"/>
                  </c:ext>
                </c:extLst>
              </c15:ser>
            </c15:filteredBarSeries>
          </c:ext>
        </c:extLst>
      </c:barChart>
      <c:catAx>
        <c:axId val="72526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67327"/>
        <c:crosses val="autoZero"/>
        <c:auto val="1"/>
        <c:lblAlgn val="ctr"/>
        <c:lblOffset val="100"/>
        <c:noMultiLvlLbl val="0"/>
      </c:catAx>
      <c:valAx>
        <c:axId val="7252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6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0-Age:</a:t>
            </a:r>
            <a:r>
              <a:rPr lang="en-US" baseline="0"/>
              <a:t> 2000-2022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8-425C-97CF-9D963FA4611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D8-425C-97CF-9D963FA4611C}"/>
              </c:ext>
            </c:extLst>
          </c:dPt>
          <c:dPt>
            <c:idx val="2"/>
            <c:invertIfNegative val="0"/>
            <c:bubble3D val="0"/>
            <c:spPr>
              <a:solidFill>
                <a:srgbClr val="FF999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D8-425C-97CF-9D963FA461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8-425C-97CF-9D963FA4611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D8-425C-97CF-9D963FA4611C}"/>
              </c:ext>
            </c:extLst>
          </c:dPt>
          <c:cat>
            <c:strRef>
              <c:f>'Dist Mean 0-Age Bass'!$J$41:$N$41</c:f>
              <c:strCache>
                <c:ptCount val="5"/>
                <c:pt idx="0">
                  <c:v>Critical Year Type</c:v>
                </c:pt>
                <c:pt idx="1">
                  <c:v>Dry Year Type</c:v>
                </c:pt>
                <c:pt idx="2">
                  <c:v>Below Normal Year Type</c:v>
                </c:pt>
                <c:pt idx="3">
                  <c:v>Above Normal Year Type</c:v>
                </c:pt>
                <c:pt idx="4">
                  <c:v>Wet Year Type</c:v>
                </c:pt>
              </c:strCache>
            </c:strRef>
          </c:cat>
          <c:val>
            <c:numRef>
              <c:f>'Dist Mean 0-Age Bass'!$J$42:$N$42</c:f>
              <c:numCache>
                <c:formatCode>General</c:formatCode>
                <c:ptCount val="5"/>
                <c:pt idx="0">
                  <c:v>-17.197452229299369</c:v>
                </c:pt>
                <c:pt idx="1">
                  <c:v>-63.375796178343947</c:v>
                </c:pt>
                <c:pt idx="2">
                  <c:v>14.649681528662439</c:v>
                </c:pt>
                <c:pt idx="3">
                  <c:v>11.464968152866263</c:v>
                </c:pt>
                <c:pt idx="4">
                  <c:v>54.458598726114651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8-425C-97CF-9D963FA4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91468591"/>
        <c:axId val="291466671"/>
      </c:barChart>
      <c:catAx>
        <c:axId val="29146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66671"/>
        <c:crosses val="autoZero"/>
        <c:auto val="1"/>
        <c:lblAlgn val="ctr"/>
        <c:lblOffset val="100"/>
        <c:noMultiLvlLbl val="0"/>
      </c:catAx>
      <c:valAx>
        <c:axId val="2914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6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0-Age</a:t>
            </a:r>
            <a:r>
              <a:rPr lang="en-US" baseline="0"/>
              <a:t>: 1969 to 1999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F0-4619-9334-1CDFA6C5C49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CF0-4619-9334-1CDFA6C5C499}"/>
              </c:ext>
            </c:extLst>
          </c:dPt>
          <c:dPt>
            <c:idx val="2"/>
            <c:invertIfNegative val="0"/>
            <c:bubble3D val="0"/>
            <c:spPr>
              <a:solidFill>
                <a:srgbClr val="FF999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0-4619-9334-1CDFA6C5C4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CF0-4619-9334-1CDFA6C5C499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F0-4619-9334-1CDFA6C5C499}"/>
              </c:ext>
            </c:extLst>
          </c:dPt>
          <c:cat>
            <c:strRef>
              <c:f>'Dist Mean 0-Age Bass'!$J$4:$N$4</c:f>
              <c:strCache>
                <c:ptCount val="5"/>
                <c:pt idx="0">
                  <c:v>Critical Year Type</c:v>
                </c:pt>
                <c:pt idx="1">
                  <c:v>Dry Year Type</c:v>
                </c:pt>
                <c:pt idx="2">
                  <c:v>Below Normal Year Type</c:v>
                </c:pt>
                <c:pt idx="3">
                  <c:v>Above Normal Year Type</c:v>
                </c:pt>
                <c:pt idx="4">
                  <c:v>Wet Year Type</c:v>
                </c:pt>
              </c:strCache>
            </c:strRef>
          </c:cat>
          <c:val>
            <c:numRef>
              <c:f>'Dist Mean 0-Age Bass'!$J$5:$N$5</c:f>
              <c:numCache>
                <c:formatCode>General</c:formatCode>
                <c:ptCount val="5"/>
                <c:pt idx="0">
                  <c:v>-51.583764904251495</c:v>
                </c:pt>
                <c:pt idx="1">
                  <c:v>-68.023605925569072</c:v>
                </c:pt>
                <c:pt idx="2">
                  <c:v>-69.047332289533898</c:v>
                </c:pt>
                <c:pt idx="3">
                  <c:v>-48.151270625075284</c:v>
                </c:pt>
                <c:pt idx="4">
                  <c:v>236.80597374442976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619-9334-1CDFA6C5C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09830767"/>
        <c:axId val="1709829807"/>
      </c:barChart>
      <c:catAx>
        <c:axId val="170983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29807"/>
        <c:crosses val="autoZero"/>
        <c:auto val="1"/>
        <c:lblAlgn val="ctr"/>
        <c:lblOffset val="100"/>
        <c:noMultiLvlLbl val="0"/>
      </c:catAx>
      <c:valAx>
        <c:axId val="170982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83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10</xdr:row>
      <xdr:rowOff>38099</xdr:rowOff>
    </xdr:from>
    <xdr:to>
      <xdr:col>30</xdr:col>
      <xdr:colOff>276225</xdr:colOff>
      <xdr:row>48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4F1D8-48CC-C30E-EA59-EF02B27BE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43</xdr:row>
      <xdr:rowOff>33337</xdr:rowOff>
    </xdr:from>
    <xdr:to>
      <xdr:col>15</xdr:col>
      <xdr:colOff>304800</xdr:colOff>
      <xdr:row>57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63B5B-8C90-24F6-20C3-A170A8250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6</xdr:row>
      <xdr:rowOff>42862</xdr:rowOff>
    </xdr:from>
    <xdr:to>
      <xdr:col>15</xdr:col>
      <xdr:colOff>342900</xdr:colOff>
      <xdr:row>20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DF2CFD-A3BE-CDA7-D76F-24BCA11AE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SMOCRATOR" refreshedDate="46162.616378472223" createdVersion="8" refreshedVersion="8" minRefreshableVersion="3" recordCount="66" xr:uid="{996DA38F-DCCF-4C7F-A18F-648400626DA3}">
  <cacheSource type="worksheet">
    <worksheetSource ref="A1:G67" sheet="0-age Striped Bass "/>
  </cacheSource>
  <cacheFields count="8">
    <cacheField name="YEAR" numFmtId="0">
      <sharedItems containsSemiMixedTypes="0" containsString="0" containsNumber="1" containsInteger="1" minValue="1959" maxValue="2024" count="66"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INDEX DATE" numFmtId="14">
      <sharedItems containsNonDate="0" containsDate="1" containsString="0" containsBlank="1" minDate="2024-06-22T00:00:00" maxDate="2024-08-31T00:00:00"/>
    </cacheField>
    <cacheField name="DELTA INDEX" numFmtId="0">
      <sharedItems containsString="0" containsBlank="1" containsNumber="1" minValue="0" maxValue="54.7"/>
    </cacheField>
    <cacheField name="SUISUN BAY INDEX" numFmtId="0">
      <sharedItems containsString="0" containsBlank="1" containsNumber="1" minValue="0" maxValue="73.599999999999994"/>
    </cacheField>
    <cacheField name="TOTAL INDEX" numFmtId="0">
      <sharedItems containsString="0" containsBlank="1" containsNumber="1" minValue="0.1" maxValue="117.2"/>
    </cacheField>
    <cacheField name="Water Year Date" numFmtId="0">
      <sharedItems containsSemiMixedTypes="0" containsString="0" containsNumber="1" containsInteger="1" minValue="224" maxValue="289"/>
    </cacheField>
    <cacheField name="PDSI Value" numFmtId="0">
      <sharedItems containsBlank="1"/>
    </cacheField>
    <cacheField name="Unimpaired Weighted Drainage 82/18" numFmtId="0">
      <sharedItems count="6">
        <s v="NA"/>
        <s v="Wet Year Type"/>
        <s v="Below Normal Year Type"/>
        <s v="Above Normal Year Type"/>
        <s v="Critical Year Type"/>
        <s v="Dry Year Typ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d v="2024-07-12T00:00:00"/>
    <n v="30.7"/>
    <n v="3"/>
    <n v="33.700000000000003"/>
    <n v="224"/>
    <s v="Extreme Drought"/>
    <x v="0"/>
  </r>
  <r>
    <x v="1"/>
    <d v="2024-07-16T00:00:00"/>
    <n v="32"/>
    <n v="13.6"/>
    <n v="45.6"/>
    <n v="225"/>
    <s v="Moderate Dry"/>
    <x v="0"/>
  </r>
  <r>
    <x v="2"/>
    <d v="2024-07-21T00:00:00"/>
    <n v="25.2"/>
    <n v="6.4"/>
    <n v="31.6"/>
    <n v="226"/>
    <s v="Moderate Dry"/>
    <x v="0"/>
  </r>
  <r>
    <x v="3"/>
    <d v="2024-07-26T00:00:00"/>
    <n v="46.8"/>
    <n v="32.1"/>
    <n v="78.900000000000006"/>
    <n v="227"/>
    <s v="Moderate Dry"/>
    <x v="0"/>
  </r>
  <r>
    <x v="4"/>
    <d v="2024-08-03T00:00:00"/>
    <n v="38.200000000000003"/>
    <n v="43.5"/>
    <n v="81.7"/>
    <n v="228"/>
    <s v="Moderate Wet"/>
    <x v="0"/>
  </r>
  <r>
    <x v="5"/>
    <d v="2024-08-01T00:00:00"/>
    <n v="54.7"/>
    <n v="20.7"/>
    <n v="75.400000000000006"/>
    <n v="229"/>
    <s v="Moderate Wet"/>
    <x v="0"/>
  </r>
  <r>
    <x v="6"/>
    <d v="2024-07-31T00:00:00"/>
    <n v="49.4"/>
    <n v="67.8"/>
    <n v="117.2"/>
    <n v="230"/>
    <s v="Moderate Wet"/>
    <x v="0"/>
  </r>
  <r>
    <x v="7"/>
    <m/>
    <m/>
    <m/>
    <m/>
    <n v="231"/>
    <s v="Extreme Drought"/>
    <x v="0"/>
  </r>
  <r>
    <x v="8"/>
    <d v="2024-08-12T00:00:00"/>
    <n v="35.1"/>
    <n v="73.599999999999994"/>
    <n v="108.7"/>
    <n v="232"/>
    <s v="Moderate Wet"/>
    <x v="0"/>
  </r>
  <r>
    <x v="9"/>
    <d v="2024-07-18T00:00:00"/>
    <n v="39.6"/>
    <n v="17.7"/>
    <n v="57.3"/>
    <n v="233"/>
    <s v="Moderate Dry"/>
    <x v="0"/>
  </r>
  <r>
    <x v="10"/>
    <d v="2024-08-09T00:00:00"/>
    <n v="33.6"/>
    <n v="40.200000000000003"/>
    <n v="73.8"/>
    <n v="234"/>
    <s v="Normal"/>
    <x v="1"/>
  </r>
  <r>
    <x v="11"/>
    <d v="2024-07-18T00:00:00"/>
    <n v="36.6"/>
    <n v="41.9"/>
    <n v="78.5"/>
    <n v="235"/>
    <s v="Moderate Dry"/>
    <x v="1"/>
  </r>
  <r>
    <x v="12"/>
    <d v="2024-08-11T00:00:00"/>
    <n v="24.6"/>
    <n v="45"/>
    <n v="69.599999999999994"/>
    <n v="236"/>
    <s v="Moderate Wet"/>
    <x v="1"/>
  </r>
  <r>
    <x v="13"/>
    <d v="2024-07-24T00:00:00"/>
    <n v="13.4"/>
    <n v="21.1"/>
    <n v="34.5"/>
    <n v="237"/>
    <s v="Moderate Dry"/>
    <x v="2"/>
  </r>
  <r>
    <x v="14"/>
    <d v="2024-07-15T00:00:00"/>
    <n v="15.6"/>
    <n v="47.1"/>
    <n v="62.7"/>
    <n v="238"/>
    <s v="Moderate Dry"/>
    <x v="3"/>
  </r>
  <r>
    <x v="15"/>
    <d v="2024-07-22T00:00:00"/>
    <n v="17.399999999999999"/>
    <n v="63.4"/>
    <n v="80.8"/>
    <n v="239"/>
    <s v="Normal"/>
    <x v="1"/>
  </r>
  <r>
    <x v="16"/>
    <d v="2024-07-30T00:00:00"/>
    <n v="23.4"/>
    <n v="42.1"/>
    <n v="65.5"/>
    <n v="240"/>
    <s v="Normal"/>
    <x v="1"/>
  </r>
  <r>
    <x v="17"/>
    <d v="2024-07-16T00:00:00"/>
    <n v="21.1"/>
    <n v="14.8"/>
    <n v="35.9"/>
    <n v="241"/>
    <s v="Extreme Drought"/>
    <x v="4"/>
  </r>
  <r>
    <x v="18"/>
    <d v="2024-07-24T00:00:00"/>
    <n v="8.3000000000000007"/>
    <n v="0.7"/>
    <n v="9"/>
    <n v="242"/>
    <s v="Extreme Drought"/>
    <x v="4"/>
  </r>
  <r>
    <x v="19"/>
    <d v="2024-07-22T00:00:00"/>
    <n v="16.5"/>
    <n v="13.1"/>
    <n v="29.6"/>
    <n v="243"/>
    <s v="Moderate Wet"/>
    <x v="1"/>
  </r>
  <r>
    <x v="20"/>
    <d v="2024-07-19T00:00:00"/>
    <n v="5.4"/>
    <n v="11.5"/>
    <n v="16.899999999999999"/>
    <n v="244"/>
    <s v="Normal"/>
    <x v="2"/>
  </r>
  <r>
    <x v="21"/>
    <d v="2024-07-27T00:00:00"/>
    <n v="2.8"/>
    <n v="11.2"/>
    <n v="14"/>
    <n v="245"/>
    <s v="Moderate Wet"/>
    <x v="1"/>
  </r>
  <r>
    <x v="22"/>
    <d v="2024-07-02T00:00:00"/>
    <n v="15.4"/>
    <n v="13.7"/>
    <n v="29.1"/>
    <n v="246"/>
    <s v="Moderate Dry"/>
    <x v="5"/>
  </r>
  <r>
    <x v="23"/>
    <d v="2024-07-30T00:00:00"/>
    <n v="9.5"/>
    <n v="39.200000000000003"/>
    <n v="48.7"/>
    <n v="247"/>
    <s v="Moderate Wet"/>
    <x v="1"/>
  </r>
  <r>
    <x v="24"/>
    <m/>
    <m/>
    <m/>
    <m/>
    <n v="248"/>
    <s v="Extreme Wet"/>
    <x v="1"/>
  </r>
  <r>
    <x v="25"/>
    <d v="2024-07-13T00:00:00"/>
    <n v="6.3"/>
    <n v="20"/>
    <n v="26.3"/>
    <n v="249"/>
    <s v="Moderate Dry"/>
    <x v="1"/>
  </r>
  <r>
    <x v="26"/>
    <d v="2024-07-16T00:00:00"/>
    <n v="2.2000000000000002"/>
    <n v="4.0999999999999996"/>
    <n v="6.3"/>
    <n v="250"/>
    <s v="Extreme Drought"/>
    <x v="5"/>
  </r>
  <r>
    <x v="27"/>
    <d v="2024-07-09T00:00:00"/>
    <n v="23.8"/>
    <n v="41.1"/>
    <n v="64.900000000000006"/>
    <n v="251"/>
    <s v="Normal"/>
    <x v="1"/>
  </r>
  <r>
    <x v="28"/>
    <d v="2024-06-22T00:00:00"/>
    <n v="7.3"/>
    <n v="5.3"/>
    <n v="12.6"/>
    <n v="252"/>
    <s v="Extreme Drought"/>
    <x v="5"/>
  </r>
  <r>
    <x v="29"/>
    <d v="2024-07-24T00:00:00"/>
    <n v="3.9"/>
    <n v="0.7"/>
    <n v="4.5999999999999996"/>
    <n v="253"/>
    <s v="Moderate Dry"/>
    <x v="4"/>
  </r>
  <r>
    <x v="30"/>
    <d v="2024-07-11T00:00:00"/>
    <n v="3.1"/>
    <n v="2"/>
    <n v="5.0999999999999996"/>
    <n v="254"/>
    <s v="Normal"/>
    <x v="5"/>
  </r>
  <r>
    <x v="31"/>
    <d v="2024-07-18T00:00:00"/>
    <n v="2.8"/>
    <n v="1.5"/>
    <n v="4.3"/>
    <n v="255"/>
    <s v="Normal"/>
    <x v="4"/>
  </r>
  <r>
    <x v="32"/>
    <d v="2024-07-25T00:00:00"/>
    <n v="3.8"/>
    <n v="1.6"/>
    <n v="5.4"/>
    <n v="256"/>
    <s v="Normal"/>
    <x v="4"/>
  </r>
  <r>
    <x v="33"/>
    <d v="2024-06-24T00:00:00"/>
    <n v="6.6"/>
    <n v="4"/>
    <n v="10.6"/>
    <n v="257"/>
    <s v="Moderate Dry"/>
    <x v="4"/>
  </r>
  <r>
    <x v="34"/>
    <d v="2024-07-22T00:00:00"/>
    <n v="10.8"/>
    <n v="12.6"/>
    <n v="23.4"/>
    <n v="258"/>
    <s v="Moderate Wet"/>
    <x v="3"/>
  </r>
  <r>
    <x v="35"/>
    <d v="2024-07-10T00:00:00"/>
    <n v="7"/>
    <n v="3.6"/>
    <n v="10.6"/>
    <n v="259"/>
    <s v="Normal"/>
    <x v="4"/>
  </r>
  <r>
    <x v="36"/>
    <m/>
    <m/>
    <m/>
    <m/>
    <n v="260"/>
    <s v="Extreme Wet"/>
    <x v="1"/>
  </r>
  <r>
    <x v="37"/>
    <d v="2024-07-26T00:00:00"/>
    <n v="0.5"/>
    <n v="1.6"/>
    <n v="2.1"/>
    <n v="261"/>
    <s v="Extreme Wet"/>
    <x v="1"/>
  </r>
  <r>
    <x v="38"/>
    <d v="2024-07-16T00:00:00"/>
    <n v="1"/>
    <n v="0.6"/>
    <n v="1.6"/>
    <n v="262"/>
    <s v="Moderate Dry"/>
    <x v="1"/>
  </r>
  <r>
    <x v="39"/>
    <d v="2024-08-30T00:00:00"/>
    <n v="0.1"/>
    <n v="1.6"/>
    <n v="1.7"/>
    <n v="263"/>
    <s v="Extreme Wet"/>
    <x v="1"/>
  </r>
  <r>
    <x v="40"/>
    <d v="2024-08-06T00:00:00"/>
    <n v="0.7"/>
    <n v="1.5"/>
    <n v="2.2000000000000002"/>
    <n v="264"/>
    <s v="Normal"/>
    <x v="1"/>
  </r>
  <r>
    <x v="41"/>
    <d v="2024-07-18T00:00:00"/>
    <n v="2.8"/>
    <n v="2.7"/>
    <n v="5.5"/>
    <n v="265"/>
    <s v="Normal"/>
    <x v="3"/>
  </r>
  <r>
    <x v="42"/>
    <d v="2024-07-06T00:00:00"/>
    <n v="2.4"/>
    <n v="1"/>
    <n v="3.4"/>
    <n v="266"/>
    <s v="Moderate Dry"/>
    <x v="4"/>
  </r>
  <r>
    <x v="43"/>
    <m/>
    <m/>
    <m/>
    <m/>
    <n v="267"/>
    <s v="Moderate Dry"/>
    <x v="5"/>
  </r>
  <r>
    <x v="44"/>
    <d v="2024-07-28T00:00:00"/>
    <n v="0.3"/>
    <n v="1.2"/>
    <n v="1.5"/>
    <n v="268"/>
    <s v="Normal"/>
    <x v="3"/>
  </r>
  <r>
    <x v="45"/>
    <d v="2024-07-13T00:00:00"/>
    <n v="0.5"/>
    <n v="0.3"/>
    <n v="0.8"/>
    <n v="269"/>
    <s v="Moderate Dry"/>
    <x v="2"/>
  </r>
  <r>
    <x v="46"/>
    <d v="2024-08-06T00:00:00"/>
    <n v="0.3"/>
    <n v="0.6"/>
    <n v="0.9"/>
    <n v="270"/>
    <s v="Extreme Wet"/>
    <x v="1"/>
  </r>
  <r>
    <x v="47"/>
    <d v="2024-07-30T00:00:00"/>
    <n v="0"/>
    <n v="0.5"/>
    <n v="0.5"/>
    <n v="271"/>
    <s v="Normal"/>
    <x v="1"/>
  </r>
  <r>
    <x v="48"/>
    <d v="2024-07-17T00:00:00"/>
    <n v="0.3"/>
    <n v="0"/>
    <n v="0.3"/>
    <n v="272"/>
    <s v="Extreme Drought"/>
    <x v="5"/>
  </r>
  <r>
    <x v="49"/>
    <d v="2024-07-17T00:00:00"/>
    <n v="0.8"/>
    <n v="0.3"/>
    <n v="1.1000000000000001"/>
    <n v="273"/>
    <s v="Extreme Drought"/>
    <x v="4"/>
  </r>
  <r>
    <x v="50"/>
    <d v="2024-07-18T00:00:00"/>
    <n v="0.5"/>
    <n v="0.3"/>
    <n v="0.8"/>
    <n v="274"/>
    <s v="Moderate Dry"/>
    <x v="5"/>
  </r>
  <r>
    <x v="51"/>
    <d v="2024-07-23T00:00:00"/>
    <n v="0.7"/>
    <n v="0.8"/>
    <n v="1.5"/>
    <n v="275"/>
    <s v="Moderate Wet"/>
    <x v="2"/>
  </r>
  <r>
    <x v="52"/>
    <d v="2024-08-14T00:00:00"/>
    <m/>
    <m/>
    <n v="2.6"/>
    <n v="276"/>
    <s v="Extreme Wet"/>
    <x v="1"/>
  </r>
  <r>
    <x v="53"/>
    <d v="2024-07-17T00:00:00"/>
    <m/>
    <m/>
    <n v="1.7"/>
    <n v="277"/>
    <s v="Moderate Dry"/>
    <x v="2"/>
  </r>
  <r>
    <x v="54"/>
    <d v="2024-07-11T00:00:00"/>
    <m/>
    <m/>
    <n v="0.6"/>
    <n v="278"/>
    <s v="Extreme Drought"/>
    <x v="5"/>
  </r>
  <r>
    <x v="55"/>
    <d v="2024-07-03T00:00:00"/>
    <m/>
    <m/>
    <n v="0.3"/>
    <n v="279"/>
    <s v="Extreme Drought"/>
    <x v="4"/>
  </r>
  <r>
    <x v="56"/>
    <d v="2024-06-25T00:00:00"/>
    <m/>
    <m/>
    <n v="0.3"/>
    <n v="280"/>
    <s v="Extreme Drought"/>
    <x v="4"/>
  </r>
  <r>
    <x v="57"/>
    <d v="2024-07-06T00:00:00"/>
    <m/>
    <m/>
    <n v="2.2000000000000002"/>
    <n v="281"/>
    <s v="Moderate Dry"/>
    <x v="2"/>
  </r>
  <r>
    <x v="58"/>
    <d v="2024-08-06T00:00:00"/>
    <m/>
    <m/>
    <n v="4"/>
    <n v="282"/>
    <s v="Normal"/>
    <x v="1"/>
  </r>
  <r>
    <x v="59"/>
    <d v="2024-07-09T00:00:00"/>
    <m/>
    <m/>
    <n v="1"/>
    <n v="283"/>
    <s v="Moderate Dry"/>
    <x v="2"/>
  </r>
  <r>
    <x v="60"/>
    <d v="2024-07-29T00:00:00"/>
    <m/>
    <m/>
    <n v="1.7"/>
    <n v="284"/>
    <s v="Moderate Wet"/>
    <x v="1"/>
  </r>
  <r>
    <x v="61"/>
    <d v="2024-07-05T00:00:00"/>
    <m/>
    <m/>
    <n v="0.6"/>
    <n v="285"/>
    <s v="Moderate Dry"/>
    <x v="5"/>
  </r>
  <r>
    <x v="62"/>
    <d v="2024-07-05T00:00:00"/>
    <m/>
    <m/>
    <n v="0.1"/>
    <n v="286"/>
    <s v="Extreme Drought"/>
    <x v="4"/>
  </r>
  <r>
    <x v="63"/>
    <m/>
    <m/>
    <m/>
    <m/>
    <n v="287"/>
    <s v="Extreme Drought"/>
    <x v="4"/>
  </r>
  <r>
    <x v="64"/>
    <d v="2024-08-02T00:00:00"/>
    <m/>
    <m/>
    <n v="1.4"/>
    <n v="288"/>
    <s v="Normal"/>
    <x v="1"/>
  </r>
  <r>
    <x v="65"/>
    <d v="2024-07-17T00:00:00"/>
    <m/>
    <m/>
    <n v="0.7"/>
    <n v="289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DABED-E2C1-483D-9FC2-9944DBE6AAD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61" firstHeaderRow="1" firstDataRow="2" firstDataCol="1"/>
  <pivotFields count="8">
    <pivotField axis="axisRow" showAll="0">
      <items count="6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3"/>
        <item x="2"/>
        <item x="4"/>
        <item x="5"/>
        <item x="0"/>
        <item x="1"/>
        <item t="default"/>
      </items>
    </pivotField>
  </pivotFields>
  <rowFields count="1">
    <field x="0"/>
  </rowFields>
  <rowItems count="57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5"/>
    </i>
    <i t="grand">
      <x/>
    </i>
  </colItems>
  <dataFields count="1">
    <dataField name="Average of TOTAL INDEX" fld="4" subtotal="average" baseField="0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9DC8-3252-40AD-828B-BDD196318EF9}">
  <dimension ref="A1:G67"/>
  <sheetViews>
    <sheetView topLeftCell="A11" workbookViewId="0">
      <selection activeCell="G2" sqref="G2"/>
    </sheetView>
  </sheetViews>
  <sheetFormatPr defaultRowHeight="15" x14ac:dyDescent="0.25"/>
  <cols>
    <col min="2" max="2" width="9.42578125" style="5" bestFit="1" customWidth="1"/>
  </cols>
  <sheetData>
    <row r="1" spans="1:7" ht="4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23</v>
      </c>
    </row>
    <row r="2" spans="1:7" x14ac:dyDescent="0.25">
      <c r="A2" s="2">
        <v>1959</v>
      </c>
      <c r="B2" s="4">
        <v>45485</v>
      </c>
      <c r="C2" s="2">
        <v>30.7</v>
      </c>
      <c r="D2" s="2">
        <v>3</v>
      </c>
      <c r="E2" s="2">
        <v>33.700000000000003</v>
      </c>
      <c r="F2">
        <f>IF(A2&lt;DATE(YEAR(A2),10,1),A2-DATE(YEAR(A2)-1,9,30),A2-DATE(YEAR(A2),9,30))</f>
        <v>224</v>
      </c>
      <c r="G2" t="s">
        <v>21</v>
      </c>
    </row>
    <row r="3" spans="1:7" x14ac:dyDescent="0.25">
      <c r="A3" s="2">
        <v>1960</v>
      </c>
      <c r="B3" s="4">
        <v>45489</v>
      </c>
      <c r="C3" s="2">
        <v>32</v>
      </c>
      <c r="D3" s="2">
        <v>13.6</v>
      </c>
      <c r="E3" s="2">
        <v>45.6</v>
      </c>
      <c r="F3">
        <f t="shared" ref="F3:F67" si="0">IF(A3&lt;DATE(YEAR(A3),10,1),A3-DATE(YEAR(A3)-1,9,30),A3-DATE(YEAR(A3),9,30))</f>
        <v>225</v>
      </c>
      <c r="G3" t="s">
        <v>21</v>
      </c>
    </row>
    <row r="4" spans="1:7" x14ac:dyDescent="0.25">
      <c r="A4" s="2">
        <v>1961</v>
      </c>
      <c r="B4" s="4">
        <v>45494</v>
      </c>
      <c r="C4" s="2">
        <v>25.2</v>
      </c>
      <c r="D4" s="2">
        <v>6.4</v>
      </c>
      <c r="E4" s="2">
        <v>31.6</v>
      </c>
      <c r="F4">
        <f t="shared" si="0"/>
        <v>226</v>
      </c>
      <c r="G4" t="s">
        <v>21</v>
      </c>
    </row>
    <row r="5" spans="1:7" x14ac:dyDescent="0.25">
      <c r="A5" s="2">
        <v>1962</v>
      </c>
      <c r="B5" s="4">
        <v>45499</v>
      </c>
      <c r="C5" s="2">
        <v>46.8</v>
      </c>
      <c r="D5" s="2">
        <v>32.1</v>
      </c>
      <c r="E5" s="2">
        <v>78.900000000000006</v>
      </c>
      <c r="F5">
        <f t="shared" si="0"/>
        <v>227</v>
      </c>
      <c r="G5" t="s">
        <v>21</v>
      </c>
    </row>
    <row r="6" spans="1:7" x14ac:dyDescent="0.25">
      <c r="A6" s="2">
        <v>1963</v>
      </c>
      <c r="B6" s="4">
        <v>45507</v>
      </c>
      <c r="C6" s="2">
        <v>38.200000000000003</v>
      </c>
      <c r="D6" s="2">
        <v>43.5</v>
      </c>
      <c r="E6" s="2">
        <v>81.7</v>
      </c>
      <c r="F6">
        <f t="shared" si="0"/>
        <v>228</v>
      </c>
      <c r="G6" t="s">
        <v>21</v>
      </c>
    </row>
    <row r="7" spans="1:7" x14ac:dyDescent="0.25">
      <c r="A7" s="2">
        <v>1964</v>
      </c>
      <c r="B7" s="4">
        <v>45505</v>
      </c>
      <c r="C7" s="2">
        <v>54.7</v>
      </c>
      <c r="D7" s="2">
        <v>20.7</v>
      </c>
      <c r="E7" s="2">
        <v>75.400000000000006</v>
      </c>
      <c r="F7">
        <f t="shared" si="0"/>
        <v>229</v>
      </c>
      <c r="G7" t="s">
        <v>21</v>
      </c>
    </row>
    <row r="8" spans="1:7" x14ac:dyDescent="0.25">
      <c r="A8" s="2">
        <v>1965</v>
      </c>
      <c r="B8" s="4">
        <v>45504</v>
      </c>
      <c r="C8" s="2">
        <v>49.4</v>
      </c>
      <c r="D8" s="2">
        <v>67.8</v>
      </c>
      <c r="E8" s="2">
        <v>117.2</v>
      </c>
      <c r="F8">
        <f t="shared" si="0"/>
        <v>230</v>
      </c>
      <c r="G8" t="s">
        <v>21</v>
      </c>
    </row>
    <row r="9" spans="1:7" x14ac:dyDescent="0.25">
      <c r="A9" s="2">
        <v>1966</v>
      </c>
      <c r="B9" s="4"/>
      <c r="C9" s="2"/>
      <c r="D9" s="2"/>
      <c r="E9" s="2"/>
      <c r="F9">
        <f t="shared" si="0"/>
        <v>231</v>
      </c>
      <c r="G9" t="s">
        <v>21</v>
      </c>
    </row>
    <row r="10" spans="1:7" x14ac:dyDescent="0.25">
      <c r="A10" s="2">
        <v>1967</v>
      </c>
      <c r="B10" s="4">
        <v>45516</v>
      </c>
      <c r="C10" s="2">
        <v>35.1</v>
      </c>
      <c r="D10" s="2">
        <v>73.599999999999994</v>
      </c>
      <c r="E10" s="2">
        <v>108.7</v>
      </c>
      <c r="F10">
        <f t="shared" si="0"/>
        <v>232</v>
      </c>
      <c r="G10" t="s">
        <v>21</v>
      </c>
    </row>
    <row r="11" spans="1:7" x14ac:dyDescent="0.25">
      <c r="A11" s="2">
        <v>1968</v>
      </c>
      <c r="B11" s="4">
        <v>45491</v>
      </c>
      <c r="C11" s="2">
        <v>39.6</v>
      </c>
      <c r="D11" s="2">
        <v>17.7</v>
      </c>
      <c r="E11" s="2">
        <v>57.3</v>
      </c>
      <c r="F11">
        <f t="shared" si="0"/>
        <v>233</v>
      </c>
      <c r="G11" t="s">
        <v>21</v>
      </c>
    </row>
    <row r="12" spans="1:7" x14ac:dyDescent="0.25">
      <c r="A12" s="2">
        <v>1969</v>
      </c>
      <c r="B12" s="4">
        <v>45513</v>
      </c>
      <c r="C12" s="2">
        <v>33.6</v>
      </c>
      <c r="D12" s="2">
        <v>40.200000000000003</v>
      </c>
      <c r="E12" s="2">
        <v>73.8</v>
      </c>
      <c r="F12">
        <f t="shared" si="0"/>
        <v>234</v>
      </c>
      <c r="G12" t="s">
        <v>12</v>
      </c>
    </row>
    <row r="13" spans="1:7" x14ac:dyDescent="0.25">
      <c r="A13" s="2">
        <v>1970</v>
      </c>
      <c r="B13" s="4">
        <v>45491</v>
      </c>
      <c r="C13" s="2">
        <v>36.6</v>
      </c>
      <c r="D13" s="2">
        <v>41.9</v>
      </c>
      <c r="E13" s="2">
        <v>78.5</v>
      </c>
      <c r="F13">
        <f t="shared" si="0"/>
        <v>235</v>
      </c>
      <c r="G13" t="s">
        <v>12</v>
      </c>
    </row>
    <row r="14" spans="1:7" x14ac:dyDescent="0.25">
      <c r="A14" s="2">
        <v>1971</v>
      </c>
      <c r="B14" s="4">
        <v>45515</v>
      </c>
      <c r="C14" s="2">
        <v>24.6</v>
      </c>
      <c r="D14" s="2">
        <v>45</v>
      </c>
      <c r="E14" s="2">
        <v>69.599999999999994</v>
      </c>
      <c r="F14">
        <f t="shared" si="0"/>
        <v>236</v>
      </c>
      <c r="G14" t="s">
        <v>12</v>
      </c>
    </row>
    <row r="15" spans="1:7" x14ac:dyDescent="0.25">
      <c r="A15" s="2">
        <v>1972</v>
      </c>
      <c r="B15" s="4">
        <v>45497</v>
      </c>
      <c r="C15" s="2">
        <v>13.4</v>
      </c>
      <c r="D15" s="2">
        <v>21.1</v>
      </c>
      <c r="E15" s="2">
        <v>34.5</v>
      </c>
      <c r="F15">
        <f t="shared" si="0"/>
        <v>237</v>
      </c>
      <c r="G15" t="s">
        <v>9</v>
      </c>
    </row>
    <row r="16" spans="1:7" x14ac:dyDescent="0.25">
      <c r="A16" s="2">
        <v>1973</v>
      </c>
      <c r="B16" s="4">
        <v>45488</v>
      </c>
      <c r="C16" s="2">
        <v>15.6</v>
      </c>
      <c r="D16" s="2">
        <v>47.1</v>
      </c>
      <c r="E16" s="2">
        <v>62.7</v>
      </c>
      <c r="F16">
        <f t="shared" si="0"/>
        <v>238</v>
      </c>
      <c r="G16" t="s">
        <v>11</v>
      </c>
    </row>
    <row r="17" spans="1:7" x14ac:dyDescent="0.25">
      <c r="A17" s="2">
        <v>1974</v>
      </c>
      <c r="B17" s="4">
        <v>45495</v>
      </c>
      <c r="C17" s="2">
        <v>17.399999999999999</v>
      </c>
      <c r="D17" s="2">
        <v>63.4</v>
      </c>
      <c r="E17" s="2">
        <v>80.8</v>
      </c>
      <c r="F17">
        <f t="shared" si="0"/>
        <v>239</v>
      </c>
      <c r="G17" t="s">
        <v>12</v>
      </c>
    </row>
    <row r="18" spans="1:7" x14ac:dyDescent="0.25">
      <c r="A18" s="2">
        <v>1975</v>
      </c>
      <c r="B18" s="4">
        <v>45503</v>
      </c>
      <c r="C18" s="2">
        <v>23.4</v>
      </c>
      <c r="D18" s="2">
        <v>42.1</v>
      </c>
      <c r="E18" s="2">
        <v>65.5</v>
      </c>
      <c r="F18">
        <f t="shared" si="0"/>
        <v>240</v>
      </c>
      <c r="G18" t="s">
        <v>12</v>
      </c>
    </row>
    <row r="19" spans="1:7" x14ac:dyDescent="0.25">
      <c r="A19" s="2">
        <v>1976</v>
      </c>
      <c r="B19" s="4">
        <v>45489</v>
      </c>
      <c r="C19" s="2">
        <v>21.1</v>
      </c>
      <c r="D19" s="2">
        <v>14.8</v>
      </c>
      <c r="E19" s="2">
        <v>35.9</v>
      </c>
      <c r="F19">
        <f t="shared" si="0"/>
        <v>241</v>
      </c>
      <c r="G19" t="s">
        <v>8</v>
      </c>
    </row>
    <row r="20" spans="1:7" x14ac:dyDescent="0.25">
      <c r="A20" s="2">
        <v>1977</v>
      </c>
      <c r="B20" s="4">
        <v>45497</v>
      </c>
      <c r="C20" s="2">
        <v>8.3000000000000007</v>
      </c>
      <c r="D20" s="2">
        <v>0.7</v>
      </c>
      <c r="E20" s="2">
        <v>9</v>
      </c>
      <c r="F20">
        <f t="shared" si="0"/>
        <v>242</v>
      </c>
      <c r="G20" t="s">
        <v>8</v>
      </c>
    </row>
    <row r="21" spans="1:7" x14ac:dyDescent="0.25">
      <c r="A21" s="2">
        <v>1978</v>
      </c>
      <c r="B21" s="4">
        <v>45495</v>
      </c>
      <c r="C21" s="2">
        <v>16.5</v>
      </c>
      <c r="D21" s="2">
        <v>13.1</v>
      </c>
      <c r="E21" s="2">
        <v>29.6</v>
      </c>
      <c r="F21">
        <f t="shared" si="0"/>
        <v>243</v>
      </c>
      <c r="G21" t="s">
        <v>12</v>
      </c>
    </row>
    <row r="22" spans="1:7" x14ac:dyDescent="0.25">
      <c r="A22" s="2">
        <v>1979</v>
      </c>
      <c r="B22" s="4">
        <v>45492</v>
      </c>
      <c r="C22" s="2">
        <v>5.4</v>
      </c>
      <c r="D22" s="2">
        <v>11.5</v>
      </c>
      <c r="E22" s="2">
        <v>16.899999999999999</v>
      </c>
      <c r="F22">
        <f t="shared" si="0"/>
        <v>244</v>
      </c>
      <c r="G22" t="s">
        <v>9</v>
      </c>
    </row>
    <row r="23" spans="1:7" x14ac:dyDescent="0.25">
      <c r="A23" s="2">
        <v>1980</v>
      </c>
      <c r="B23" s="4">
        <v>45500</v>
      </c>
      <c r="C23" s="2">
        <v>2.8</v>
      </c>
      <c r="D23" s="2">
        <v>11.2</v>
      </c>
      <c r="E23" s="2">
        <v>14</v>
      </c>
      <c r="F23">
        <f t="shared" si="0"/>
        <v>245</v>
      </c>
      <c r="G23" t="s">
        <v>12</v>
      </c>
    </row>
    <row r="24" spans="1:7" x14ac:dyDescent="0.25">
      <c r="A24" s="2">
        <v>1981</v>
      </c>
      <c r="B24" s="4">
        <v>45475</v>
      </c>
      <c r="C24" s="2">
        <v>15.4</v>
      </c>
      <c r="D24" s="2">
        <v>13.7</v>
      </c>
      <c r="E24" s="2">
        <v>29.1</v>
      </c>
      <c r="F24">
        <f t="shared" si="0"/>
        <v>246</v>
      </c>
      <c r="G24" t="s">
        <v>10</v>
      </c>
    </row>
    <row r="25" spans="1:7" x14ac:dyDescent="0.25">
      <c r="A25" s="2">
        <v>1982</v>
      </c>
      <c r="B25" s="4">
        <v>45503</v>
      </c>
      <c r="C25" s="2">
        <v>9.5</v>
      </c>
      <c r="D25" s="2">
        <v>39.200000000000003</v>
      </c>
      <c r="E25" s="2">
        <v>48.7</v>
      </c>
      <c r="F25">
        <f t="shared" si="0"/>
        <v>247</v>
      </c>
      <c r="G25" t="s">
        <v>12</v>
      </c>
    </row>
    <row r="26" spans="1:7" x14ac:dyDescent="0.25">
      <c r="A26" s="2">
        <v>1983</v>
      </c>
      <c r="B26" s="4"/>
      <c r="C26" s="2"/>
      <c r="D26" s="2"/>
      <c r="E26" s="2"/>
      <c r="F26">
        <f t="shared" si="0"/>
        <v>248</v>
      </c>
      <c r="G26" t="s">
        <v>12</v>
      </c>
    </row>
    <row r="27" spans="1:7" x14ac:dyDescent="0.25">
      <c r="A27" s="2">
        <v>1984</v>
      </c>
      <c r="B27" s="4">
        <v>45486</v>
      </c>
      <c r="C27" s="2">
        <v>6.3</v>
      </c>
      <c r="D27" s="2">
        <v>20</v>
      </c>
      <c r="E27" s="2">
        <v>26.3</v>
      </c>
      <c r="F27">
        <f t="shared" si="0"/>
        <v>249</v>
      </c>
      <c r="G27" t="s">
        <v>12</v>
      </c>
    </row>
    <row r="28" spans="1:7" x14ac:dyDescent="0.25">
      <c r="A28" s="2">
        <v>1985</v>
      </c>
      <c r="B28" s="4">
        <v>45489</v>
      </c>
      <c r="C28" s="2">
        <v>2.2000000000000002</v>
      </c>
      <c r="D28" s="2">
        <v>4.0999999999999996</v>
      </c>
      <c r="E28" s="2">
        <v>6.3</v>
      </c>
      <c r="F28">
        <f t="shared" si="0"/>
        <v>250</v>
      </c>
      <c r="G28" t="s">
        <v>10</v>
      </c>
    </row>
    <row r="29" spans="1:7" x14ac:dyDescent="0.25">
      <c r="A29" s="2">
        <v>1986</v>
      </c>
      <c r="B29" s="4">
        <v>45482</v>
      </c>
      <c r="C29" s="2">
        <v>23.8</v>
      </c>
      <c r="D29" s="2">
        <v>41.1</v>
      </c>
      <c r="E29" s="2">
        <v>64.900000000000006</v>
      </c>
      <c r="F29">
        <f t="shared" si="0"/>
        <v>251</v>
      </c>
      <c r="G29" t="s">
        <v>12</v>
      </c>
    </row>
    <row r="30" spans="1:7" x14ac:dyDescent="0.25">
      <c r="A30" s="2">
        <v>1987</v>
      </c>
      <c r="B30" s="4">
        <v>45465</v>
      </c>
      <c r="C30" s="2">
        <v>7.3</v>
      </c>
      <c r="D30" s="2">
        <v>5.3</v>
      </c>
      <c r="E30" s="2">
        <v>12.6</v>
      </c>
      <c r="F30">
        <f t="shared" si="0"/>
        <v>252</v>
      </c>
      <c r="G30" t="s">
        <v>10</v>
      </c>
    </row>
    <row r="31" spans="1:7" x14ac:dyDescent="0.25">
      <c r="A31" s="2">
        <v>1988</v>
      </c>
      <c r="B31" s="4">
        <v>45497</v>
      </c>
      <c r="C31" s="2">
        <v>3.9</v>
      </c>
      <c r="D31" s="2">
        <v>0.7</v>
      </c>
      <c r="E31" s="2">
        <v>4.5999999999999996</v>
      </c>
      <c r="F31">
        <f t="shared" si="0"/>
        <v>253</v>
      </c>
      <c r="G31" t="s">
        <v>8</v>
      </c>
    </row>
    <row r="32" spans="1:7" x14ac:dyDescent="0.25">
      <c r="A32" s="2">
        <v>1989</v>
      </c>
      <c r="B32" s="4">
        <v>45484</v>
      </c>
      <c r="C32" s="2">
        <v>3.1</v>
      </c>
      <c r="D32" s="2">
        <v>2</v>
      </c>
      <c r="E32" s="2">
        <v>5.0999999999999996</v>
      </c>
      <c r="F32">
        <f t="shared" si="0"/>
        <v>254</v>
      </c>
      <c r="G32" t="s">
        <v>10</v>
      </c>
    </row>
    <row r="33" spans="1:7" x14ac:dyDescent="0.25">
      <c r="A33" s="2">
        <v>1990</v>
      </c>
      <c r="B33" s="4">
        <v>45491</v>
      </c>
      <c r="C33" s="2">
        <v>2.8</v>
      </c>
      <c r="D33" s="2">
        <v>1.5</v>
      </c>
      <c r="E33" s="2">
        <v>4.3</v>
      </c>
      <c r="F33">
        <f t="shared" si="0"/>
        <v>255</v>
      </c>
      <c r="G33" t="s">
        <v>8</v>
      </c>
    </row>
    <row r="34" spans="1:7" x14ac:dyDescent="0.25">
      <c r="A34" s="2">
        <v>1991</v>
      </c>
      <c r="B34" s="4">
        <v>45498</v>
      </c>
      <c r="C34" s="2">
        <v>3.8</v>
      </c>
      <c r="D34" s="2">
        <v>1.6</v>
      </c>
      <c r="E34" s="2">
        <v>5.4</v>
      </c>
      <c r="F34">
        <f t="shared" si="0"/>
        <v>256</v>
      </c>
      <c r="G34" t="s">
        <v>8</v>
      </c>
    </row>
    <row r="35" spans="1:7" x14ac:dyDescent="0.25">
      <c r="A35" s="2">
        <v>1992</v>
      </c>
      <c r="B35" s="4">
        <v>45467</v>
      </c>
      <c r="C35" s="2">
        <v>6.6</v>
      </c>
      <c r="D35" s="2">
        <v>4</v>
      </c>
      <c r="E35" s="2">
        <v>10.6</v>
      </c>
      <c r="F35">
        <f t="shared" si="0"/>
        <v>257</v>
      </c>
      <c r="G35" t="s">
        <v>8</v>
      </c>
    </row>
    <row r="36" spans="1:7" x14ac:dyDescent="0.25">
      <c r="A36" s="2">
        <v>1993</v>
      </c>
      <c r="B36" s="4">
        <v>45495</v>
      </c>
      <c r="C36" s="2">
        <v>10.8</v>
      </c>
      <c r="D36" s="2">
        <v>12.6</v>
      </c>
      <c r="E36" s="2">
        <v>23.4</v>
      </c>
      <c r="F36">
        <f t="shared" si="0"/>
        <v>258</v>
      </c>
      <c r="G36" t="s">
        <v>11</v>
      </c>
    </row>
    <row r="37" spans="1:7" x14ac:dyDescent="0.25">
      <c r="A37" s="2">
        <v>1994</v>
      </c>
      <c r="B37" s="4">
        <v>45483</v>
      </c>
      <c r="C37" s="2">
        <v>7</v>
      </c>
      <c r="D37" s="2">
        <v>3.6</v>
      </c>
      <c r="E37" s="2">
        <v>10.6</v>
      </c>
      <c r="F37">
        <f t="shared" si="0"/>
        <v>259</v>
      </c>
      <c r="G37" t="s">
        <v>8</v>
      </c>
    </row>
    <row r="38" spans="1:7" x14ac:dyDescent="0.25">
      <c r="A38" s="2">
        <v>1995</v>
      </c>
      <c r="B38" s="4"/>
      <c r="C38" s="2"/>
      <c r="D38" s="2"/>
      <c r="E38" s="2"/>
      <c r="F38">
        <f t="shared" si="0"/>
        <v>260</v>
      </c>
      <c r="G38" t="s">
        <v>12</v>
      </c>
    </row>
    <row r="39" spans="1:7" x14ac:dyDescent="0.25">
      <c r="A39" s="2">
        <v>1996</v>
      </c>
      <c r="B39" s="4">
        <v>45499</v>
      </c>
      <c r="C39" s="2">
        <v>0.5</v>
      </c>
      <c r="D39" s="2">
        <v>1.6</v>
      </c>
      <c r="E39" s="2">
        <v>2.1</v>
      </c>
      <c r="F39">
        <f t="shared" si="0"/>
        <v>261</v>
      </c>
      <c r="G39" t="s">
        <v>12</v>
      </c>
    </row>
    <row r="40" spans="1:7" x14ac:dyDescent="0.25">
      <c r="A40" s="2">
        <v>1997</v>
      </c>
      <c r="B40" s="4">
        <v>45489</v>
      </c>
      <c r="C40" s="2">
        <v>1</v>
      </c>
      <c r="D40" s="2">
        <v>0.6</v>
      </c>
      <c r="E40" s="2">
        <v>1.6</v>
      </c>
      <c r="F40">
        <f t="shared" si="0"/>
        <v>262</v>
      </c>
      <c r="G40" t="s">
        <v>12</v>
      </c>
    </row>
    <row r="41" spans="1:7" x14ac:dyDescent="0.25">
      <c r="A41" s="2">
        <v>1998</v>
      </c>
      <c r="B41" s="4">
        <v>45534</v>
      </c>
      <c r="C41" s="2">
        <v>0.1</v>
      </c>
      <c r="D41" s="2">
        <v>1.6</v>
      </c>
      <c r="E41" s="2">
        <v>1.7</v>
      </c>
      <c r="F41">
        <f t="shared" si="0"/>
        <v>263</v>
      </c>
      <c r="G41" t="s">
        <v>12</v>
      </c>
    </row>
    <row r="42" spans="1:7" x14ac:dyDescent="0.25">
      <c r="A42" s="2">
        <v>1999</v>
      </c>
      <c r="B42" s="4">
        <v>45510</v>
      </c>
      <c r="C42" s="2">
        <v>0.7</v>
      </c>
      <c r="D42" s="2">
        <v>1.5</v>
      </c>
      <c r="E42" s="2">
        <v>2.2000000000000002</v>
      </c>
      <c r="F42">
        <f t="shared" si="0"/>
        <v>264</v>
      </c>
      <c r="G42" t="s">
        <v>12</v>
      </c>
    </row>
    <row r="43" spans="1:7" x14ac:dyDescent="0.25">
      <c r="A43" s="2">
        <v>2000</v>
      </c>
      <c r="B43" s="4">
        <v>45491</v>
      </c>
      <c r="C43" s="2">
        <v>2.8</v>
      </c>
      <c r="D43" s="2">
        <v>2.7</v>
      </c>
      <c r="E43" s="2">
        <v>5.5</v>
      </c>
      <c r="F43">
        <f t="shared" si="0"/>
        <v>265</v>
      </c>
      <c r="G43" t="s">
        <v>11</v>
      </c>
    </row>
    <row r="44" spans="1:7" x14ac:dyDescent="0.25">
      <c r="A44" s="2">
        <v>2001</v>
      </c>
      <c r="B44" s="4">
        <v>45479</v>
      </c>
      <c r="C44" s="2">
        <v>2.4</v>
      </c>
      <c r="D44" s="2">
        <v>1</v>
      </c>
      <c r="E44" s="2">
        <v>3.4</v>
      </c>
      <c r="F44">
        <f t="shared" si="0"/>
        <v>266</v>
      </c>
      <c r="G44" t="s">
        <v>8</v>
      </c>
    </row>
    <row r="45" spans="1:7" x14ac:dyDescent="0.25">
      <c r="A45" s="2">
        <v>2002</v>
      </c>
      <c r="B45" s="4"/>
      <c r="C45" s="2"/>
      <c r="D45" s="2"/>
      <c r="E45" s="2"/>
      <c r="F45">
        <f t="shared" si="0"/>
        <v>267</v>
      </c>
      <c r="G45" t="s">
        <v>10</v>
      </c>
    </row>
    <row r="46" spans="1:7" x14ac:dyDescent="0.25">
      <c r="A46" s="2">
        <v>2003</v>
      </c>
      <c r="B46" s="4">
        <v>45501</v>
      </c>
      <c r="C46" s="2">
        <v>0.3</v>
      </c>
      <c r="D46" s="2">
        <v>1.2</v>
      </c>
      <c r="E46" s="2">
        <v>1.5</v>
      </c>
      <c r="F46">
        <f t="shared" si="0"/>
        <v>268</v>
      </c>
      <c r="G46" t="s">
        <v>11</v>
      </c>
    </row>
    <row r="47" spans="1:7" x14ac:dyDescent="0.25">
      <c r="A47" s="2">
        <v>2004</v>
      </c>
      <c r="B47" s="4">
        <v>45486</v>
      </c>
      <c r="C47" s="2">
        <v>0.5</v>
      </c>
      <c r="D47" s="2">
        <v>0.3</v>
      </c>
      <c r="E47" s="2">
        <v>0.8</v>
      </c>
      <c r="F47">
        <f t="shared" si="0"/>
        <v>269</v>
      </c>
      <c r="G47" t="s">
        <v>9</v>
      </c>
    </row>
    <row r="48" spans="1:7" x14ac:dyDescent="0.25">
      <c r="A48" s="2">
        <v>2005</v>
      </c>
      <c r="B48" s="4">
        <v>45510</v>
      </c>
      <c r="C48" s="2">
        <v>0.3</v>
      </c>
      <c r="D48" s="2">
        <v>0.6</v>
      </c>
      <c r="E48" s="2">
        <v>0.9</v>
      </c>
      <c r="F48">
        <f t="shared" si="0"/>
        <v>270</v>
      </c>
      <c r="G48" t="s">
        <v>12</v>
      </c>
    </row>
    <row r="49" spans="1:7" x14ac:dyDescent="0.25">
      <c r="A49" s="2">
        <v>2006</v>
      </c>
      <c r="B49" s="4">
        <v>45503</v>
      </c>
      <c r="C49" s="2">
        <v>0</v>
      </c>
      <c r="D49" s="2">
        <v>0.5</v>
      </c>
      <c r="E49" s="2">
        <v>0.5</v>
      </c>
      <c r="F49">
        <f t="shared" si="0"/>
        <v>271</v>
      </c>
      <c r="G49" t="s">
        <v>12</v>
      </c>
    </row>
    <row r="50" spans="1:7" x14ac:dyDescent="0.25">
      <c r="A50" s="2">
        <v>2007</v>
      </c>
      <c r="B50" s="4">
        <v>45490</v>
      </c>
      <c r="C50" s="2">
        <v>0.3</v>
      </c>
      <c r="D50" s="2">
        <v>0</v>
      </c>
      <c r="E50" s="2">
        <v>0.3</v>
      </c>
      <c r="F50">
        <f t="shared" si="0"/>
        <v>272</v>
      </c>
      <c r="G50" t="s">
        <v>10</v>
      </c>
    </row>
    <row r="51" spans="1:7" x14ac:dyDescent="0.25">
      <c r="A51" s="2">
        <v>2008</v>
      </c>
      <c r="B51" s="4">
        <v>45490</v>
      </c>
      <c r="C51" s="2">
        <v>0.8</v>
      </c>
      <c r="D51" s="2">
        <v>0.3</v>
      </c>
      <c r="E51" s="2">
        <v>1.1000000000000001</v>
      </c>
      <c r="F51">
        <f t="shared" si="0"/>
        <v>273</v>
      </c>
      <c r="G51" t="s">
        <v>8</v>
      </c>
    </row>
    <row r="52" spans="1:7" x14ac:dyDescent="0.25">
      <c r="A52" s="2">
        <v>2009</v>
      </c>
      <c r="B52" s="4">
        <v>45491</v>
      </c>
      <c r="C52" s="2">
        <v>0.5</v>
      </c>
      <c r="D52" s="2">
        <v>0.3</v>
      </c>
      <c r="E52" s="2">
        <v>0.8</v>
      </c>
      <c r="F52">
        <f t="shared" si="0"/>
        <v>274</v>
      </c>
      <c r="G52" t="s">
        <v>10</v>
      </c>
    </row>
    <row r="53" spans="1:7" x14ac:dyDescent="0.25">
      <c r="A53" s="2">
        <v>2010</v>
      </c>
      <c r="B53" s="4">
        <v>45496</v>
      </c>
      <c r="C53" s="2">
        <v>0.7</v>
      </c>
      <c r="D53" s="2">
        <v>0.8</v>
      </c>
      <c r="E53" s="2">
        <v>1.5</v>
      </c>
      <c r="F53">
        <f t="shared" si="0"/>
        <v>275</v>
      </c>
      <c r="G53" t="s">
        <v>9</v>
      </c>
    </row>
    <row r="54" spans="1:7" x14ac:dyDescent="0.25">
      <c r="A54" s="2">
        <v>2011</v>
      </c>
      <c r="B54" s="4">
        <v>45518</v>
      </c>
      <c r="C54" s="2"/>
      <c r="D54" s="2"/>
      <c r="E54" s="2">
        <v>2.6</v>
      </c>
      <c r="F54">
        <f t="shared" si="0"/>
        <v>276</v>
      </c>
      <c r="G54" t="s">
        <v>12</v>
      </c>
    </row>
    <row r="55" spans="1:7" x14ac:dyDescent="0.25">
      <c r="A55" s="2">
        <v>2012</v>
      </c>
      <c r="B55" s="4">
        <v>45490</v>
      </c>
      <c r="C55" s="2"/>
      <c r="D55" s="2"/>
      <c r="E55" s="2">
        <v>1.7</v>
      </c>
      <c r="F55">
        <f t="shared" si="0"/>
        <v>277</v>
      </c>
      <c r="G55" t="s">
        <v>9</v>
      </c>
    </row>
    <row r="56" spans="1:7" x14ac:dyDescent="0.25">
      <c r="A56" s="2">
        <v>2013</v>
      </c>
      <c r="B56" s="4">
        <v>45484</v>
      </c>
      <c r="C56" s="2"/>
      <c r="D56" s="2"/>
      <c r="E56" s="2">
        <v>0.6</v>
      </c>
      <c r="F56">
        <f t="shared" si="0"/>
        <v>278</v>
      </c>
      <c r="G56" t="s">
        <v>10</v>
      </c>
    </row>
    <row r="57" spans="1:7" x14ac:dyDescent="0.25">
      <c r="A57" s="2">
        <v>2014</v>
      </c>
      <c r="B57" s="4">
        <v>45476</v>
      </c>
      <c r="C57" s="2"/>
      <c r="D57" s="2"/>
      <c r="E57" s="2">
        <v>0.3</v>
      </c>
      <c r="F57">
        <f t="shared" si="0"/>
        <v>279</v>
      </c>
      <c r="G57" t="s">
        <v>8</v>
      </c>
    </row>
    <row r="58" spans="1:7" x14ac:dyDescent="0.25">
      <c r="A58" s="2">
        <v>2015</v>
      </c>
      <c r="B58" s="4">
        <v>45468</v>
      </c>
      <c r="C58" s="2"/>
      <c r="D58" s="2"/>
      <c r="E58" s="2">
        <v>0.3</v>
      </c>
      <c r="F58">
        <f t="shared" si="0"/>
        <v>280</v>
      </c>
      <c r="G58" t="s">
        <v>8</v>
      </c>
    </row>
    <row r="59" spans="1:7" x14ac:dyDescent="0.25">
      <c r="A59" s="2">
        <v>2016</v>
      </c>
      <c r="B59" s="4">
        <v>45479</v>
      </c>
      <c r="C59" s="2"/>
      <c r="D59" s="2"/>
      <c r="E59" s="2">
        <v>2.2000000000000002</v>
      </c>
      <c r="F59">
        <f t="shared" si="0"/>
        <v>281</v>
      </c>
      <c r="G59" t="s">
        <v>9</v>
      </c>
    </row>
    <row r="60" spans="1:7" x14ac:dyDescent="0.25">
      <c r="A60" s="2">
        <v>2017</v>
      </c>
      <c r="B60" s="4">
        <v>45510</v>
      </c>
      <c r="C60" s="2"/>
      <c r="D60" s="2"/>
      <c r="E60" s="2">
        <v>4</v>
      </c>
      <c r="F60">
        <f t="shared" si="0"/>
        <v>282</v>
      </c>
      <c r="G60" t="s">
        <v>12</v>
      </c>
    </row>
    <row r="61" spans="1:7" x14ac:dyDescent="0.25">
      <c r="A61" s="2">
        <v>2018</v>
      </c>
      <c r="B61" s="4">
        <v>45482</v>
      </c>
      <c r="C61" s="2"/>
      <c r="D61" s="2"/>
      <c r="E61" s="2">
        <v>1</v>
      </c>
      <c r="F61">
        <f t="shared" si="0"/>
        <v>283</v>
      </c>
      <c r="G61" t="s">
        <v>9</v>
      </c>
    </row>
    <row r="62" spans="1:7" x14ac:dyDescent="0.25">
      <c r="A62" s="2">
        <v>2019</v>
      </c>
      <c r="B62" s="4">
        <v>45502</v>
      </c>
      <c r="C62" s="2"/>
      <c r="D62" s="2"/>
      <c r="E62" s="2">
        <v>1.7</v>
      </c>
      <c r="F62">
        <f t="shared" si="0"/>
        <v>284</v>
      </c>
      <c r="G62" t="s">
        <v>12</v>
      </c>
    </row>
    <row r="63" spans="1:7" x14ac:dyDescent="0.25">
      <c r="A63" s="2">
        <v>2020</v>
      </c>
      <c r="B63" s="4">
        <v>45478</v>
      </c>
      <c r="C63" s="2"/>
      <c r="D63" s="2"/>
      <c r="E63" s="2">
        <v>0.6</v>
      </c>
      <c r="F63">
        <f t="shared" si="0"/>
        <v>285</v>
      </c>
      <c r="G63" t="s">
        <v>10</v>
      </c>
    </row>
    <row r="64" spans="1:7" x14ac:dyDescent="0.25">
      <c r="A64" s="2">
        <v>2021</v>
      </c>
      <c r="B64" s="4">
        <v>45478</v>
      </c>
      <c r="C64" s="2"/>
      <c r="D64" s="2"/>
      <c r="E64" s="2">
        <v>0.1</v>
      </c>
      <c r="F64">
        <f t="shared" si="0"/>
        <v>286</v>
      </c>
      <c r="G64" t="s">
        <v>8</v>
      </c>
    </row>
    <row r="65" spans="1:7" x14ac:dyDescent="0.25">
      <c r="A65" s="2">
        <v>2022</v>
      </c>
      <c r="B65" s="4"/>
      <c r="C65" s="2"/>
      <c r="D65" s="2"/>
      <c r="E65" s="2"/>
      <c r="F65">
        <f t="shared" si="0"/>
        <v>287</v>
      </c>
      <c r="G65" t="s">
        <v>8</v>
      </c>
    </row>
    <row r="66" spans="1:7" x14ac:dyDescent="0.25">
      <c r="A66" s="2">
        <v>2023</v>
      </c>
      <c r="B66" s="4">
        <v>45506</v>
      </c>
      <c r="C66" s="2"/>
      <c r="D66" s="2"/>
      <c r="E66" s="2">
        <v>1.4</v>
      </c>
      <c r="F66">
        <f t="shared" si="0"/>
        <v>288</v>
      </c>
      <c r="G66" t="s">
        <v>12</v>
      </c>
    </row>
    <row r="67" spans="1:7" x14ac:dyDescent="0.25">
      <c r="A67" s="2">
        <v>2024</v>
      </c>
      <c r="B67" s="5">
        <v>45490</v>
      </c>
      <c r="E67" s="2">
        <v>0.7</v>
      </c>
      <c r="F67">
        <f t="shared" si="0"/>
        <v>289</v>
      </c>
      <c r="G67" t="s">
        <v>11</v>
      </c>
    </row>
  </sheetData>
  <autoFilter ref="A1:G67" xr:uid="{882A9DC8-3252-40AD-828B-BDD196318E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214A-69B5-4E0D-AF29-2FAEC3B10AC7}">
  <dimension ref="A3:G61"/>
  <sheetViews>
    <sheetView topLeftCell="A10" workbookViewId="0">
      <selection activeCell="A3" sqref="A3:G61"/>
    </sheetView>
  </sheetViews>
  <sheetFormatPr defaultRowHeight="15" x14ac:dyDescent="0.25"/>
  <cols>
    <col min="1" max="1" width="23" bestFit="1" customWidth="1"/>
    <col min="2" max="2" width="23.140625" bestFit="1" customWidth="1"/>
    <col min="3" max="3" width="23" bestFit="1" customWidth="1"/>
    <col min="4" max="4" width="16.85546875" bestFit="1" customWidth="1"/>
    <col min="5" max="5" width="13.42578125" bestFit="1" customWidth="1"/>
    <col min="6" max="6" width="14" bestFit="1" customWidth="1"/>
    <col min="7" max="7" width="12" bestFit="1" customWidth="1"/>
    <col min="8" max="8" width="11.28515625" bestFit="1" customWidth="1"/>
  </cols>
  <sheetData>
    <row r="3" spans="1:7" x14ac:dyDescent="0.25">
      <c r="A3" s="8" t="s">
        <v>22</v>
      </c>
      <c r="B3" s="8" t="s">
        <v>13</v>
      </c>
    </row>
    <row r="4" spans="1:7" x14ac:dyDescent="0.25">
      <c r="A4" s="8" t="s">
        <v>6</v>
      </c>
      <c r="B4" t="s">
        <v>11</v>
      </c>
      <c r="C4" t="s">
        <v>9</v>
      </c>
      <c r="D4" t="s">
        <v>8</v>
      </c>
      <c r="E4" t="s">
        <v>10</v>
      </c>
      <c r="F4" t="s">
        <v>12</v>
      </c>
      <c r="G4" t="s">
        <v>7</v>
      </c>
    </row>
    <row r="5" spans="1:7" x14ac:dyDescent="0.25">
      <c r="A5" s="9">
        <v>1969</v>
      </c>
      <c r="F5">
        <v>73.8</v>
      </c>
      <c r="G5">
        <v>73.8</v>
      </c>
    </row>
    <row r="6" spans="1:7" x14ac:dyDescent="0.25">
      <c r="A6" s="9">
        <v>1970</v>
      </c>
      <c r="F6">
        <v>78.5</v>
      </c>
      <c r="G6">
        <v>78.5</v>
      </c>
    </row>
    <row r="7" spans="1:7" x14ac:dyDescent="0.25">
      <c r="A7" s="9">
        <v>1971</v>
      </c>
      <c r="F7">
        <v>69.599999999999994</v>
      </c>
      <c r="G7">
        <v>69.599999999999994</v>
      </c>
    </row>
    <row r="8" spans="1:7" x14ac:dyDescent="0.25">
      <c r="A8" s="9">
        <v>1972</v>
      </c>
      <c r="C8">
        <v>34.5</v>
      </c>
      <c r="G8">
        <v>34.5</v>
      </c>
    </row>
    <row r="9" spans="1:7" x14ac:dyDescent="0.25">
      <c r="A9" s="9">
        <v>1973</v>
      </c>
      <c r="B9">
        <v>62.7</v>
      </c>
      <c r="G9">
        <v>62.7</v>
      </c>
    </row>
    <row r="10" spans="1:7" x14ac:dyDescent="0.25">
      <c r="A10" s="9">
        <v>1974</v>
      </c>
      <c r="F10">
        <v>80.8</v>
      </c>
      <c r="G10">
        <v>80.8</v>
      </c>
    </row>
    <row r="11" spans="1:7" x14ac:dyDescent="0.25">
      <c r="A11" s="9">
        <v>1975</v>
      </c>
      <c r="F11">
        <v>65.5</v>
      </c>
      <c r="G11">
        <v>65.5</v>
      </c>
    </row>
    <row r="12" spans="1:7" x14ac:dyDescent="0.25">
      <c r="A12" s="9">
        <v>1976</v>
      </c>
      <c r="D12">
        <v>35.9</v>
      </c>
      <c r="G12">
        <v>35.9</v>
      </c>
    </row>
    <row r="13" spans="1:7" x14ac:dyDescent="0.25">
      <c r="A13" s="9">
        <v>1977</v>
      </c>
      <c r="D13">
        <v>9</v>
      </c>
      <c r="G13">
        <v>9</v>
      </c>
    </row>
    <row r="14" spans="1:7" x14ac:dyDescent="0.25">
      <c r="A14" s="9">
        <v>1978</v>
      </c>
      <c r="F14">
        <v>29.6</v>
      </c>
      <c r="G14">
        <v>29.6</v>
      </c>
    </row>
    <row r="15" spans="1:7" x14ac:dyDescent="0.25">
      <c r="A15" s="9">
        <v>1979</v>
      </c>
      <c r="C15">
        <v>16.899999999999999</v>
      </c>
      <c r="G15">
        <v>16.899999999999999</v>
      </c>
    </row>
    <row r="16" spans="1:7" x14ac:dyDescent="0.25">
      <c r="A16" s="9">
        <v>1980</v>
      </c>
      <c r="F16">
        <v>14</v>
      </c>
      <c r="G16">
        <v>14</v>
      </c>
    </row>
    <row r="17" spans="1:7" x14ac:dyDescent="0.25">
      <c r="A17" s="9">
        <v>1981</v>
      </c>
      <c r="E17">
        <v>29.1</v>
      </c>
      <c r="G17">
        <v>29.1</v>
      </c>
    </row>
    <row r="18" spans="1:7" x14ac:dyDescent="0.25">
      <c r="A18" s="9">
        <v>1982</v>
      </c>
      <c r="F18">
        <v>48.7</v>
      </c>
      <c r="G18">
        <v>48.7</v>
      </c>
    </row>
    <row r="19" spans="1:7" x14ac:dyDescent="0.25">
      <c r="A19" s="9">
        <v>1983</v>
      </c>
    </row>
    <row r="20" spans="1:7" x14ac:dyDescent="0.25">
      <c r="A20" s="9">
        <v>1984</v>
      </c>
      <c r="F20">
        <v>26.3</v>
      </c>
      <c r="G20">
        <v>26.3</v>
      </c>
    </row>
    <row r="21" spans="1:7" x14ac:dyDescent="0.25">
      <c r="A21" s="9">
        <v>1985</v>
      </c>
      <c r="E21">
        <v>6.3</v>
      </c>
      <c r="G21">
        <v>6.3</v>
      </c>
    </row>
    <row r="22" spans="1:7" x14ac:dyDescent="0.25">
      <c r="A22" s="9">
        <v>1986</v>
      </c>
      <c r="F22">
        <v>64.900000000000006</v>
      </c>
      <c r="G22">
        <v>64.900000000000006</v>
      </c>
    </row>
    <row r="23" spans="1:7" x14ac:dyDescent="0.25">
      <c r="A23" s="9">
        <v>1987</v>
      </c>
      <c r="E23">
        <v>12.6</v>
      </c>
      <c r="G23">
        <v>12.6</v>
      </c>
    </row>
    <row r="24" spans="1:7" x14ac:dyDescent="0.25">
      <c r="A24" s="9">
        <v>1988</v>
      </c>
      <c r="D24">
        <v>4.5999999999999996</v>
      </c>
      <c r="G24">
        <v>4.5999999999999996</v>
      </c>
    </row>
    <row r="25" spans="1:7" x14ac:dyDescent="0.25">
      <c r="A25" s="9">
        <v>1989</v>
      </c>
      <c r="E25">
        <v>5.0999999999999996</v>
      </c>
      <c r="G25">
        <v>5.0999999999999996</v>
      </c>
    </row>
    <row r="26" spans="1:7" x14ac:dyDescent="0.25">
      <c r="A26" s="9">
        <v>1990</v>
      </c>
      <c r="D26">
        <v>4.3</v>
      </c>
      <c r="G26">
        <v>4.3</v>
      </c>
    </row>
    <row r="27" spans="1:7" x14ac:dyDescent="0.25">
      <c r="A27" s="9">
        <v>1991</v>
      </c>
      <c r="D27">
        <v>5.4</v>
      </c>
      <c r="G27">
        <v>5.4</v>
      </c>
    </row>
    <row r="28" spans="1:7" x14ac:dyDescent="0.25">
      <c r="A28" s="9">
        <v>1992</v>
      </c>
      <c r="D28">
        <v>10.6</v>
      </c>
      <c r="G28">
        <v>10.6</v>
      </c>
    </row>
    <row r="29" spans="1:7" x14ac:dyDescent="0.25">
      <c r="A29" s="9">
        <v>1993</v>
      </c>
      <c r="B29">
        <v>23.4</v>
      </c>
      <c r="G29">
        <v>23.4</v>
      </c>
    </row>
    <row r="30" spans="1:7" x14ac:dyDescent="0.25">
      <c r="A30" s="9">
        <v>1994</v>
      </c>
      <c r="D30">
        <v>10.6</v>
      </c>
      <c r="G30">
        <v>10.6</v>
      </c>
    </row>
    <row r="31" spans="1:7" x14ac:dyDescent="0.25">
      <c r="A31" s="9">
        <v>1995</v>
      </c>
    </row>
    <row r="32" spans="1:7" x14ac:dyDescent="0.25">
      <c r="A32" s="9">
        <v>1996</v>
      </c>
      <c r="F32">
        <v>2.1</v>
      </c>
      <c r="G32">
        <v>2.1</v>
      </c>
    </row>
    <row r="33" spans="1:7" x14ac:dyDescent="0.25">
      <c r="A33" s="9">
        <v>1997</v>
      </c>
      <c r="F33">
        <v>1.6</v>
      </c>
      <c r="G33">
        <v>1.6</v>
      </c>
    </row>
    <row r="34" spans="1:7" x14ac:dyDescent="0.25">
      <c r="A34" s="9">
        <v>1998</v>
      </c>
      <c r="F34">
        <v>1.7</v>
      </c>
      <c r="G34">
        <v>1.7</v>
      </c>
    </row>
    <row r="35" spans="1:7" x14ac:dyDescent="0.25">
      <c r="A35" s="9">
        <v>1999</v>
      </c>
      <c r="F35">
        <v>2.2000000000000002</v>
      </c>
      <c r="G35">
        <v>2.2000000000000002</v>
      </c>
    </row>
    <row r="36" spans="1:7" x14ac:dyDescent="0.25">
      <c r="A36" s="9">
        <v>2000</v>
      </c>
      <c r="B36">
        <v>5.5</v>
      </c>
      <c r="G36">
        <v>5.5</v>
      </c>
    </row>
    <row r="37" spans="1:7" x14ac:dyDescent="0.25">
      <c r="A37" s="9">
        <v>2001</v>
      </c>
      <c r="D37">
        <v>3.4</v>
      </c>
      <c r="G37">
        <v>3.4</v>
      </c>
    </row>
    <row r="38" spans="1:7" x14ac:dyDescent="0.25">
      <c r="A38" s="9">
        <v>2002</v>
      </c>
    </row>
    <row r="39" spans="1:7" x14ac:dyDescent="0.25">
      <c r="A39" s="9">
        <v>2003</v>
      </c>
      <c r="B39">
        <v>1.5</v>
      </c>
      <c r="G39">
        <v>1.5</v>
      </c>
    </row>
    <row r="40" spans="1:7" x14ac:dyDescent="0.25">
      <c r="A40" s="9">
        <v>2004</v>
      </c>
      <c r="C40">
        <v>0.8</v>
      </c>
      <c r="G40">
        <v>0.8</v>
      </c>
    </row>
    <row r="41" spans="1:7" x14ac:dyDescent="0.25">
      <c r="A41" s="9">
        <v>2005</v>
      </c>
      <c r="F41">
        <v>0.9</v>
      </c>
      <c r="G41">
        <v>0.9</v>
      </c>
    </row>
    <row r="42" spans="1:7" x14ac:dyDescent="0.25">
      <c r="A42" s="9">
        <v>2006</v>
      </c>
      <c r="F42">
        <v>0.5</v>
      </c>
      <c r="G42">
        <v>0.5</v>
      </c>
    </row>
    <row r="43" spans="1:7" x14ac:dyDescent="0.25">
      <c r="A43" s="9">
        <v>2007</v>
      </c>
      <c r="E43">
        <v>0.3</v>
      </c>
      <c r="G43">
        <v>0.3</v>
      </c>
    </row>
    <row r="44" spans="1:7" x14ac:dyDescent="0.25">
      <c r="A44" s="9">
        <v>2008</v>
      </c>
      <c r="D44">
        <v>1.1000000000000001</v>
      </c>
      <c r="G44">
        <v>1.1000000000000001</v>
      </c>
    </row>
    <row r="45" spans="1:7" x14ac:dyDescent="0.25">
      <c r="A45" s="9">
        <v>2009</v>
      </c>
      <c r="E45">
        <v>0.8</v>
      </c>
      <c r="G45">
        <v>0.8</v>
      </c>
    </row>
    <row r="46" spans="1:7" x14ac:dyDescent="0.25">
      <c r="A46" s="9">
        <v>2010</v>
      </c>
      <c r="C46">
        <v>1.5</v>
      </c>
      <c r="G46">
        <v>1.5</v>
      </c>
    </row>
    <row r="47" spans="1:7" x14ac:dyDescent="0.25">
      <c r="A47" s="9">
        <v>2011</v>
      </c>
      <c r="F47">
        <v>2.6</v>
      </c>
      <c r="G47">
        <v>2.6</v>
      </c>
    </row>
    <row r="48" spans="1:7" x14ac:dyDescent="0.25">
      <c r="A48" s="9">
        <v>2012</v>
      </c>
      <c r="C48">
        <v>1.7</v>
      </c>
      <c r="G48">
        <v>1.7</v>
      </c>
    </row>
    <row r="49" spans="1:7" x14ac:dyDescent="0.25">
      <c r="A49" s="9">
        <v>2013</v>
      </c>
      <c r="E49">
        <v>0.6</v>
      </c>
      <c r="G49">
        <v>0.6</v>
      </c>
    </row>
    <row r="50" spans="1:7" x14ac:dyDescent="0.25">
      <c r="A50" s="9">
        <v>2014</v>
      </c>
      <c r="D50">
        <v>0.3</v>
      </c>
      <c r="G50">
        <v>0.3</v>
      </c>
    </row>
    <row r="51" spans="1:7" x14ac:dyDescent="0.25">
      <c r="A51" s="9">
        <v>2015</v>
      </c>
      <c r="D51">
        <v>0.3</v>
      </c>
      <c r="G51">
        <v>0.3</v>
      </c>
    </row>
    <row r="52" spans="1:7" x14ac:dyDescent="0.25">
      <c r="A52" s="9">
        <v>2016</v>
      </c>
      <c r="C52">
        <v>2.2000000000000002</v>
      </c>
      <c r="G52">
        <v>2.2000000000000002</v>
      </c>
    </row>
    <row r="53" spans="1:7" x14ac:dyDescent="0.25">
      <c r="A53" s="9">
        <v>2017</v>
      </c>
      <c r="F53">
        <v>4</v>
      </c>
      <c r="G53">
        <v>4</v>
      </c>
    </row>
    <row r="54" spans="1:7" x14ac:dyDescent="0.25">
      <c r="A54" s="9">
        <v>2018</v>
      </c>
      <c r="C54">
        <v>1</v>
      </c>
      <c r="G54">
        <v>1</v>
      </c>
    </row>
    <row r="55" spans="1:7" x14ac:dyDescent="0.25">
      <c r="A55" s="9">
        <v>2019</v>
      </c>
      <c r="F55">
        <v>1.7</v>
      </c>
      <c r="G55">
        <v>1.7</v>
      </c>
    </row>
    <row r="56" spans="1:7" x14ac:dyDescent="0.25">
      <c r="A56" s="9">
        <v>2020</v>
      </c>
      <c r="E56">
        <v>0.6</v>
      </c>
      <c r="G56">
        <v>0.6</v>
      </c>
    </row>
    <row r="57" spans="1:7" x14ac:dyDescent="0.25">
      <c r="A57" s="9">
        <v>2021</v>
      </c>
      <c r="D57">
        <v>0.1</v>
      </c>
      <c r="G57">
        <v>0.1</v>
      </c>
    </row>
    <row r="58" spans="1:7" x14ac:dyDescent="0.25">
      <c r="A58" s="9">
        <v>2022</v>
      </c>
    </row>
    <row r="59" spans="1:7" x14ac:dyDescent="0.25">
      <c r="A59" s="9">
        <v>2023</v>
      </c>
      <c r="F59">
        <v>1.4</v>
      </c>
      <c r="G59">
        <v>1.4</v>
      </c>
    </row>
    <row r="60" spans="1:7" x14ac:dyDescent="0.25">
      <c r="A60" s="9">
        <v>2024</v>
      </c>
      <c r="B60">
        <v>0.7</v>
      </c>
      <c r="G60">
        <v>0.7</v>
      </c>
    </row>
    <row r="61" spans="1:7" x14ac:dyDescent="0.25">
      <c r="A61" s="9" t="s">
        <v>7</v>
      </c>
      <c r="B61">
        <v>18.759999999999998</v>
      </c>
      <c r="C61">
        <v>8.3714285714285719</v>
      </c>
      <c r="D61">
        <v>7.133333333333332</v>
      </c>
      <c r="E61">
        <v>6.9249999999999998</v>
      </c>
      <c r="F61">
        <v>28.52000000000001</v>
      </c>
      <c r="G61">
        <v>16.611538461538462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FA38-84F7-49AC-B692-0D6C7D4D47BE}">
  <dimension ref="A2:G61"/>
  <sheetViews>
    <sheetView topLeftCell="A4" workbookViewId="0">
      <selection activeCell="A117" sqref="A117:Q128"/>
    </sheetView>
  </sheetViews>
  <sheetFormatPr defaultRowHeight="15" x14ac:dyDescent="0.25"/>
  <sheetData>
    <row r="2" spans="1:7" x14ac:dyDescent="0.25">
      <c r="A2" s="7" t="s">
        <v>20</v>
      </c>
    </row>
    <row r="3" spans="1:7" x14ac:dyDescent="0.25">
      <c r="A3" t="s">
        <v>15</v>
      </c>
      <c r="B3" t="s">
        <v>13</v>
      </c>
    </row>
    <row r="4" spans="1:7" x14ac:dyDescent="0.25">
      <c r="A4" t="s">
        <v>6</v>
      </c>
      <c r="B4" t="s">
        <v>11</v>
      </c>
      <c r="C4" t="s">
        <v>9</v>
      </c>
      <c r="D4" t="s">
        <v>8</v>
      </c>
      <c r="E4" t="s">
        <v>10</v>
      </c>
      <c r="F4" t="s">
        <v>12</v>
      </c>
      <c r="G4" t="s">
        <v>7</v>
      </c>
    </row>
    <row r="5" spans="1:7" x14ac:dyDescent="0.25">
      <c r="A5">
        <v>1969</v>
      </c>
      <c r="F5">
        <v>73.8</v>
      </c>
      <c r="G5">
        <v>73.8</v>
      </c>
    </row>
    <row r="6" spans="1:7" x14ac:dyDescent="0.25">
      <c r="A6">
        <v>1970</v>
      </c>
      <c r="F6">
        <v>78.5</v>
      </c>
      <c r="G6">
        <v>78.5</v>
      </c>
    </row>
    <row r="7" spans="1:7" x14ac:dyDescent="0.25">
      <c r="A7">
        <v>1971</v>
      </c>
      <c r="F7">
        <v>69.599999999999994</v>
      </c>
      <c r="G7">
        <v>69.599999999999994</v>
      </c>
    </row>
    <row r="8" spans="1:7" x14ac:dyDescent="0.25">
      <c r="A8">
        <v>1972</v>
      </c>
      <c r="C8">
        <v>34.5</v>
      </c>
      <c r="G8">
        <v>34.5</v>
      </c>
    </row>
    <row r="9" spans="1:7" x14ac:dyDescent="0.25">
      <c r="A9">
        <v>1973</v>
      </c>
      <c r="B9">
        <v>62.7</v>
      </c>
      <c r="G9">
        <v>62.7</v>
      </c>
    </row>
    <row r="10" spans="1:7" x14ac:dyDescent="0.25">
      <c r="A10">
        <v>1974</v>
      </c>
      <c r="F10">
        <v>80.8</v>
      </c>
      <c r="G10">
        <v>80.8</v>
      </c>
    </row>
    <row r="11" spans="1:7" x14ac:dyDescent="0.25">
      <c r="A11">
        <v>1975</v>
      </c>
      <c r="F11">
        <v>65.5</v>
      </c>
      <c r="G11">
        <v>65.5</v>
      </c>
    </row>
    <row r="12" spans="1:7" x14ac:dyDescent="0.25">
      <c r="A12">
        <v>1976</v>
      </c>
      <c r="D12">
        <v>35.9</v>
      </c>
      <c r="G12">
        <v>35.9</v>
      </c>
    </row>
    <row r="13" spans="1:7" x14ac:dyDescent="0.25">
      <c r="A13">
        <v>1977</v>
      </c>
      <c r="D13">
        <v>9</v>
      </c>
      <c r="G13">
        <v>9</v>
      </c>
    </row>
    <row r="14" spans="1:7" x14ac:dyDescent="0.25">
      <c r="A14">
        <v>1978</v>
      </c>
      <c r="F14">
        <v>29.6</v>
      </c>
      <c r="G14">
        <v>29.6</v>
      </c>
    </row>
    <row r="15" spans="1:7" x14ac:dyDescent="0.25">
      <c r="A15">
        <v>1979</v>
      </c>
      <c r="C15">
        <v>16.899999999999999</v>
      </c>
      <c r="G15">
        <v>16.899999999999999</v>
      </c>
    </row>
    <row r="16" spans="1:7" x14ac:dyDescent="0.25">
      <c r="A16">
        <v>1980</v>
      </c>
      <c r="F16">
        <v>14</v>
      </c>
      <c r="G16">
        <v>14</v>
      </c>
    </row>
    <row r="17" spans="1:7" x14ac:dyDescent="0.25">
      <c r="A17">
        <v>1981</v>
      </c>
      <c r="E17">
        <v>29.1</v>
      </c>
      <c r="G17">
        <v>29.1</v>
      </c>
    </row>
    <row r="18" spans="1:7" x14ac:dyDescent="0.25">
      <c r="A18">
        <v>1982</v>
      </c>
      <c r="F18">
        <v>48.7</v>
      </c>
      <c r="G18">
        <v>48.7</v>
      </c>
    </row>
    <row r="19" spans="1:7" x14ac:dyDescent="0.25">
      <c r="A19">
        <v>1983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1984</v>
      </c>
      <c r="F20">
        <v>26.3</v>
      </c>
      <c r="G20">
        <v>26.3</v>
      </c>
    </row>
    <row r="21" spans="1:7" x14ac:dyDescent="0.25">
      <c r="A21">
        <v>1985</v>
      </c>
      <c r="E21">
        <v>6.3</v>
      </c>
      <c r="G21">
        <v>6.3</v>
      </c>
    </row>
    <row r="22" spans="1:7" x14ac:dyDescent="0.25">
      <c r="A22">
        <v>1986</v>
      </c>
      <c r="F22">
        <v>64.900000000000006</v>
      </c>
      <c r="G22">
        <v>64.900000000000006</v>
      </c>
    </row>
    <row r="23" spans="1:7" x14ac:dyDescent="0.25">
      <c r="A23">
        <v>1987</v>
      </c>
      <c r="E23">
        <v>12.6</v>
      </c>
      <c r="G23">
        <v>12.6</v>
      </c>
    </row>
    <row r="24" spans="1:7" x14ac:dyDescent="0.25">
      <c r="A24">
        <v>1988</v>
      </c>
      <c r="D24">
        <v>4.5999999999999996</v>
      </c>
      <c r="G24">
        <v>4.5999999999999996</v>
      </c>
    </row>
    <row r="25" spans="1:7" x14ac:dyDescent="0.25">
      <c r="A25">
        <v>1989</v>
      </c>
      <c r="E25">
        <v>5.0999999999999996</v>
      </c>
      <c r="G25">
        <v>5.0999999999999996</v>
      </c>
    </row>
    <row r="26" spans="1:7" x14ac:dyDescent="0.25">
      <c r="A26">
        <v>1990</v>
      </c>
      <c r="D26">
        <v>4.3</v>
      </c>
      <c r="G26">
        <v>4.3</v>
      </c>
    </row>
    <row r="27" spans="1:7" x14ac:dyDescent="0.25">
      <c r="A27">
        <v>1991</v>
      </c>
      <c r="D27">
        <v>5.4</v>
      </c>
      <c r="G27">
        <v>5.4</v>
      </c>
    </row>
    <row r="28" spans="1:7" x14ac:dyDescent="0.25">
      <c r="A28">
        <v>1992</v>
      </c>
      <c r="D28">
        <v>10.6</v>
      </c>
      <c r="G28">
        <v>10.6</v>
      </c>
    </row>
    <row r="29" spans="1:7" x14ac:dyDescent="0.25">
      <c r="A29">
        <v>1993</v>
      </c>
      <c r="B29">
        <v>23.4</v>
      </c>
      <c r="G29">
        <v>23.4</v>
      </c>
    </row>
    <row r="30" spans="1:7" x14ac:dyDescent="0.25">
      <c r="A30">
        <v>1994</v>
      </c>
      <c r="D30">
        <v>10.6</v>
      </c>
      <c r="G30">
        <v>10.6</v>
      </c>
    </row>
    <row r="31" spans="1:7" x14ac:dyDescent="0.25">
      <c r="A31">
        <v>1995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1996</v>
      </c>
      <c r="F32">
        <v>2.1</v>
      </c>
      <c r="G32">
        <v>2.1</v>
      </c>
    </row>
    <row r="33" spans="1:7" x14ac:dyDescent="0.25">
      <c r="A33">
        <v>1997</v>
      </c>
      <c r="F33">
        <v>1.6</v>
      </c>
      <c r="G33">
        <v>1.6</v>
      </c>
    </row>
    <row r="34" spans="1:7" x14ac:dyDescent="0.25">
      <c r="A34">
        <v>1998</v>
      </c>
      <c r="F34">
        <v>1.7</v>
      </c>
      <c r="G34">
        <v>1.7</v>
      </c>
    </row>
    <row r="35" spans="1:7" x14ac:dyDescent="0.25">
      <c r="A35">
        <v>1999</v>
      </c>
      <c r="F35">
        <v>2.2000000000000002</v>
      </c>
      <c r="G35">
        <v>2.2000000000000002</v>
      </c>
    </row>
    <row r="36" spans="1:7" x14ac:dyDescent="0.25">
      <c r="A36">
        <v>2000</v>
      </c>
      <c r="B36">
        <v>5.5</v>
      </c>
      <c r="G36">
        <v>5.5</v>
      </c>
    </row>
    <row r="37" spans="1:7" x14ac:dyDescent="0.25">
      <c r="A37">
        <v>2001</v>
      </c>
      <c r="D37">
        <v>3.4</v>
      </c>
      <c r="G37">
        <v>3.4</v>
      </c>
    </row>
    <row r="38" spans="1:7" x14ac:dyDescent="0.25">
      <c r="A38">
        <v>2002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2003</v>
      </c>
      <c r="B39">
        <v>1.5</v>
      </c>
      <c r="G39">
        <v>1.5</v>
      </c>
    </row>
    <row r="40" spans="1:7" x14ac:dyDescent="0.25">
      <c r="A40">
        <v>2004</v>
      </c>
      <c r="C40">
        <v>0.8</v>
      </c>
      <c r="G40">
        <v>0.8</v>
      </c>
    </row>
    <row r="41" spans="1:7" x14ac:dyDescent="0.25">
      <c r="A41">
        <v>2005</v>
      </c>
      <c r="F41">
        <v>0.9</v>
      </c>
      <c r="G41">
        <v>0.9</v>
      </c>
    </row>
    <row r="42" spans="1:7" x14ac:dyDescent="0.25">
      <c r="A42">
        <v>2006</v>
      </c>
      <c r="F42">
        <v>0.5</v>
      </c>
      <c r="G42">
        <v>0.5</v>
      </c>
    </row>
    <row r="43" spans="1:7" x14ac:dyDescent="0.25">
      <c r="A43">
        <v>2007</v>
      </c>
      <c r="E43">
        <v>0.3</v>
      </c>
      <c r="G43">
        <v>0.3</v>
      </c>
    </row>
    <row r="44" spans="1:7" x14ac:dyDescent="0.25">
      <c r="A44">
        <v>2008</v>
      </c>
      <c r="D44">
        <v>1.1000000000000001</v>
      </c>
      <c r="G44">
        <v>1.1000000000000001</v>
      </c>
    </row>
    <row r="45" spans="1:7" x14ac:dyDescent="0.25">
      <c r="A45">
        <v>2009</v>
      </c>
      <c r="E45">
        <v>0.8</v>
      </c>
      <c r="G45">
        <v>0.8</v>
      </c>
    </row>
    <row r="46" spans="1:7" x14ac:dyDescent="0.25">
      <c r="A46">
        <v>2010</v>
      </c>
      <c r="C46">
        <v>1.5</v>
      </c>
      <c r="G46">
        <v>1.5</v>
      </c>
    </row>
    <row r="47" spans="1:7" x14ac:dyDescent="0.25">
      <c r="A47">
        <v>2011</v>
      </c>
      <c r="F47">
        <v>2.6</v>
      </c>
      <c r="G47">
        <v>2.6</v>
      </c>
    </row>
    <row r="48" spans="1:7" x14ac:dyDescent="0.25">
      <c r="A48">
        <v>2012</v>
      </c>
      <c r="C48">
        <v>1.7</v>
      </c>
      <c r="G48">
        <v>1.7</v>
      </c>
    </row>
    <row r="49" spans="1:7" x14ac:dyDescent="0.25">
      <c r="A49">
        <v>2013</v>
      </c>
      <c r="E49">
        <v>0.6</v>
      </c>
      <c r="G49">
        <v>0.6</v>
      </c>
    </row>
    <row r="50" spans="1:7" x14ac:dyDescent="0.25">
      <c r="A50">
        <v>2014</v>
      </c>
      <c r="D50">
        <v>0.3</v>
      </c>
      <c r="G50">
        <v>0.3</v>
      </c>
    </row>
    <row r="51" spans="1:7" x14ac:dyDescent="0.25">
      <c r="A51">
        <v>2015</v>
      </c>
      <c r="D51">
        <v>0.3</v>
      </c>
      <c r="G51">
        <v>0.3</v>
      </c>
    </row>
    <row r="52" spans="1:7" x14ac:dyDescent="0.25">
      <c r="A52">
        <v>2016</v>
      </c>
      <c r="C52">
        <v>2.2000000000000002</v>
      </c>
      <c r="G52">
        <v>2.2000000000000002</v>
      </c>
    </row>
    <row r="53" spans="1:7" x14ac:dyDescent="0.25">
      <c r="A53">
        <v>2017</v>
      </c>
      <c r="F53">
        <v>4</v>
      </c>
      <c r="G53">
        <v>4</v>
      </c>
    </row>
    <row r="54" spans="1:7" x14ac:dyDescent="0.25">
      <c r="A54">
        <v>2018</v>
      </c>
      <c r="C54">
        <v>1</v>
      </c>
      <c r="G54">
        <v>1</v>
      </c>
    </row>
    <row r="55" spans="1:7" x14ac:dyDescent="0.25">
      <c r="A55">
        <v>2019</v>
      </c>
      <c r="F55">
        <v>1.7</v>
      </c>
      <c r="G55">
        <v>1.7</v>
      </c>
    </row>
    <row r="56" spans="1:7" x14ac:dyDescent="0.25">
      <c r="A56">
        <v>2020</v>
      </c>
      <c r="E56">
        <v>0.6</v>
      </c>
      <c r="G56">
        <v>0.6</v>
      </c>
    </row>
    <row r="57" spans="1:7" x14ac:dyDescent="0.25">
      <c r="A57">
        <v>2021</v>
      </c>
      <c r="D57">
        <v>0.1</v>
      </c>
      <c r="G57">
        <v>0.1</v>
      </c>
    </row>
    <row r="58" spans="1:7" x14ac:dyDescent="0.25">
      <c r="A58">
        <v>2022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2023</v>
      </c>
      <c r="F59">
        <v>1.4</v>
      </c>
      <c r="G59">
        <v>1.4</v>
      </c>
    </row>
    <row r="60" spans="1:7" x14ac:dyDescent="0.25">
      <c r="A60">
        <v>2024</v>
      </c>
      <c r="B60">
        <v>0.7</v>
      </c>
      <c r="G60">
        <v>0.7</v>
      </c>
    </row>
    <row r="61" spans="1:7" x14ac:dyDescent="0.25">
      <c r="A61" t="s">
        <v>7</v>
      </c>
      <c r="B61">
        <v>93.8</v>
      </c>
      <c r="C61">
        <v>58.6</v>
      </c>
      <c r="D61">
        <v>85.59999999999998</v>
      </c>
      <c r="E61">
        <v>55.4</v>
      </c>
      <c r="F61">
        <v>570.4000000000002</v>
      </c>
      <c r="G61">
        <v>863.80000000000007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6B5D-1336-4D5D-8B88-7FCB44DDBE55}">
  <dimension ref="A1:O64"/>
  <sheetViews>
    <sheetView tabSelected="1" workbookViewId="0">
      <selection activeCell="B35" sqref="B35"/>
    </sheetView>
  </sheetViews>
  <sheetFormatPr defaultRowHeight="15" x14ac:dyDescent="0.25"/>
  <sheetData>
    <row r="1" spans="1:15" x14ac:dyDescent="0.25">
      <c r="A1" s="7" t="s">
        <v>16</v>
      </c>
    </row>
    <row r="2" spans="1:15" x14ac:dyDescent="0.25">
      <c r="A2" t="s">
        <v>15</v>
      </c>
      <c r="B2" t="s">
        <v>13</v>
      </c>
    </row>
    <row r="3" spans="1:15" x14ac:dyDescent="0.25">
      <c r="A3" t="s">
        <v>6</v>
      </c>
      <c r="B3" t="s">
        <v>11</v>
      </c>
      <c r="C3" t="s">
        <v>9</v>
      </c>
      <c r="D3" t="s">
        <v>8</v>
      </c>
      <c r="E3" t="s">
        <v>10</v>
      </c>
      <c r="F3" t="s">
        <v>12</v>
      </c>
      <c r="G3" t="s">
        <v>7</v>
      </c>
      <c r="I3" s="7" t="s">
        <v>17</v>
      </c>
    </row>
    <row r="4" spans="1:15" x14ac:dyDescent="0.25">
      <c r="A4">
        <v>1969</v>
      </c>
      <c r="F4">
        <v>73.8</v>
      </c>
      <c r="G4">
        <v>73.8</v>
      </c>
      <c r="J4" t="s">
        <v>8</v>
      </c>
      <c r="K4" t="s">
        <v>10</v>
      </c>
      <c r="L4" t="s">
        <v>9</v>
      </c>
      <c r="M4" t="s">
        <v>11</v>
      </c>
      <c r="N4" t="s">
        <v>12</v>
      </c>
      <c r="O4" t="s">
        <v>14</v>
      </c>
    </row>
    <row r="5" spans="1:15" x14ac:dyDescent="0.25">
      <c r="A5">
        <v>1970</v>
      </c>
      <c r="F5">
        <v>78.5</v>
      </c>
      <c r="G5">
        <v>78.5</v>
      </c>
      <c r="J5">
        <f>((D35/O5)-1)*100</f>
        <v>-51.583764904251495</v>
      </c>
      <c r="K5">
        <f>((E35/O5)-1)*100</f>
        <v>-68.023605925569072</v>
      </c>
      <c r="L5">
        <f>((C35/O5)-1)*100</f>
        <v>-69.047332289533898</v>
      </c>
      <c r="M5">
        <f>((B35/O5)-1)*100</f>
        <v>-48.151270625075284</v>
      </c>
      <c r="N5">
        <f>((F35/O5)-1)*100</f>
        <v>236.80597374442976</v>
      </c>
      <c r="O5">
        <f>AVERAGE(B35:F35)</f>
        <v>166.06000000000003</v>
      </c>
    </row>
    <row r="6" spans="1:15" x14ac:dyDescent="0.25">
      <c r="A6">
        <v>1971</v>
      </c>
      <c r="F6">
        <v>69.599999999999994</v>
      </c>
      <c r="G6">
        <v>69.599999999999994</v>
      </c>
    </row>
    <row r="7" spans="1:15" x14ac:dyDescent="0.25">
      <c r="A7">
        <v>1972</v>
      </c>
      <c r="C7">
        <v>34.5</v>
      </c>
      <c r="G7">
        <v>34.5</v>
      </c>
    </row>
    <row r="8" spans="1:15" x14ac:dyDescent="0.25">
      <c r="A8">
        <v>1973</v>
      </c>
      <c r="B8">
        <v>62.7</v>
      </c>
      <c r="G8">
        <v>62.7</v>
      </c>
    </row>
    <row r="9" spans="1:15" x14ac:dyDescent="0.25">
      <c r="A9">
        <v>1974</v>
      </c>
      <c r="F9">
        <v>80.8</v>
      </c>
      <c r="G9">
        <v>80.8</v>
      </c>
    </row>
    <row r="10" spans="1:15" x14ac:dyDescent="0.25">
      <c r="A10">
        <v>1975</v>
      </c>
      <c r="F10">
        <v>65.5</v>
      </c>
      <c r="G10">
        <v>65.5</v>
      </c>
    </row>
    <row r="11" spans="1:15" x14ac:dyDescent="0.25">
      <c r="A11">
        <v>1976</v>
      </c>
      <c r="D11">
        <v>35.9</v>
      </c>
      <c r="G11">
        <v>35.9</v>
      </c>
    </row>
    <row r="12" spans="1:15" x14ac:dyDescent="0.25">
      <c r="A12">
        <v>1977</v>
      </c>
      <c r="D12">
        <v>9</v>
      </c>
      <c r="G12">
        <v>9</v>
      </c>
    </row>
    <row r="13" spans="1:15" x14ac:dyDescent="0.25">
      <c r="A13">
        <v>1978</v>
      </c>
      <c r="F13">
        <v>29.6</v>
      </c>
      <c r="G13">
        <v>29.6</v>
      </c>
    </row>
    <row r="14" spans="1:15" x14ac:dyDescent="0.25">
      <c r="A14">
        <v>1979</v>
      </c>
      <c r="C14">
        <v>16.899999999999999</v>
      </c>
      <c r="G14">
        <v>16.899999999999999</v>
      </c>
    </row>
    <row r="15" spans="1:15" x14ac:dyDescent="0.25">
      <c r="A15">
        <v>1980</v>
      </c>
      <c r="F15">
        <v>14</v>
      </c>
      <c r="G15">
        <v>14</v>
      </c>
    </row>
    <row r="16" spans="1:15" x14ac:dyDescent="0.25">
      <c r="A16">
        <v>1981</v>
      </c>
      <c r="E16">
        <v>29.1</v>
      </c>
      <c r="G16">
        <v>29.1</v>
      </c>
    </row>
    <row r="17" spans="1:7" x14ac:dyDescent="0.25">
      <c r="A17">
        <v>1982</v>
      </c>
      <c r="F17">
        <v>48.7</v>
      </c>
      <c r="G17">
        <v>48.7</v>
      </c>
    </row>
    <row r="18" spans="1:7" x14ac:dyDescent="0.25">
      <c r="A18">
        <v>1983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1984</v>
      </c>
      <c r="F19">
        <v>26.3</v>
      </c>
      <c r="G19">
        <v>26.3</v>
      </c>
    </row>
    <row r="20" spans="1:7" x14ac:dyDescent="0.25">
      <c r="A20">
        <v>1985</v>
      </c>
      <c r="E20">
        <v>6.3</v>
      </c>
      <c r="G20">
        <v>6.3</v>
      </c>
    </row>
    <row r="21" spans="1:7" x14ac:dyDescent="0.25">
      <c r="A21">
        <v>1986</v>
      </c>
      <c r="F21">
        <v>64.900000000000006</v>
      </c>
      <c r="G21">
        <v>64.900000000000006</v>
      </c>
    </row>
    <row r="22" spans="1:7" x14ac:dyDescent="0.25">
      <c r="A22">
        <v>1987</v>
      </c>
      <c r="E22">
        <v>12.6</v>
      </c>
      <c r="G22">
        <v>12.6</v>
      </c>
    </row>
    <row r="23" spans="1:7" x14ac:dyDescent="0.25">
      <c r="A23">
        <v>1988</v>
      </c>
      <c r="D23">
        <v>4.5999999999999996</v>
      </c>
      <c r="G23">
        <v>4.5999999999999996</v>
      </c>
    </row>
    <row r="24" spans="1:7" x14ac:dyDescent="0.25">
      <c r="A24">
        <v>1989</v>
      </c>
      <c r="E24">
        <v>5.0999999999999996</v>
      </c>
      <c r="G24">
        <v>5.0999999999999996</v>
      </c>
    </row>
    <row r="25" spans="1:7" x14ac:dyDescent="0.25">
      <c r="A25">
        <v>1990</v>
      </c>
      <c r="D25">
        <v>4.3</v>
      </c>
      <c r="G25">
        <v>4.3</v>
      </c>
    </row>
    <row r="26" spans="1:7" x14ac:dyDescent="0.25">
      <c r="A26">
        <v>1991</v>
      </c>
      <c r="D26">
        <v>5.4</v>
      </c>
      <c r="G26">
        <v>5.4</v>
      </c>
    </row>
    <row r="27" spans="1:7" x14ac:dyDescent="0.25">
      <c r="A27">
        <v>1992</v>
      </c>
      <c r="D27">
        <v>10.6</v>
      </c>
      <c r="G27">
        <v>10.6</v>
      </c>
    </row>
    <row r="28" spans="1:7" x14ac:dyDescent="0.25">
      <c r="A28">
        <v>1993</v>
      </c>
      <c r="B28">
        <v>23.4</v>
      </c>
      <c r="G28">
        <v>23.4</v>
      </c>
    </row>
    <row r="29" spans="1:7" x14ac:dyDescent="0.25">
      <c r="A29">
        <v>1994</v>
      </c>
      <c r="D29">
        <v>10.6</v>
      </c>
      <c r="G29">
        <v>10.6</v>
      </c>
    </row>
    <row r="30" spans="1:7" x14ac:dyDescent="0.25">
      <c r="A30">
        <v>1995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1996</v>
      </c>
      <c r="F31">
        <v>2.1</v>
      </c>
      <c r="G31">
        <v>2.1</v>
      </c>
    </row>
    <row r="32" spans="1:7" x14ac:dyDescent="0.25">
      <c r="A32">
        <v>1997</v>
      </c>
      <c r="F32">
        <v>1.6</v>
      </c>
      <c r="G32">
        <v>1.6</v>
      </c>
    </row>
    <row r="33" spans="1:15" x14ac:dyDescent="0.25">
      <c r="A33">
        <v>1998</v>
      </c>
      <c r="F33">
        <v>1.7</v>
      </c>
      <c r="G33">
        <v>1.7</v>
      </c>
    </row>
    <row r="34" spans="1:15" x14ac:dyDescent="0.25">
      <c r="A34">
        <v>1999</v>
      </c>
      <c r="F34">
        <v>2.2000000000000002</v>
      </c>
      <c r="G34">
        <v>2.2000000000000002</v>
      </c>
    </row>
    <row r="35" spans="1:15" x14ac:dyDescent="0.25">
      <c r="A35" t="s">
        <v>7</v>
      </c>
      <c r="B35">
        <f>SUM(B4:B34)</f>
        <v>86.1</v>
      </c>
      <c r="C35">
        <f t="shared" ref="C35:G35" si="0">SUM(C4:C34)</f>
        <v>51.4</v>
      </c>
      <c r="D35">
        <f t="shared" si="0"/>
        <v>80.399999999999991</v>
      </c>
      <c r="E35">
        <f t="shared" si="0"/>
        <v>53.1</v>
      </c>
      <c r="F35">
        <f t="shared" si="0"/>
        <v>559.30000000000018</v>
      </c>
      <c r="G35">
        <f t="shared" si="0"/>
        <v>830.30000000000007</v>
      </c>
    </row>
    <row r="38" spans="1:15" x14ac:dyDescent="0.25">
      <c r="A38" s="7" t="s">
        <v>19</v>
      </c>
    </row>
    <row r="39" spans="1:15" x14ac:dyDescent="0.25">
      <c r="A39" t="s">
        <v>15</v>
      </c>
      <c r="B39" t="s">
        <v>13</v>
      </c>
    </row>
    <row r="40" spans="1:15" x14ac:dyDescent="0.25">
      <c r="A40" t="s">
        <v>6</v>
      </c>
      <c r="B40" t="s">
        <v>11</v>
      </c>
      <c r="C40" t="s">
        <v>9</v>
      </c>
      <c r="D40" t="s">
        <v>8</v>
      </c>
      <c r="E40" t="s">
        <v>10</v>
      </c>
      <c r="F40" t="s">
        <v>12</v>
      </c>
      <c r="G40" t="s">
        <v>7</v>
      </c>
      <c r="I40" s="7" t="s">
        <v>18</v>
      </c>
    </row>
    <row r="41" spans="1:15" x14ac:dyDescent="0.25">
      <c r="A41">
        <v>2000</v>
      </c>
      <c r="B41">
        <v>5.5</v>
      </c>
      <c r="G41">
        <v>5.5</v>
      </c>
      <c r="J41" t="s">
        <v>8</v>
      </c>
      <c r="K41" t="s">
        <v>10</v>
      </c>
      <c r="L41" t="s">
        <v>9</v>
      </c>
      <c r="M41" t="s">
        <v>11</v>
      </c>
      <c r="N41" t="s">
        <v>12</v>
      </c>
      <c r="O41" t="s">
        <v>14</v>
      </c>
    </row>
    <row r="42" spans="1:15" x14ac:dyDescent="0.25">
      <c r="A42">
        <v>2001</v>
      </c>
      <c r="D42">
        <v>3.4</v>
      </c>
      <c r="G42">
        <v>3.4</v>
      </c>
      <c r="J42">
        <f>((D64/O42)-1)*100</f>
        <v>-17.197452229299369</v>
      </c>
      <c r="K42">
        <f>((E64/O42)-1)*100</f>
        <v>-63.375796178343947</v>
      </c>
      <c r="L42">
        <f>((C64/O42)-1)*100</f>
        <v>14.649681528662439</v>
      </c>
      <c r="M42">
        <f>((B64/O42)-1)*100</f>
        <v>11.464968152866263</v>
      </c>
      <c r="N42">
        <f>((F64/O42)-1)*100</f>
        <v>54.458598726114651</v>
      </c>
      <c r="O42">
        <f>AVERAGE(B64:F64)</f>
        <v>6.2799999999999994</v>
      </c>
    </row>
    <row r="43" spans="1:15" x14ac:dyDescent="0.25">
      <c r="A43">
        <v>2002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15" x14ac:dyDescent="0.25">
      <c r="A44">
        <v>2003</v>
      </c>
      <c r="B44">
        <v>1.5</v>
      </c>
      <c r="G44">
        <v>1.5</v>
      </c>
    </row>
    <row r="45" spans="1:15" x14ac:dyDescent="0.25">
      <c r="A45">
        <v>2004</v>
      </c>
      <c r="C45">
        <v>0.8</v>
      </c>
      <c r="G45">
        <v>0.8</v>
      </c>
    </row>
    <row r="46" spans="1:15" x14ac:dyDescent="0.25">
      <c r="A46">
        <v>2005</v>
      </c>
      <c r="F46">
        <v>0.9</v>
      </c>
      <c r="G46">
        <v>0.9</v>
      </c>
    </row>
    <row r="47" spans="1:15" x14ac:dyDescent="0.25">
      <c r="A47">
        <v>2006</v>
      </c>
      <c r="F47">
        <v>0.5</v>
      </c>
      <c r="G47">
        <v>0.5</v>
      </c>
    </row>
    <row r="48" spans="1:15" x14ac:dyDescent="0.25">
      <c r="A48">
        <v>2007</v>
      </c>
      <c r="E48">
        <v>0.3</v>
      </c>
      <c r="G48">
        <v>0.3</v>
      </c>
    </row>
    <row r="49" spans="1:7" x14ac:dyDescent="0.25">
      <c r="A49">
        <v>2008</v>
      </c>
      <c r="D49">
        <v>1.1000000000000001</v>
      </c>
      <c r="G49">
        <v>1.1000000000000001</v>
      </c>
    </row>
    <row r="50" spans="1:7" x14ac:dyDescent="0.25">
      <c r="A50">
        <v>2009</v>
      </c>
      <c r="E50">
        <v>0.8</v>
      </c>
      <c r="G50">
        <v>0.8</v>
      </c>
    </row>
    <row r="51" spans="1:7" x14ac:dyDescent="0.25">
      <c r="A51">
        <v>2010</v>
      </c>
      <c r="C51">
        <v>1.5</v>
      </c>
      <c r="G51">
        <v>1.5</v>
      </c>
    </row>
    <row r="52" spans="1:7" x14ac:dyDescent="0.25">
      <c r="A52">
        <v>2011</v>
      </c>
      <c r="F52">
        <v>2.6</v>
      </c>
      <c r="G52">
        <v>2.6</v>
      </c>
    </row>
    <row r="53" spans="1:7" x14ac:dyDescent="0.25">
      <c r="A53">
        <v>2012</v>
      </c>
      <c r="C53">
        <v>1.7</v>
      </c>
      <c r="G53">
        <v>1.7</v>
      </c>
    </row>
    <row r="54" spans="1:7" x14ac:dyDescent="0.25">
      <c r="A54">
        <v>2013</v>
      </c>
      <c r="E54">
        <v>0.6</v>
      </c>
      <c r="G54">
        <v>0.6</v>
      </c>
    </row>
    <row r="55" spans="1:7" x14ac:dyDescent="0.25">
      <c r="A55">
        <v>2014</v>
      </c>
      <c r="D55">
        <v>0.3</v>
      </c>
      <c r="G55">
        <v>0.3</v>
      </c>
    </row>
    <row r="56" spans="1:7" x14ac:dyDescent="0.25">
      <c r="A56">
        <v>2015</v>
      </c>
      <c r="D56">
        <v>0.3</v>
      </c>
      <c r="G56">
        <v>0.3</v>
      </c>
    </row>
    <row r="57" spans="1:7" x14ac:dyDescent="0.25">
      <c r="A57">
        <v>2016</v>
      </c>
      <c r="C57">
        <v>2.2000000000000002</v>
      </c>
      <c r="G57">
        <v>2.2000000000000002</v>
      </c>
    </row>
    <row r="58" spans="1:7" x14ac:dyDescent="0.25">
      <c r="A58">
        <v>2017</v>
      </c>
      <c r="F58">
        <v>4</v>
      </c>
      <c r="G58">
        <v>4</v>
      </c>
    </row>
    <row r="59" spans="1:7" x14ac:dyDescent="0.25">
      <c r="A59">
        <v>2018</v>
      </c>
      <c r="C59">
        <v>1</v>
      </c>
      <c r="G59">
        <v>1</v>
      </c>
    </row>
    <row r="60" spans="1:7" x14ac:dyDescent="0.25">
      <c r="A60">
        <v>2019</v>
      </c>
      <c r="F60">
        <v>1.7</v>
      </c>
      <c r="G60">
        <v>1.7</v>
      </c>
    </row>
    <row r="61" spans="1:7" x14ac:dyDescent="0.25">
      <c r="A61">
        <v>2020</v>
      </c>
      <c r="E61">
        <v>0.6</v>
      </c>
      <c r="G61">
        <v>0.6</v>
      </c>
    </row>
    <row r="62" spans="1:7" x14ac:dyDescent="0.25">
      <c r="A62">
        <v>2021</v>
      </c>
      <c r="D62">
        <v>0.1</v>
      </c>
      <c r="G62">
        <v>0.1</v>
      </c>
    </row>
    <row r="63" spans="1:7" x14ac:dyDescent="0.25">
      <c r="A63">
        <v>2022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7</v>
      </c>
      <c r="B64">
        <f>SUM(B41:B63)</f>
        <v>7</v>
      </c>
      <c r="C64">
        <f t="shared" ref="C64:G64" si="1">SUM(C41:C63)</f>
        <v>7.2</v>
      </c>
      <c r="D64">
        <f t="shared" si="1"/>
        <v>5.1999999999999993</v>
      </c>
      <c r="E64">
        <f t="shared" si="1"/>
        <v>2.3000000000000003</v>
      </c>
      <c r="F64">
        <f t="shared" si="1"/>
        <v>9.6999999999999993</v>
      </c>
      <c r="G64">
        <f t="shared" si="1"/>
        <v>31.400000000000009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0-age Striped Bass </vt:lpstr>
      <vt:lpstr>Pivot</vt:lpstr>
      <vt:lpstr>0-Age Bass All Yrs</vt:lpstr>
      <vt:lpstr>Dist Mean 0-Age Bass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sanchez</dc:creator>
  <cp:lastModifiedBy>Isaac Sanchez Terrazas</cp:lastModifiedBy>
  <dcterms:created xsi:type="dcterms:W3CDTF">2024-07-31T17:26:42Z</dcterms:created>
  <dcterms:modified xsi:type="dcterms:W3CDTF">2026-05-28T22:20:58Z</dcterms:modified>
</cp:coreProperties>
</file>