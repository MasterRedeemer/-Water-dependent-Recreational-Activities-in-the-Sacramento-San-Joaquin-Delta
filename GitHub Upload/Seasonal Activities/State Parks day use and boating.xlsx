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2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3.xml" ContentType="application/vnd.openxmlformats-officedocument.themeOverrid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hD Works\Delta Water Rec w Jenkins\Laurel Feedback Data Delta\Activities\"/>
    </mc:Choice>
  </mc:AlternateContent>
  <xr:revisionPtr revIDLastSave="0" documentId="13_ncr:1_{16BF1FBF-706B-44E9-B280-453934B054EF}" xr6:coauthVersionLast="47" xr6:coauthVersionMax="47" xr10:uidLastSave="{00000000-0000-0000-0000-000000000000}"/>
  <bookViews>
    <workbookView xWindow="38280" yWindow="-120" windowWidth="38640" windowHeight="21840" tabRatio="924" activeTab="4" xr2:uid="{E71A68BB-2B5A-438C-ADF1-145F7F83AFCF}"/>
  </bookViews>
  <sheets>
    <sheet name="DAY USE" sheetId="14" r:id="rId1"/>
    <sheet name="BOATERS" sheetId="13" r:id="rId2"/>
    <sheet name="PivotBoaters" sheetId="15" r:id="rId3"/>
    <sheet name="Pivot Day Use" sheetId="16" r:id="rId4"/>
    <sheet name="Scribble Sheet" sheetId="17" r:id="rId5"/>
  </sheets>
  <definedNames>
    <definedName name="_xlnm._FilterDatabase" localSheetId="1" hidden="1">BOATERS!$A$1:$T$945</definedName>
    <definedName name="_xlnm._FilterDatabase" localSheetId="0" hidden="1">'DAY USE'!$A$1:$V$1653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1" i="14" l="1"/>
  <c r="AL21" i="14"/>
  <c r="AK21" i="14"/>
  <c r="AJ21" i="14"/>
  <c r="AI21" i="14"/>
  <c r="AH21" i="14"/>
  <c r="AA25" i="13"/>
  <c r="AB25" i="13"/>
  <c r="AC25" i="13"/>
  <c r="AD25" i="13"/>
  <c r="AE25" i="13"/>
  <c r="Z25" i="13"/>
  <c r="J1418" i="14" l="1"/>
  <c r="P1418" i="14" s="1"/>
  <c r="J1419" i="14"/>
  <c r="P1419" i="14" s="1"/>
  <c r="J1420" i="14"/>
  <c r="P1420" i="14" s="1"/>
  <c r="J1421" i="14"/>
  <c r="P1421" i="14" s="1"/>
  <c r="J1422" i="14"/>
  <c r="P1422" i="14" s="1"/>
  <c r="J1423" i="14"/>
  <c r="P1423" i="14" s="1"/>
  <c r="J1424" i="14"/>
  <c r="P1424" i="14" s="1"/>
  <c r="J1425" i="14"/>
  <c r="P1425" i="14" s="1"/>
  <c r="J1426" i="14"/>
  <c r="P1426" i="14" s="1"/>
  <c r="J1427" i="14"/>
  <c r="P1427" i="14" s="1"/>
  <c r="J1428" i="14"/>
  <c r="P1428" i="14" s="1"/>
  <c r="J1429" i="14"/>
  <c r="P1429" i="14" s="1"/>
  <c r="J1430" i="14"/>
  <c r="P1430" i="14" s="1"/>
  <c r="J1431" i="14"/>
  <c r="P1431" i="14" s="1"/>
  <c r="J1432" i="14"/>
  <c r="P1432" i="14" s="1"/>
  <c r="J1433" i="14"/>
  <c r="P1433" i="14" s="1"/>
  <c r="J1434" i="14"/>
  <c r="P1434" i="14" s="1"/>
  <c r="J1435" i="14"/>
  <c r="P1435" i="14" s="1"/>
  <c r="J1436" i="14"/>
  <c r="P1436" i="14" s="1"/>
  <c r="J1437" i="14"/>
  <c r="P1437" i="14" s="1"/>
  <c r="J1438" i="14"/>
  <c r="P1438" i="14" s="1"/>
  <c r="J1439" i="14"/>
  <c r="P1439" i="14" s="1"/>
  <c r="J1440" i="14"/>
  <c r="P1440" i="14" s="1"/>
  <c r="J1441" i="14"/>
  <c r="P1441" i="14" s="1"/>
  <c r="J1442" i="14"/>
  <c r="P1442" i="14" s="1"/>
  <c r="J1443" i="14"/>
  <c r="P1443" i="14" s="1"/>
  <c r="J1444" i="14"/>
  <c r="P1444" i="14" s="1"/>
  <c r="J1445" i="14"/>
  <c r="P1445" i="14" s="1"/>
  <c r="J1446" i="14"/>
  <c r="P1446" i="14" s="1"/>
  <c r="J1447" i="14"/>
  <c r="P1447" i="14" s="1"/>
  <c r="J1448" i="14"/>
  <c r="P1448" i="14" s="1"/>
  <c r="J1449" i="14"/>
  <c r="P1449" i="14" s="1"/>
  <c r="J1450" i="14"/>
  <c r="P1450" i="14" s="1"/>
  <c r="J1451" i="14"/>
  <c r="P1451" i="14" s="1"/>
  <c r="J1452" i="14"/>
  <c r="P1452" i="14" s="1"/>
  <c r="J1453" i="14"/>
  <c r="P1453" i="14" s="1"/>
  <c r="J1454" i="14"/>
  <c r="P1454" i="14" s="1"/>
  <c r="J1455" i="14"/>
  <c r="P1455" i="14" s="1"/>
  <c r="J1456" i="14"/>
  <c r="P1456" i="14" s="1"/>
  <c r="J1457" i="14"/>
  <c r="P1457" i="14" s="1"/>
  <c r="J1458" i="14"/>
  <c r="P1458" i="14" s="1"/>
  <c r="J1459" i="14"/>
  <c r="P1459" i="14" s="1"/>
  <c r="J1460" i="14"/>
  <c r="P1460" i="14" s="1"/>
  <c r="J1461" i="14"/>
  <c r="P1461" i="14" s="1"/>
  <c r="J1462" i="14"/>
  <c r="P1462" i="14" s="1"/>
  <c r="J1463" i="14"/>
  <c r="P1463" i="14" s="1"/>
  <c r="J1464" i="14"/>
  <c r="P1464" i="14" s="1"/>
  <c r="J1465" i="14"/>
  <c r="P1465" i="14" s="1"/>
  <c r="J1466" i="14"/>
  <c r="P1466" i="14" s="1"/>
  <c r="J1467" i="14"/>
  <c r="P1467" i="14" s="1"/>
  <c r="J1468" i="14"/>
  <c r="P1468" i="14" s="1"/>
  <c r="J1469" i="14"/>
  <c r="P1469" i="14" s="1"/>
  <c r="J1470" i="14"/>
  <c r="P1470" i="14" s="1"/>
  <c r="J1471" i="14"/>
  <c r="P1471" i="14" s="1"/>
  <c r="J1472" i="14"/>
  <c r="P1472" i="14" s="1"/>
  <c r="J1473" i="14"/>
  <c r="P1473" i="14" s="1"/>
  <c r="J1474" i="14"/>
  <c r="P1474" i="14" s="1"/>
  <c r="J1475" i="14"/>
  <c r="P1475" i="14" s="1"/>
  <c r="J1476" i="14"/>
  <c r="P1476" i="14" s="1"/>
  <c r="J1477" i="14"/>
  <c r="P1477" i="14" s="1"/>
  <c r="J1478" i="14"/>
  <c r="P1478" i="14" s="1"/>
  <c r="J1479" i="14"/>
  <c r="P1479" i="14" s="1"/>
  <c r="J1480" i="14"/>
  <c r="P1480" i="14" s="1"/>
  <c r="J1481" i="14"/>
  <c r="P1481" i="14" s="1"/>
  <c r="J1482" i="14"/>
  <c r="P1482" i="14" s="1"/>
  <c r="J1483" i="14"/>
  <c r="P1483" i="14" s="1"/>
  <c r="J1484" i="14"/>
  <c r="P1484" i="14" s="1"/>
  <c r="J1485" i="14"/>
  <c r="P1485" i="14" s="1"/>
  <c r="J1486" i="14"/>
  <c r="P1486" i="14" s="1"/>
  <c r="J1487" i="14"/>
  <c r="P1487" i="14" s="1"/>
  <c r="J1488" i="14"/>
  <c r="P1488" i="14" s="1"/>
  <c r="J1489" i="14"/>
  <c r="P1489" i="14" s="1"/>
  <c r="J1490" i="14"/>
  <c r="P1490" i="14" s="1"/>
  <c r="J1491" i="14"/>
  <c r="P1491" i="14" s="1"/>
  <c r="J1492" i="14"/>
  <c r="P1492" i="14" s="1"/>
  <c r="J1493" i="14"/>
  <c r="P1493" i="14" s="1"/>
  <c r="J1494" i="14"/>
  <c r="P1494" i="14" s="1"/>
  <c r="J1495" i="14"/>
  <c r="P1495" i="14" s="1"/>
  <c r="J1496" i="14"/>
  <c r="P1496" i="14" s="1"/>
  <c r="J1497" i="14"/>
  <c r="P1497" i="14" s="1"/>
  <c r="J1498" i="14"/>
  <c r="P1498" i="14" s="1"/>
  <c r="J1499" i="14"/>
  <c r="P1499" i="14" s="1"/>
  <c r="J1500" i="14"/>
  <c r="P1500" i="14" s="1"/>
  <c r="J1501" i="14"/>
  <c r="P1501" i="14" s="1"/>
  <c r="J1502" i="14"/>
  <c r="P1502" i="14" s="1"/>
  <c r="J1503" i="14"/>
  <c r="P1503" i="14" s="1"/>
  <c r="J1504" i="14"/>
  <c r="P1504" i="14" s="1"/>
  <c r="J1505" i="14"/>
  <c r="P1505" i="14" s="1"/>
  <c r="J1506" i="14"/>
  <c r="P1506" i="14" s="1"/>
  <c r="J1507" i="14"/>
  <c r="P1507" i="14" s="1"/>
  <c r="J1508" i="14"/>
  <c r="P1508" i="14" s="1"/>
  <c r="J1509" i="14"/>
  <c r="P1509" i="14" s="1"/>
  <c r="J1510" i="14"/>
  <c r="P1510" i="14" s="1"/>
  <c r="J1511" i="14"/>
  <c r="P1511" i="14" s="1"/>
  <c r="J1512" i="14"/>
  <c r="P1512" i="14" s="1"/>
  <c r="J1513" i="14"/>
  <c r="P1513" i="14" s="1"/>
  <c r="J1514" i="14"/>
  <c r="P1514" i="14" s="1"/>
  <c r="J1515" i="14"/>
  <c r="P1515" i="14" s="1"/>
  <c r="J1516" i="14"/>
  <c r="P1516" i="14" s="1"/>
  <c r="J1517" i="14"/>
  <c r="P1517" i="14" s="1"/>
  <c r="J1518" i="14"/>
  <c r="P1518" i="14" s="1"/>
  <c r="J1519" i="14"/>
  <c r="P1519" i="14" s="1"/>
  <c r="J1520" i="14"/>
  <c r="P1520" i="14" s="1"/>
  <c r="J1521" i="14"/>
  <c r="P1521" i="14" s="1"/>
  <c r="J1522" i="14"/>
  <c r="P1522" i="14" s="1"/>
  <c r="J1523" i="14"/>
  <c r="P1523" i="14" s="1"/>
  <c r="J1524" i="14"/>
  <c r="P1524" i="14" s="1"/>
  <c r="J1525" i="14"/>
  <c r="P1525" i="14" s="1"/>
  <c r="J1526" i="14"/>
  <c r="P1526" i="14" s="1"/>
  <c r="J1527" i="14"/>
  <c r="P1527" i="14" s="1"/>
  <c r="J1528" i="14"/>
  <c r="P1528" i="14" s="1"/>
  <c r="J1529" i="14"/>
  <c r="P1529" i="14" s="1"/>
  <c r="J1530" i="14"/>
  <c r="P1530" i="14" s="1"/>
  <c r="J1531" i="14"/>
  <c r="P1531" i="14" s="1"/>
  <c r="J1532" i="14"/>
  <c r="P1532" i="14" s="1"/>
  <c r="J1533" i="14"/>
  <c r="P1533" i="14" s="1"/>
  <c r="J1534" i="14"/>
  <c r="P1534" i="14" s="1"/>
  <c r="J1535" i="14"/>
  <c r="P1535" i="14" s="1"/>
  <c r="J1536" i="14"/>
  <c r="P1536" i="14" s="1"/>
  <c r="J1537" i="14"/>
  <c r="P1537" i="14" s="1"/>
  <c r="J1538" i="14"/>
  <c r="P1538" i="14" s="1"/>
  <c r="J1539" i="14"/>
  <c r="P1539" i="14" s="1"/>
  <c r="J1540" i="14"/>
  <c r="P1540" i="14" s="1"/>
  <c r="J1541" i="14"/>
  <c r="P1541" i="14" s="1"/>
  <c r="J1542" i="14"/>
  <c r="P1542" i="14" s="1"/>
  <c r="J1543" i="14"/>
  <c r="P1543" i="14" s="1"/>
  <c r="J1544" i="14"/>
  <c r="P1544" i="14" s="1"/>
  <c r="J1545" i="14"/>
  <c r="P1545" i="14" s="1"/>
  <c r="J1546" i="14"/>
  <c r="P1546" i="14" s="1"/>
  <c r="J1547" i="14"/>
  <c r="P1547" i="14" s="1"/>
  <c r="J1548" i="14"/>
  <c r="P1548" i="14" s="1"/>
  <c r="J1549" i="14"/>
  <c r="P1549" i="14" s="1"/>
  <c r="J1550" i="14"/>
  <c r="P1550" i="14" s="1"/>
  <c r="J1551" i="14"/>
  <c r="P1551" i="14" s="1"/>
  <c r="J1552" i="14"/>
  <c r="P1552" i="14" s="1"/>
  <c r="J1553" i="14"/>
  <c r="P1553" i="14" s="1"/>
  <c r="J1554" i="14"/>
  <c r="P1554" i="14" s="1"/>
  <c r="J1555" i="14"/>
  <c r="P1555" i="14" s="1"/>
  <c r="J1556" i="14"/>
  <c r="P1556" i="14" s="1"/>
  <c r="J1557" i="14"/>
  <c r="P1557" i="14" s="1"/>
  <c r="J1558" i="14"/>
  <c r="P1558" i="14" s="1"/>
  <c r="J1559" i="14"/>
  <c r="P1559" i="14" s="1"/>
  <c r="J1560" i="14"/>
  <c r="P1560" i="14" s="1"/>
  <c r="J1561" i="14"/>
  <c r="P1561" i="14" s="1"/>
  <c r="J1562" i="14"/>
  <c r="P1562" i="14" s="1"/>
  <c r="J1563" i="14"/>
  <c r="P1563" i="14" s="1"/>
  <c r="J1564" i="14"/>
  <c r="P1564" i="14" s="1"/>
  <c r="J1565" i="14"/>
  <c r="P1565" i="14" s="1"/>
  <c r="J1566" i="14"/>
  <c r="P1566" i="14" s="1"/>
  <c r="J1567" i="14"/>
  <c r="P1567" i="14" s="1"/>
  <c r="J1568" i="14"/>
  <c r="P1568" i="14" s="1"/>
  <c r="J1569" i="14"/>
  <c r="P1569" i="14" s="1"/>
  <c r="J1570" i="14"/>
  <c r="P1570" i="14" s="1"/>
  <c r="J1571" i="14"/>
  <c r="P1571" i="14" s="1"/>
  <c r="J1572" i="14"/>
  <c r="P1572" i="14" s="1"/>
  <c r="J1573" i="14"/>
  <c r="P1573" i="14" s="1"/>
  <c r="J1574" i="14"/>
  <c r="P1574" i="14" s="1"/>
  <c r="J1575" i="14"/>
  <c r="P1575" i="14" s="1"/>
  <c r="J1576" i="14"/>
  <c r="P1576" i="14" s="1"/>
  <c r="J1577" i="14"/>
  <c r="P1577" i="14" s="1"/>
  <c r="J1578" i="14"/>
  <c r="P1578" i="14" s="1"/>
  <c r="J1579" i="14"/>
  <c r="P1579" i="14" s="1"/>
  <c r="J1580" i="14"/>
  <c r="P1580" i="14" s="1"/>
  <c r="J1581" i="14"/>
  <c r="P1581" i="14" s="1"/>
  <c r="J1582" i="14"/>
  <c r="P1582" i="14" s="1"/>
  <c r="J1583" i="14"/>
  <c r="P1583" i="14" s="1"/>
  <c r="J1584" i="14"/>
  <c r="P1584" i="14" s="1"/>
  <c r="J1585" i="14"/>
  <c r="P1585" i="14" s="1"/>
  <c r="J1586" i="14"/>
  <c r="P1586" i="14" s="1"/>
  <c r="J1587" i="14"/>
  <c r="P1587" i="14" s="1"/>
  <c r="J1588" i="14"/>
  <c r="P1588" i="14" s="1"/>
  <c r="J1589" i="14"/>
  <c r="P1589" i="14" s="1"/>
  <c r="J1590" i="14"/>
  <c r="P1590" i="14" s="1"/>
  <c r="J1591" i="14"/>
  <c r="P1591" i="14" s="1"/>
  <c r="J1592" i="14"/>
  <c r="P1592" i="14" s="1"/>
  <c r="J1593" i="14"/>
  <c r="P1593" i="14" s="1"/>
  <c r="J1594" i="14"/>
  <c r="P1594" i="14" s="1"/>
  <c r="J1595" i="14"/>
  <c r="P1595" i="14" s="1"/>
  <c r="J1596" i="14"/>
  <c r="P1596" i="14" s="1"/>
  <c r="J1597" i="14"/>
  <c r="P1597" i="14" s="1"/>
  <c r="J1598" i="14"/>
  <c r="P1598" i="14" s="1"/>
  <c r="J1599" i="14"/>
  <c r="P1599" i="14" s="1"/>
  <c r="J1600" i="14"/>
  <c r="P1600" i="14" s="1"/>
  <c r="J1601" i="14"/>
  <c r="P1601" i="14" s="1"/>
  <c r="J1602" i="14"/>
  <c r="P1602" i="14" s="1"/>
  <c r="J1603" i="14"/>
  <c r="P1603" i="14" s="1"/>
  <c r="J1604" i="14"/>
  <c r="P1604" i="14" s="1"/>
  <c r="J1605" i="14"/>
  <c r="P1605" i="14" s="1"/>
  <c r="J1606" i="14"/>
  <c r="P1606" i="14" s="1"/>
  <c r="J1607" i="14"/>
  <c r="P1607" i="14" s="1"/>
  <c r="J1608" i="14"/>
  <c r="P1608" i="14" s="1"/>
  <c r="J1609" i="14"/>
  <c r="P1609" i="14" s="1"/>
  <c r="J1610" i="14"/>
  <c r="P1610" i="14" s="1"/>
  <c r="J1611" i="14"/>
  <c r="P1611" i="14" s="1"/>
  <c r="J1612" i="14"/>
  <c r="P1612" i="14" s="1"/>
  <c r="J1613" i="14"/>
  <c r="P1613" i="14" s="1"/>
  <c r="J1614" i="14"/>
  <c r="P1614" i="14" s="1"/>
  <c r="J1615" i="14"/>
  <c r="P1615" i="14" s="1"/>
  <c r="J1616" i="14"/>
  <c r="P1616" i="14" s="1"/>
  <c r="J1617" i="14"/>
  <c r="P1617" i="14" s="1"/>
  <c r="J1618" i="14"/>
  <c r="P1618" i="14" s="1"/>
  <c r="J1619" i="14"/>
  <c r="P1619" i="14" s="1"/>
  <c r="J1620" i="14"/>
  <c r="P1620" i="14" s="1"/>
  <c r="J1621" i="14"/>
  <c r="P1621" i="14" s="1"/>
  <c r="J1622" i="14"/>
  <c r="P1622" i="14" s="1"/>
  <c r="J1623" i="14"/>
  <c r="P1623" i="14" s="1"/>
  <c r="J1624" i="14"/>
  <c r="P1624" i="14" s="1"/>
  <c r="J1625" i="14"/>
  <c r="P1625" i="14" s="1"/>
  <c r="J1626" i="14"/>
  <c r="P1626" i="14" s="1"/>
  <c r="J1627" i="14"/>
  <c r="P1627" i="14" s="1"/>
  <c r="J1628" i="14"/>
  <c r="P1628" i="14" s="1"/>
  <c r="J1629" i="14"/>
  <c r="P1629" i="14" s="1"/>
  <c r="J1630" i="14"/>
  <c r="P1630" i="14" s="1"/>
  <c r="J1631" i="14"/>
  <c r="P1631" i="14" s="1"/>
  <c r="J1632" i="14"/>
  <c r="P1632" i="14" s="1"/>
  <c r="J1633" i="14"/>
  <c r="P1633" i="14" s="1"/>
  <c r="J1634" i="14"/>
  <c r="P1634" i="14" s="1"/>
  <c r="J1635" i="14"/>
  <c r="P1635" i="14" s="1"/>
  <c r="J1636" i="14"/>
  <c r="P1636" i="14" s="1"/>
  <c r="J1637" i="14"/>
  <c r="P1637" i="14" s="1"/>
  <c r="J1638" i="14"/>
  <c r="P1638" i="14" s="1"/>
  <c r="J1639" i="14"/>
  <c r="P1639" i="14" s="1"/>
  <c r="J1640" i="14"/>
  <c r="P1640" i="14" s="1"/>
  <c r="J1641" i="14"/>
  <c r="P1641" i="14" s="1"/>
  <c r="J1642" i="14"/>
  <c r="P1642" i="14" s="1"/>
  <c r="J1643" i="14"/>
  <c r="P1643" i="14" s="1"/>
  <c r="J1644" i="14"/>
  <c r="P1644" i="14" s="1"/>
  <c r="J1645" i="14"/>
  <c r="P1645" i="14" s="1"/>
  <c r="J1646" i="14"/>
  <c r="P1646" i="14" s="1"/>
  <c r="J1647" i="14"/>
  <c r="P1647" i="14" s="1"/>
  <c r="J1648" i="14"/>
  <c r="P1648" i="14" s="1"/>
  <c r="J1649" i="14"/>
  <c r="P1649" i="14" s="1"/>
  <c r="J1650" i="14"/>
  <c r="P1650" i="14" s="1"/>
  <c r="J1651" i="14"/>
  <c r="P1651" i="14" s="1"/>
  <c r="J1652" i="14"/>
  <c r="P1652" i="14" s="1"/>
  <c r="J1653" i="14"/>
  <c r="P1653" i="14" s="1"/>
  <c r="J1183" i="14"/>
  <c r="P1183" i="14" s="1"/>
  <c r="J1184" i="14"/>
  <c r="P1184" i="14" s="1"/>
  <c r="J1185" i="14"/>
  <c r="P1185" i="14" s="1"/>
  <c r="J1186" i="14"/>
  <c r="P1186" i="14" s="1"/>
  <c r="J1187" i="14"/>
  <c r="P1187" i="14" s="1"/>
  <c r="J1188" i="14"/>
  <c r="P1188" i="14" s="1"/>
  <c r="J1189" i="14"/>
  <c r="P1189" i="14" s="1"/>
  <c r="J1190" i="14"/>
  <c r="P1190" i="14" s="1"/>
  <c r="J1191" i="14"/>
  <c r="P1191" i="14" s="1"/>
  <c r="J1192" i="14"/>
  <c r="P1192" i="14" s="1"/>
  <c r="J1193" i="14"/>
  <c r="P1193" i="14" s="1"/>
  <c r="J1194" i="14"/>
  <c r="P1194" i="14" s="1"/>
  <c r="J1195" i="14"/>
  <c r="P1195" i="14" s="1"/>
  <c r="J1196" i="14"/>
  <c r="P1196" i="14" s="1"/>
  <c r="J1197" i="14"/>
  <c r="P1197" i="14" s="1"/>
  <c r="J1198" i="14"/>
  <c r="P1198" i="14" s="1"/>
  <c r="J1199" i="14"/>
  <c r="P1199" i="14" s="1"/>
  <c r="J1200" i="14"/>
  <c r="P1200" i="14" s="1"/>
  <c r="J1201" i="14"/>
  <c r="P1201" i="14" s="1"/>
  <c r="J1202" i="14"/>
  <c r="P1202" i="14" s="1"/>
  <c r="J1203" i="14"/>
  <c r="P1203" i="14" s="1"/>
  <c r="J1204" i="14"/>
  <c r="P1204" i="14" s="1"/>
  <c r="J1205" i="14"/>
  <c r="P1205" i="14" s="1"/>
  <c r="J1206" i="14"/>
  <c r="P1206" i="14" s="1"/>
  <c r="J1207" i="14"/>
  <c r="P1207" i="14" s="1"/>
  <c r="J1208" i="14"/>
  <c r="P1208" i="14" s="1"/>
  <c r="J1209" i="14"/>
  <c r="P1209" i="14" s="1"/>
  <c r="J1210" i="14"/>
  <c r="P1210" i="14" s="1"/>
  <c r="J1211" i="14"/>
  <c r="P1211" i="14" s="1"/>
  <c r="J1212" i="14"/>
  <c r="P1212" i="14" s="1"/>
  <c r="J1213" i="14"/>
  <c r="P1213" i="14" s="1"/>
  <c r="J1214" i="14"/>
  <c r="P1214" i="14" s="1"/>
  <c r="J1215" i="14"/>
  <c r="P1215" i="14" s="1"/>
  <c r="J1216" i="14"/>
  <c r="P1216" i="14" s="1"/>
  <c r="J1217" i="14"/>
  <c r="P1217" i="14" s="1"/>
  <c r="J1218" i="14"/>
  <c r="P1218" i="14" s="1"/>
  <c r="J1219" i="14"/>
  <c r="P1219" i="14" s="1"/>
  <c r="J1220" i="14"/>
  <c r="P1220" i="14" s="1"/>
  <c r="J1221" i="14"/>
  <c r="P1221" i="14" s="1"/>
  <c r="J1222" i="14"/>
  <c r="P1222" i="14" s="1"/>
  <c r="J1223" i="14"/>
  <c r="P1223" i="14" s="1"/>
  <c r="J1224" i="14"/>
  <c r="P1224" i="14" s="1"/>
  <c r="J1225" i="14"/>
  <c r="P1225" i="14" s="1"/>
  <c r="J1226" i="14"/>
  <c r="P1226" i="14" s="1"/>
  <c r="J1227" i="14"/>
  <c r="P1227" i="14" s="1"/>
  <c r="J1228" i="14"/>
  <c r="P1228" i="14" s="1"/>
  <c r="J1229" i="14"/>
  <c r="P1229" i="14" s="1"/>
  <c r="J1230" i="14"/>
  <c r="P1230" i="14" s="1"/>
  <c r="J1231" i="14"/>
  <c r="P1231" i="14" s="1"/>
  <c r="J1232" i="14"/>
  <c r="P1232" i="14" s="1"/>
  <c r="J1233" i="14"/>
  <c r="P1233" i="14" s="1"/>
  <c r="J1234" i="14"/>
  <c r="P1234" i="14" s="1"/>
  <c r="J1235" i="14"/>
  <c r="P1235" i="14" s="1"/>
  <c r="J1236" i="14"/>
  <c r="P1236" i="14" s="1"/>
  <c r="J1237" i="14"/>
  <c r="P1237" i="14" s="1"/>
  <c r="J1238" i="14"/>
  <c r="P1238" i="14" s="1"/>
  <c r="J1239" i="14"/>
  <c r="P1239" i="14" s="1"/>
  <c r="J1240" i="14"/>
  <c r="P1240" i="14" s="1"/>
  <c r="J1241" i="14"/>
  <c r="P1241" i="14" s="1"/>
  <c r="J1242" i="14"/>
  <c r="P1242" i="14" s="1"/>
  <c r="J1243" i="14"/>
  <c r="P1243" i="14" s="1"/>
  <c r="J1244" i="14"/>
  <c r="P1244" i="14" s="1"/>
  <c r="J1245" i="14"/>
  <c r="P1245" i="14" s="1"/>
  <c r="J1246" i="14"/>
  <c r="P1246" i="14" s="1"/>
  <c r="J1247" i="14"/>
  <c r="P1247" i="14" s="1"/>
  <c r="J1248" i="14"/>
  <c r="P1248" i="14" s="1"/>
  <c r="J1249" i="14"/>
  <c r="P1249" i="14" s="1"/>
  <c r="J1250" i="14"/>
  <c r="P1250" i="14" s="1"/>
  <c r="J1251" i="14"/>
  <c r="P1251" i="14" s="1"/>
  <c r="J1252" i="14"/>
  <c r="P1252" i="14" s="1"/>
  <c r="J1253" i="14"/>
  <c r="P1253" i="14" s="1"/>
  <c r="J1254" i="14"/>
  <c r="P1254" i="14" s="1"/>
  <c r="J1255" i="14"/>
  <c r="P1255" i="14" s="1"/>
  <c r="J1256" i="14"/>
  <c r="P1256" i="14" s="1"/>
  <c r="J1257" i="14"/>
  <c r="P1257" i="14" s="1"/>
  <c r="J1258" i="14"/>
  <c r="P1258" i="14" s="1"/>
  <c r="J1259" i="14"/>
  <c r="P1259" i="14" s="1"/>
  <c r="J1260" i="14"/>
  <c r="P1260" i="14" s="1"/>
  <c r="J1261" i="14"/>
  <c r="P1261" i="14" s="1"/>
  <c r="J1262" i="14"/>
  <c r="P1262" i="14" s="1"/>
  <c r="J1263" i="14"/>
  <c r="P1263" i="14" s="1"/>
  <c r="J1264" i="14"/>
  <c r="P1264" i="14" s="1"/>
  <c r="J1265" i="14"/>
  <c r="P1265" i="14" s="1"/>
  <c r="J1266" i="14"/>
  <c r="P1266" i="14" s="1"/>
  <c r="J1267" i="14"/>
  <c r="P1267" i="14" s="1"/>
  <c r="J1268" i="14"/>
  <c r="P1268" i="14" s="1"/>
  <c r="J1269" i="14"/>
  <c r="P1269" i="14" s="1"/>
  <c r="J1270" i="14"/>
  <c r="P1270" i="14" s="1"/>
  <c r="J1271" i="14"/>
  <c r="P1271" i="14" s="1"/>
  <c r="J1272" i="14"/>
  <c r="P1272" i="14" s="1"/>
  <c r="J1273" i="14"/>
  <c r="P1273" i="14" s="1"/>
  <c r="J1274" i="14"/>
  <c r="P1274" i="14" s="1"/>
  <c r="J1275" i="14"/>
  <c r="P1275" i="14" s="1"/>
  <c r="J1276" i="14"/>
  <c r="P1276" i="14" s="1"/>
  <c r="J1277" i="14"/>
  <c r="P1277" i="14" s="1"/>
  <c r="J1278" i="14"/>
  <c r="P1278" i="14" s="1"/>
  <c r="J1279" i="14"/>
  <c r="P1279" i="14" s="1"/>
  <c r="J1280" i="14"/>
  <c r="P1280" i="14" s="1"/>
  <c r="J1281" i="14"/>
  <c r="P1281" i="14" s="1"/>
  <c r="J1282" i="14"/>
  <c r="P1282" i="14" s="1"/>
  <c r="J1283" i="14"/>
  <c r="P1283" i="14" s="1"/>
  <c r="J1284" i="14"/>
  <c r="P1284" i="14" s="1"/>
  <c r="J1285" i="14"/>
  <c r="P1285" i="14" s="1"/>
  <c r="J1286" i="14"/>
  <c r="P1286" i="14" s="1"/>
  <c r="J1287" i="14"/>
  <c r="P1287" i="14" s="1"/>
  <c r="J1288" i="14"/>
  <c r="P1288" i="14" s="1"/>
  <c r="J1289" i="14"/>
  <c r="P1289" i="14" s="1"/>
  <c r="J1290" i="14"/>
  <c r="P1290" i="14" s="1"/>
  <c r="J1291" i="14"/>
  <c r="P1291" i="14" s="1"/>
  <c r="J1292" i="14"/>
  <c r="P1292" i="14" s="1"/>
  <c r="J1293" i="14"/>
  <c r="P1293" i="14" s="1"/>
  <c r="J1294" i="14"/>
  <c r="P1294" i="14" s="1"/>
  <c r="J1295" i="14"/>
  <c r="P1295" i="14" s="1"/>
  <c r="J1296" i="14"/>
  <c r="P1296" i="14" s="1"/>
  <c r="J1297" i="14"/>
  <c r="P1297" i="14" s="1"/>
  <c r="J1298" i="14"/>
  <c r="P1298" i="14" s="1"/>
  <c r="J1299" i="14"/>
  <c r="P1299" i="14" s="1"/>
  <c r="J1300" i="14"/>
  <c r="P1300" i="14" s="1"/>
  <c r="J1301" i="14"/>
  <c r="P1301" i="14" s="1"/>
  <c r="J1302" i="14"/>
  <c r="P1302" i="14" s="1"/>
  <c r="J1303" i="14"/>
  <c r="P1303" i="14" s="1"/>
  <c r="J1304" i="14"/>
  <c r="P1304" i="14" s="1"/>
  <c r="J1305" i="14"/>
  <c r="P1305" i="14" s="1"/>
  <c r="J1306" i="14"/>
  <c r="P1306" i="14" s="1"/>
  <c r="J1307" i="14"/>
  <c r="P1307" i="14" s="1"/>
  <c r="J1308" i="14"/>
  <c r="P1308" i="14" s="1"/>
  <c r="J1309" i="14"/>
  <c r="P1309" i="14" s="1"/>
  <c r="J1310" i="14"/>
  <c r="P1310" i="14" s="1"/>
  <c r="J1311" i="14"/>
  <c r="P1311" i="14" s="1"/>
  <c r="J1312" i="14"/>
  <c r="P1312" i="14" s="1"/>
  <c r="J1313" i="14"/>
  <c r="P1313" i="14" s="1"/>
  <c r="J1314" i="14"/>
  <c r="P1314" i="14" s="1"/>
  <c r="J1315" i="14"/>
  <c r="P1315" i="14" s="1"/>
  <c r="J1316" i="14"/>
  <c r="P1316" i="14" s="1"/>
  <c r="J1317" i="14"/>
  <c r="P1317" i="14" s="1"/>
  <c r="J1318" i="14"/>
  <c r="P1318" i="14" s="1"/>
  <c r="J1319" i="14"/>
  <c r="P1319" i="14" s="1"/>
  <c r="J1320" i="14"/>
  <c r="P1320" i="14" s="1"/>
  <c r="J1321" i="14"/>
  <c r="P1321" i="14" s="1"/>
  <c r="J1322" i="14"/>
  <c r="P1322" i="14" s="1"/>
  <c r="J1323" i="14"/>
  <c r="P1323" i="14" s="1"/>
  <c r="J1324" i="14"/>
  <c r="P1324" i="14" s="1"/>
  <c r="J1325" i="14"/>
  <c r="P1325" i="14" s="1"/>
  <c r="J1326" i="14"/>
  <c r="P1326" i="14" s="1"/>
  <c r="J1327" i="14"/>
  <c r="P1327" i="14" s="1"/>
  <c r="J1328" i="14"/>
  <c r="P1328" i="14" s="1"/>
  <c r="J1329" i="14"/>
  <c r="P1329" i="14" s="1"/>
  <c r="J1330" i="14"/>
  <c r="P1330" i="14" s="1"/>
  <c r="J1331" i="14"/>
  <c r="P1331" i="14" s="1"/>
  <c r="J1332" i="14"/>
  <c r="P1332" i="14" s="1"/>
  <c r="J1333" i="14"/>
  <c r="P1333" i="14" s="1"/>
  <c r="J1334" i="14"/>
  <c r="P1334" i="14" s="1"/>
  <c r="J1335" i="14"/>
  <c r="P1335" i="14" s="1"/>
  <c r="J1336" i="14"/>
  <c r="P1336" i="14" s="1"/>
  <c r="J1337" i="14"/>
  <c r="P1337" i="14" s="1"/>
  <c r="J1338" i="14"/>
  <c r="P1338" i="14" s="1"/>
  <c r="J1339" i="14"/>
  <c r="P1339" i="14" s="1"/>
  <c r="J1340" i="14"/>
  <c r="P1340" i="14" s="1"/>
  <c r="J1341" i="14"/>
  <c r="P1341" i="14" s="1"/>
  <c r="J1342" i="14"/>
  <c r="P1342" i="14" s="1"/>
  <c r="J1343" i="14"/>
  <c r="P1343" i="14" s="1"/>
  <c r="J1344" i="14"/>
  <c r="P1344" i="14" s="1"/>
  <c r="J1345" i="14"/>
  <c r="P1345" i="14" s="1"/>
  <c r="J1346" i="14"/>
  <c r="P1346" i="14" s="1"/>
  <c r="J1347" i="14"/>
  <c r="P1347" i="14" s="1"/>
  <c r="J1348" i="14"/>
  <c r="P1348" i="14" s="1"/>
  <c r="J1349" i="14"/>
  <c r="P1349" i="14" s="1"/>
  <c r="J1350" i="14"/>
  <c r="P1350" i="14" s="1"/>
  <c r="J1351" i="14"/>
  <c r="P1351" i="14" s="1"/>
  <c r="J1352" i="14"/>
  <c r="P1352" i="14" s="1"/>
  <c r="J1353" i="14"/>
  <c r="P1353" i="14" s="1"/>
  <c r="J1354" i="14"/>
  <c r="P1354" i="14" s="1"/>
  <c r="J1355" i="14"/>
  <c r="P1355" i="14" s="1"/>
  <c r="J1356" i="14"/>
  <c r="P1356" i="14" s="1"/>
  <c r="J1357" i="14"/>
  <c r="P1357" i="14" s="1"/>
  <c r="J1358" i="14"/>
  <c r="P1358" i="14" s="1"/>
  <c r="J1359" i="14"/>
  <c r="P1359" i="14" s="1"/>
  <c r="J1360" i="14"/>
  <c r="P1360" i="14" s="1"/>
  <c r="J1361" i="14"/>
  <c r="P1361" i="14" s="1"/>
  <c r="J1362" i="14"/>
  <c r="P1362" i="14" s="1"/>
  <c r="J1363" i="14"/>
  <c r="P1363" i="14" s="1"/>
  <c r="J1364" i="14"/>
  <c r="P1364" i="14" s="1"/>
  <c r="J1365" i="14"/>
  <c r="P1365" i="14" s="1"/>
  <c r="J1366" i="14"/>
  <c r="P1366" i="14" s="1"/>
  <c r="J1367" i="14"/>
  <c r="P1367" i="14" s="1"/>
  <c r="J1368" i="14"/>
  <c r="P1368" i="14" s="1"/>
  <c r="J1369" i="14"/>
  <c r="P1369" i="14" s="1"/>
  <c r="J1370" i="14"/>
  <c r="P1370" i="14" s="1"/>
  <c r="J1371" i="14"/>
  <c r="P1371" i="14" s="1"/>
  <c r="J1372" i="14"/>
  <c r="P1372" i="14" s="1"/>
  <c r="J1373" i="14"/>
  <c r="P1373" i="14" s="1"/>
  <c r="J1374" i="14"/>
  <c r="P1374" i="14" s="1"/>
  <c r="J1375" i="14"/>
  <c r="P1375" i="14" s="1"/>
  <c r="J1376" i="14"/>
  <c r="P1376" i="14" s="1"/>
  <c r="J1377" i="14"/>
  <c r="P1377" i="14" s="1"/>
  <c r="J1378" i="14"/>
  <c r="P1378" i="14" s="1"/>
  <c r="J1379" i="14"/>
  <c r="P1379" i="14" s="1"/>
  <c r="J1380" i="14"/>
  <c r="P1380" i="14" s="1"/>
  <c r="J1381" i="14"/>
  <c r="P1381" i="14" s="1"/>
  <c r="J1382" i="14"/>
  <c r="P1382" i="14" s="1"/>
  <c r="J1383" i="14"/>
  <c r="P1383" i="14" s="1"/>
  <c r="J1384" i="14"/>
  <c r="P1384" i="14" s="1"/>
  <c r="J1385" i="14"/>
  <c r="P1385" i="14" s="1"/>
  <c r="J1386" i="14"/>
  <c r="P1386" i="14" s="1"/>
  <c r="J1387" i="14"/>
  <c r="P1387" i="14" s="1"/>
  <c r="J1388" i="14"/>
  <c r="P1388" i="14" s="1"/>
  <c r="J1389" i="14"/>
  <c r="P1389" i="14" s="1"/>
  <c r="J1390" i="14"/>
  <c r="P1390" i="14" s="1"/>
  <c r="J1391" i="14"/>
  <c r="P1391" i="14" s="1"/>
  <c r="J1392" i="14"/>
  <c r="P1392" i="14" s="1"/>
  <c r="J1393" i="14"/>
  <c r="P1393" i="14" s="1"/>
  <c r="J1394" i="14"/>
  <c r="P1394" i="14" s="1"/>
  <c r="J1395" i="14"/>
  <c r="P1395" i="14" s="1"/>
  <c r="J1396" i="14"/>
  <c r="P1396" i="14" s="1"/>
  <c r="J1397" i="14"/>
  <c r="P1397" i="14" s="1"/>
  <c r="J1398" i="14"/>
  <c r="P1398" i="14" s="1"/>
  <c r="J1399" i="14"/>
  <c r="P1399" i="14" s="1"/>
  <c r="J1400" i="14"/>
  <c r="P1400" i="14" s="1"/>
  <c r="J1401" i="14"/>
  <c r="P1401" i="14" s="1"/>
  <c r="J1402" i="14"/>
  <c r="P1402" i="14" s="1"/>
  <c r="J1403" i="14"/>
  <c r="P1403" i="14" s="1"/>
  <c r="J1404" i="14"/>
  <c r="P1404" i="14" s="1"/>
  <c r="J1405" i="14"/>
  <c r="P1405" i="14" s="1"/>
  <c r="J1406" i="14"/>
  <c r="P1406" i="14" s="1"/>
  <c r="J1407" i="14"/>
  <c r="P1407" i="14" s="1"/>
  <c r="J1408" i="14"/>
  <c r="P1408" i="14" s="1"/>
  <c r="J1409" i="14"/>
  <c r="P1409" i="14" s="1"/>
  <c r="J1410" i="14"/>
  <c r="P1410" i="14" s="1"/>
  <c r="J1411" i="14"/>
  <c r="P1411" i="14" s="1"/>
  <c r="J1412" i="14"/>
  <c r="P1412" i="14" s="1"/>
  <c r="J1413" i="14"/>
  <c r="P1413" i="14" s="1"/>
  <c r="J1414" i="14"/>
  <c r="P1414" i="14" s="1"/>
  <c r="J1415" i="14"/>
  <c r="P1415" i="14" s="1"/>
  <c r="J1416" i="14"/>
  <c r="P1416" i="14" s="1"/>
  <c r="J1417" i="14"/>
  <c r="P1417" i="14" s="1"/>
  <c r="J1182" i="14"/>
  <c r="P1182" i="14" s="1"/>
  <c r="J1179" i="14"/>
  <c r="N1179" i="14"/>
  <c r="J1180" i="14"/>
  <c r="N1180" i="14"/>
  <c r="J1181" i="14"/>
  <c r="N1181" i="14"/>
  <c r="N1178" i="14"/>
  <c r="J1178" i="14"/>
  <c r="N1177" i="14"/>
  <c r="J1177" i="14"/>
  <c r="N1176" i="14"/>
  <c r="J1176" i="14"/>
  <c r="N1175" i="14"/>
  <c r="J1175" i="14"/>
  <c r="N1174" i="14"/>
  <c r="J1174" i="14"/>
  <c r="N1173" i="14"/>
  <c r="J1173" i="14"/>
  <c r="N1172" i="14"/>
  <c r="J1172" i="14"/>
  <c r="N1171" i="14"/>
  <c r="J1171" i="14"/>
  <c r="N1170" i="14"/>
  <c r="J1170" i="14"/>
  <c r="N1169" i="14"/>
  <c r="J1169" i="14"/>
  <c r="N1168" i="14"/>
  <c r="J1168" i="14"/>
  <c r="N1167" i="14"/>
  <c r="J1167" i="14"/>
  <c r="N1166" i="14"/>
  <c r="J1166" i="14"/>
  <c r="N1165" i="14"/>
  <c r="J1165" i="14"/>
  <c r="N1164" i="14"/>
  <c r="J1164" i="14"/>
  <c r="N1163" i="14"/>
  <c r="J1163" i="14"/>
  <c r="N1162" i="14"/>
  <c r="J1162" i="14"/>
  <c r="N1161" i="14"/>
  <c r="J1161" i="14"/>
  <c r="N1160" i="14"/>
  <c r="J1160" i="14"/>
  <c r="N1159" i="14"/>
  <c r="J1159" i="14"/>
  <c r="N1158" i="14"/>
  <c r="J1158" i="14"/>
  <c r="N1157" i="14"/>
  <c r="J1157" i="14"/>
  <c r="N1156" i="14"/>
  <c r="J1156" i="14"/>
  <c r="N1155" i="14"/>
  <c r="J1155" i="14"/>
  <c r="N1154" i="14"/>
  <c r="J1154" i="14"/>
  <c r="N1153" i="14"/>
  <c r="J1153" i="14"/>
  <c r="N1152" i="14"/>
  <c r="J1152" i="14"/>
  <c r="N1151" i="14"/>
  <c r="J1151" i="14"/>
  <c r="N1150" i="14"/>
  <c r="J1150" i="14"/>
  <c r="N1149" i="14"/>
  <c r="J1149" i="14"/>
  <c r="N1148" i="14"/>
  <c r="J1148" i="14"/>
  <c r="N1147" i="14"/>
  <c r="J1147" i="14"/>
  <c r="N1146" i="14"/>
  <c r="J1146" i="14"/>
  <c r="N1145" i="14"/>
  <c r="J1145" i="14"/>
  <c r="N1144" i="14"/>
  <c r="J1144" i="14"/>
  <c r="N1143" i="14"/>
  <c r="J1143" i="14"/>
  <c r="N1142" i="14"/>
  <c r="J1142" i="14"/>
  <c r="N1141" i="14"/>
  <c r="J1141" i="14"/>
  <c r="N1140" i="14"/>
  <c r="J1140" i="14"/>
  <c r="N1139" i="14"/>
  <c r="J1139" i="14"/>
  <c r="N1138" i="14"/>
  <c r="J1138" i="14"/>
  <c r="N1137" i="14"/>
  <c r="J1137" i="14"/>
  <c r="N1136" i="14"/>
  <c r="J1136" i="14"/>
  <c r="N1135" i="14"/>
  <c r="J1135" i="14"/>
  <c r="N1134" i="14"/>
  <c r="J1134" i="14"/>
  <c r="N1133" i="14"/>
  <c r="J1133" i="14"/>
  <c r="N1132" i="14"/>
  <c r="J1132" i="14"/>
  <c r="N1131" i="14"/>
  <c r="J1131" i="14"/>
  <c r="N1130" i="14"/>
  <c r="J1130" i="14"/>
  <c r="N1129" i="14"/>
  <c r="J1129" i="14"/>
  <c r="N1128" i="14"/>
  <c r="J1128" i="14"/>
  <c r="N1127" i="14"/>
  <c r="J1127" i="14"/>
  <c r="N1126" i="14"/>
  <c r="J1126" i="14"/>
  <c r="N1125" i="14"/>
  <c r="J1125" i="14"/>
  <c r="N1124" i="14"/>
  <c r="J1124" i="14"/>
  <c r="N1123" i="14"/>
  <c r="J1123" i="14"/>
  <c r="N1122" i="14"/>
  <c r="J1122" i="14"/>
  <c r="N1121" i="14"/>
  <c r="J1121" i="14"/>
  <c r="N1120" i="14"/>
  <c r="J1120" i="14"/>
  <c r="N1119" i="14"/>
  <c r="J1119" i="14"/>
  <c r="N1118" i="14"/>
  <c r="J1118" i="14"/>
  <c r="N1117" i="14"/>
  <c r="J1117" i="14"/>
  <c r="N1116" i="14"/>
  <c r="J1116" i="14"/>
  <c r="N1115" i="14"/>
  <c r="J1115" i="14"/>
  <c r="N1114" i="14"/>
  <c r="J1114" i="14"/>
  <c r="N1113" i="14"/>
  <c r="J1113" i="14"/>
  <c r="N1112" i="14"/>
  <c r="J1112" i="14"/>
  <c r="N1111" i="14"/>
  <c r="J1111" i="14"/>
  <c r="N1110" i="14"/>
  <c r="J1110" i="14"/>
  <c r="N1109" i="14"/>
  <c r="J1109" i="14"/>
  <c r="N1108" i="14"/>
  <c r="J1108" i="14"/>
  <c r="N1107" i="14"/>
  <c r="J1107" i="14"/>
  <c r="N1106" i="14"/>
  <c r="J1106" i="14"/>
  <c r="N1105" i="14"/>
  <c r="J1105" i="14"/>
  <c r="N1104" i="14"/>
  <c r="J1104" i="14"/>
  <c r="N1103" i="14"/>
  <c r="J1103" i="14"/>
  <c r="N1102" i="14"/>
  <c r="J1102" i="14"/>
  <c r="N1101" i="14"/>
  <c r="J1101" i="14"/>
  <c r="N1100" i="14"/>
  <c r="J1100" i="14"/>
  <c r="N1099" i="14"/>
  <c r="J1099" i="14"/>
  <c r="N1098" i="14"/>
  <c r="J1098" i="14"/>
  <c r="N1097" i="14"/>
  <c r="J1097" i="14"/>
  <c r="N1096" i="14"/>
  <c r="J1096" i="14"/>
  <c r="N1095" i="14"/>
  <c r="J1095" i="14"/>
  <c r="N1094" i="14"/>
  <c r="J1094" i="14"/>
  <c r="N1093" i="14"/>
  <c r="J1093" i="14"/>
  <c r="N1092" i="14"/>
  <c r="J1092" i="14"/>
  <c r="N1091" i="14"/>
  <c r="J1091" i="14"/>
  <c r="N1090" i="14"/>
  <c r="J1090" i="14"/>
  <c r="N1089" i="14"/>
  <c r="J1089" i="14"/>
  <c r="N1088" i="14"/>
  <c r="J1088" i="14"/>
  <c r="N1087" i="14"/>
  <c r="J1087" i="14"/>
  <c r="N1086" i="14"/>
  <c r="J1086" i="14"/>
  <c r="N1085" i="14"/>
  <c r="J1085" i="14"/>
  <c r="N1084" i="14"/>
  <c r="J1084" i="14"/>
  <c r="N1083" i="14"/>
  <c r="J1083" i="14"/>
  <c r="P1083" i="14" s="1"/>
  <c r="N1082" i="14"/>
  <c r="J1082" i="14"/>
  <c r="N1081" i="14"/>
  <c r="J1081" i="14"/>
  <c r="N1080" i="14"/>
  <c r="J1080" i="14"/>
  <c r="N1079" i="14"/>
  <c r="J1079" i="14"/>
  <c r="N1078" i="14"/>
  <c r="J1078" i="14"/>
  <c r="N1077" i="14"/>
  <c r="J1077" i="14"/>
  <c r="N1076" i="14"/>
  <c r="J1076" i="14"/>
  <c r="N1075" i="14"/>
  <c r="J1075" i="14"/>
  <c r="N1074" i="14"/>
  <c r="J1074" i="14"/>
  <c r="N1073" i="14"/>
  <c r="J1073" i="14"/>
  <c r="N1072" i="14"/>
  <c r="J1072" i="14"/>
  <c r="N1071" i="14"/>
  <c r="J1071" i="14"/>
  <c r="N1070" i="14"/>
  <c r="J1070" i="14"/>
  <c r="N1069" i="14"/>
  <c r="J1069" i="14"/>
  <c r="N1068" i="14"/>
  <c r="J1068" i="14"/>
  <c r="N1067" i="14"/>
  <c r="J1067" i="14"/>
  <c r="N1066" i="14"/>
  <c r="J1066" i="14"/>
  <c r="N1065" i="14"/>
  <c r="J1065" i="14"/>
  <c r="N1064" i="14"/>
  <c r="J1064" i="14"/>
  <c r="N1063" i="14"/>
  <c r="J1063" i="14"/>
  <c r="N1062" i="14"/>
  <c r="J1062" i="14"/>
  <c r="N1061" i="14"/>
  <c r="J1061" i="14"/>
  <c r="N1060" i="14"/>
  <c r="J1060" i="14"/>
  <c r="N1059" i="14"/>
  <c r="J1059" i="14"/>
  <c r="N1058" i="14"/>
  <c r="J1058" i="14"/>
  <c r="N1057" i="14"/>
  <c r="J1057" i="14"/>
  <c r="N1056" i="14"/>
  <c r="J1056" i="14"/>
  <c r="N1055" i="14"/>
  <c r="J1055" i="14"/>
  <c r="N1054" i="14"/>
  <c r="J1054" i="14"/>
  <c r="N1053" i="14"/>
  <c r="J1053" i="14"/>
  <c r="N1052" i="14"/>
  <c r="J1052" i="14"/>
  <c r="N1051" i="14"/>
  <c r="J1051" i="14"/>
  <c r="N1050" i="14"/>
  <c r="J1050" i="14"/>
  <c r="N1049" i="14"/>
  <c r="J1049" i="14"/>
  <c r="N1048" i="14"/>
  <c r="J1048" i="14"/>
  <c r="N1047" i="14"/>
  <c r="J1047" i="14"/>
  <c r="N1046" i="14"/>
  <c r="J1046" i="14"/>
  <c r="N1045" i="14"/>
  <c r="J1045" i="14"/>
  <c r="N1044" i="14"/>
  <c r="J1044" i="14"/>
  <c r="N1043" i="14"/>
  <c r="J1043" i="14"/>
  <c r="N1042" i="14"/>
  <c r="J1042" i="14"/>
  <c r="N1041" i="14"/>
  <c r="J1041" i="14"/>
  <c r="N1040" i="14"/>
  <c r="J1040" i="14"/>
  <c r="N1039" i="14"/>
  <c r="J1039" i="14"/>
  <c r="N1038" i="14"/>
  <c r="J1038" i="14"/>
  <c r="N1037" i="14"/>
  <c r="J1037" i="14"/>
  <c r="N1036" i="14"/>
  <c r="J1036" i="14"/>
  <c r="N1035" i="14"/>
  <c r="J1035" i="14"/>
  <c r="N1034" i="14"/>
  <c r="J1034" i="14"/>
  <c r="N1033" i="14"/>
  <c r="J1033" i="14"/>
  <c r="N1032" i="14"/>
  <c r="J1032" i="14"/>
  <c r="N1031" i="14"/>
  <c r="J1031" i="14"/>
  <c r="N1030" i="14"/>
  <c r="J1030" i="14"/>
  <c r="N1029" i="14"/>
  <c r="J1029" i="14"/>
  <c r="N1028" i="14"/>
  <c r="J1028" i="14"/>
  <c r="N1027" i="14"/>
  <c r="J1027" i="14"/>
  <c r="N1026" i="14"/>
  <c r="J1026" i="14"/>
  <c r="N1025" i="14"/>
  <c r="J1025" i="14"/>
  <c r="N1024" i="14"/>
  <c r="J1024" i="14"/>
  <c r="N1023" i="14"/>
  <c r="J1023" i="14"/>
  <c r="N1022" i="14"/>
  <c r="J1022" i="14"/>
  <c r="N1021" i="14"/>
  <c r="J1021" i="14"/>
  <c r="N1020" i="14"/>
  <c r="J1020" i="14"/>
  <c r="N1019" i="14"/>
  <c r="J1019" i="14"/>
  <c r="N1018" i="14"/>
  <c r="J1018" i="14"/>
  <c r="N1017" i="14"/>
  <c r="J1017" i="14"/>
  <c r="N1016" i="14"/>
  <c r="J1016" i="14"/>
  <c r="N1015" i="14"/>
  <c r="J1015" i="14"/>
  <c r="N1014" i="14"/>
  <c r="J1014" i="14"/>
  <c r="N1013" i="14"/>
  <c r="J1013" i="14"/>
  <c r="N1012" i="14"/>
  <c r="J1012" i="14"/>
  <c r="N1011" i="14"/>
  <c r="J1011" i="14"/>
  <c r="N1010" i="14"/>
  <c r="J1010" i="14"/>
  <c r="N1009" i="14"/>
  <c r="J1009" i="14"/>
  <c r="N1008" i="14"/>
  <c r="J1008" i="14"/>
  <c r="N1007" i="14"/>
  <c r="J1007" i="14"/>
  <c r="N1006" i="14"/>
  <c r="J1006" i="14"/>
  <c r="N1005" i="14"/>
  <c r="J1005" i="14"/>
  <c r="N1004" i="14"/>
  <c r="J1004" i="14"/>
  <c r="N1003" i="14"/>
  <c r="J1003" i="14"/>
  <c r="N1002" i="14"/>
  <c r="J1002" i="14"/>
  <c r="N1001" i="14"/>
  <c r="J1001" i="14"/>
  <c r="N1000" i="14"/>
  <c r="J1000" i="14"/>
  <c r="N999" i="14"/>
  <c r="J999" i="14"/>
  <c r="N998" i="14"/>
  <c r="J998" i="14"/>
  <c r="N997" i="14"/>
  <c r="J997" i="14"/>
  <c r="N996" i="14"/>
  <c r="J996" i="14"/>
  <c r="N995" i="14"/>
  <c r="J995" i="14"/>
  <c r="N994" i="14"/>
  <c r="J994" i="14"/>
  <c r="N993" i="14"/>
  <c r="J993" i="14"/>
  <c r="N992" i="14"/>
  <c r="J992" i="14"/>
  <c r="N991" i="14"/>
  <c r="J991" i="14"/>
  <c r="N990" i="14"/>
  <c r="J990" i="14"/>
  <c r="N989" i="14"/>
  <c r="J989" i="14"/>
  <c r="N988" i="14"/>
  <c r="J988" i="14"/>
  <c r="N987" i="14"/>
  <c r="J987" i="14"/>
  <c r="N986" i="14"/>
  <c r="J986" i="14"/>
  <c r="N985" i="14"/>
  <c r="J985" i="14"/>
  <c r="N984" i="14"/>
  <c r="J984" i="14"/>
  <c r="N983" i="14"/>
  <c r="J983" i="14"/>
  <c r="N982" i="14"/>
  <c r="J982" i="14"/>
  <c r="N981" i="14"/>
  <c r="J981" i="14"/>
  <c r="N980" i="14"/>
  <c r="J980" i="14"/>
  <c r="N979" i="14"/>
  <c r="J979" i="14"/>
  <c r="N978" i="14"/>
  <c r="J978" i="14"/>
  <c r="N977" i="14"/>
  <c r="J977" i="14"/>
  <c r="N976" i="14"/>
  <c r="J976" i="14"/>
  <c r="N975" i="14"/>
  <c r="J975" i="14"/>
  <c r="N974" i="14"/>
  <c r="J974" i="14"/>
  <c r="N973" i="14"/>
  <c r="J973" i="14"/>
  <c r="N972" i="14"/>
  <c r="J972" i="14"/>
  <c r="N971" i="14"/>
  <c r="J971" i="14"/>
  <c r="N970" i="14"/>
  <c r="J970" i="14"/>
  <c r="N969" i="14"/>
  <c r="J969" i="14"/>
  <c r="N968" i="14"/>
  <c r="J968" i="14"/>
  <c r="N967" i="14"/>
  <c r="J967" i="14"/>
  <c r="N966" i="14"/>
  <c r="J966" i="14"/>
  <c r="N965" i="14"/>
  <c r="J965" i="14"/>
  <c r="N964" i="14"/>
  <c r="J964" i="14"/>
  <c r="N963" i="14"/>
  <c r="J963" i="14"/>
  <c r="N962" i="14"/>
  <c r="J962" i="14"/>
  <c r="N961" i="14"/>
  <c r="J961" i="14"/>
  <c r="N960" i="14"/>
  <c r="J960" i="14"/>
  <c r="N959" i="14"/>
  <c r="J959" i="14"/>
  <c r="N958" i="14"/>
  <c r="J958" i="14"/>
  <c r="N957" i="14"/>
  <c r="J957" i="14"/>
  <c r="N956" i="14"/>
  <c r="J956" i="14"/>
  <c r="N955" i="14"/>
  <c r="J955" i="14"/>
  <c r="N954" i="14"/>
  <c r="J954" i="14"/>
  <c r="N953" i="14"/>
  <c r="J953" i="14"/>
  <c r="N952" i="14"/>
  <c r="J952" i="14"/>
  <c r="N951" i="14"/>
  <c r="J951" i="14"/>
  <c r="N950" i="14"/>
  <c r="J950" i="14"/>
  <c r="N949" i="14"/>
  <c r="J949" i="14"/>
  <c r="N948" i="14"/>
  <c r="J948" i="14"/>
  <c r="N947" i="14"/>
  <c r="J947" i="14"/>
  <c r="N946" i="14"/>
  <c r="J946" i="14"/>
  <c r="N945" i="14"/>
  <c r="J945" i="14"/>
  <c r="P945" i="14" s="1"/>
  <c r="N944" i="14"/>
  <c r="J944" i="14"/>
  <c r="P944" i="14" s="1"/>
  <c r="N943" i="14"/>
  <c r="J943" i="14"/>
  <c r="P943" i="14" s="1"/>
  <c r="N942" i="14"/>
  <c r="J942" i="14"/>
  <c r="P942" i="14" s="1"/>
  <c r="N941" i="14"/>
  <c r="J941" i="14"/>
  <c r="P941" i="14" s="1"/>
  <c r="N940" i="14"/>
  <c r="J940" i="14"/>
  <c r="P940" i="14" s="1"/>
  <c r="N939" i="14"/>
  <c r="J939" i="14"/>
  <c r="P939" i="14" s="1"/>
  <c r="N938" i="14"/>
  <c r="J938" i="14"/>
  <c r="P938" i="14" s="1"/>
  <c r="N937" i="14"/>
  <c r="J937" i="14"/>
  <c r="P937" i="14" s="1"/>
  <c r="N936" i="14"/>
  <c r="J936" i="14"/>
  <c r="P936" i="14" s="1"/>
  <c r="N935" i="14"/>
  <c r="J935" i="14"/>
  <c r="P935" i="14" s="1"/>
  <c r="N934" i="14"/>
  <c r="J934" i="14"/>
  <c r="P934" i="14" s="1"/>
  <c r="N933" i="14"/>
  <c r="J933" i="14"/>
  <c r="P933" i="14" s="1"/>
  <c r="N932" i="14"/>
  <c r="J932" i="14"/>
  <c r="P932" i="14" s="1"/>
  <c r="N931" i="14"/>
  <c r="J931" i="14"/>
  <c r="P931" i="14" s="1"/>
  <c r="N930" i="14"/>
  <c r="J930" i="14"/>
  <c r="P930" i="14" s="1"/>
  <c r="N929" i="14"/>
  <c r="J929" i="14"/>
  <c r="P929" i="14" s="1"/>
  <c r="N928" i="14"/>
  <c r="J928" i="14"/>
  <c r="P928" i="14" s="1"/>
  <c r="N927" i="14"/>
  <c r="J927" i="14"/>
  <c r="P927" i="14" s="1"/>
  <c r="N926" i="14"/>
  <c r="J926" i="14"/>
  <c r="P926" i="14" s="1"/>
  <c r="N925" i="14"/>
  <c r="J925" i="14"/>
  <c r="P925" i="14" s="1"/>
  <c r="N924" i="14"/>
  <c r="J924" i="14"/>
  <c r="P924" i="14" s="1"/>
  <c r="N923" i="14"/>
  <c r="J923" i="14"/>
  <c r="P923" i="14" s="1"/>
  <c r="N922" i="14"/>
  <c r="J922" i="14"/>
  <c r="P922" i="14" s="1"/>
  <c r="N921" i="14"/>
  <c r="J921" i="14"/>
  <c r="P921" i="14" s="1"/>
  <c r="N920" i="14"/>
  <c r="J920" i="14"/>
  <c r="P920" i="14" s="1"/>
  <c r="N919" i="14"/>
  <c r="J919" i="14"/>
  <c r="P919" i="14" s="1"/>
  <c r="N918" i="14"/>
  <c r="J918" i="14"/>
  <c r="P918" i="14" s="1"/>
  <c r="N917" i="14"/>
  <c r="J917" i="14"/>
  <c r="P917" i="14" s="1"/>
  <c r="N916" i="14"/>
  <c r="J916" i="14"/>
  <c r="P916" i="14" s="1"/>
  <c r="N915" i="14"/>
  <c r="J915" i="14"/>
  <c r="P915" i="14" s="1"/>
  <c r="N914" i="14"/>
  <c r="J914" i="14"/>
  <c r="P914" i="14" s="1"/>
  <c r="N913" i="14"/>
  <c r="J913" i="14"/>
  <c r="P913" i="14" s="1"/>
  <c r="N912" i="14"/>
  <c r="J912" i="14"/>
  <c r="P912" i="14" s="1"/>
  <c r="N911" i="14"/>
  <c r="J911" i="14"/>
  <c r="P911" i="14" s="1"/>
  <c r="N910" i="14"/>
  <c r="J910" i="14"/>
  <c r="P910" i="14" s="1"/>
  <c r="N909" i="14"/>
  <c r="J909" i="14"/>
  <c r="P909" i="14" s="1"/>
  <c r="N908" i="14"/>
  <c r="J908" i="14"/>
  <c r="P908" i="14" s="1"/>
  <c r="N907" i="14"/>
  <c r="J907" i="14"/>
  <c r="P907" i="14" s="1"/>
  <c r="N906" i="14"/>
  <c r="J906" i="14"/>
  <c r="P906" i="14" s="1"/>
  <c r="N905" i="14"/>
  <c r="J905" i="14"/>
  <c r="P905" i="14" s="1"/>
  <c r="N904" i="14"/>
  <c r="J904" i="14"/>
  <c r="P904" i="14" s="1"/>
  <c r="N903" i="14"/>
  <c r="J903" i="14"/>
  <c r="P903" i="14" s="1"/>
  <c r="N902" i="14"/>
  <c r="J902" i="14"/>
  <c r="P902" i="14" s="1"/>
  <c r="N901" i="14"/>
  <c r="J901" i="14"/>
  <c r="P901" i="14" s="1"/>
  <c r="N900" i="14"/>
  <c r="J900" i="14"/>
  <c r="P900" i="14" s="1"/>
  <c r="N899" i="14"/>
  <c r="J899" i="14"/>
  <c r="P899" i="14" s="1"/>
  <c r="N898" i="14"/>
  <c r="J898" i="14"/>
  <c r="P898" i="14" s="1"/>
  <c r="N897" i="14"/>
  <c r="J897" i="14"/>
  <c r="P897" i="14" s="1"/>
  <c r="N896" i="14"/>
  <c r="J896" i="14"/>
  <c r="P896" i="14" s="1"/>
  <c r="N895" i="14"/>
  <c r="J895" i="14"/>
  <c r="P895" i="14" s="1"/>
  <c r="N894" i="14"/>
  <c r="J894" i="14"/>
  <c r="P894" i="14" s="1"/>
  <c r="N893" i="14"/>
  <c r="J893" i="14"/>
  <c r="P893" i="14" s="1"/>
  <c r="N892" i="14"/>
  <c r="J892" i="14"/>
  <c r="P892" i="14" s="1"/>
  <c r="N891" i="14"/>
  <c r="J891" i="14"/>
  <c r="P891" i="14" s="1"/>
  <c r="N890" i="14"/>
  <c r="J890" i="14"/>
  <c r="P890" i="14" s="1"/>
  <c r="N889" i="14"/>
  <c r="J889" i="14"/>
  <c r="P889" i="14" s="1"/>
  <c r="N888" i="14"/>
  <c r="J888" i="14"/>
  <c r="P888" i="14" s="1"/>
  <c r="N887" i="14"/>
  <c r="J887" i="14"/>
  <c r="P887" i="14" s="1"/>
  <c r="N886" i="14"/>
  <c r="J886" i="14"/>
  <c r="P886" i="14" s="1"/>
  <c r="N885" i="14"/>
  <c r="J885" i="14"/>
  <c r="P885" i="14" s="1"/>
  <c r="N884" i="14"/>
  <c r="J884" i="14"/>
  <c r="P884" i="14" s="1"/>
  <c r="N883" i="14"/>
  <c r="J883" i="14"/>
  <c r="P883" i="14" s="1"/>
  <c r="N882" i="14"/>
  <c r="J882" i="14"/>
  <c r="P882" i="14" s="1"/>
  <c r="N881" i="14"/>
  <c r="J881" i="14"/>
  <c r="P881" i="14" s="1"/>
  <c r="N880" i="14"/>
  <c r="J880" i="14"/>
  <c r="P880" i="14" s="1"/>
  <c r="N879" i="14"/>
  <c r="J879" i="14"/>
  <c r="P879" i="14" s="1"/>
  <c r="N878" i="14"/>
  <c r="J878" i="14"/>
  <c r="P878" i="14" s="1"/>
  <c r="N877" i="14"/>
  <c r="J877" i="14"/>
  <c r="P877" i="14" s="1"/>
  <c r="N876" i="14"/>
  <c r="J876" i="14"/>
  <c r="P876" i="14" s="1"/>
  <c r="N875" i="14"/>
  <c r="J875" i="14"/>
  <c r="P875" i="14" s="1"/>
  <c r="N874" i="14"/>
  <c r="J874" i="14"/>
  <c r="P874" i="14" s="1"/>
  <c r="N873" i="14"/>
  <c r="J873" i="14"/>
  <c r="P873" i="14" s="1"/>
  <c r="N872" i="14"/>
  <c r="J872" i="14"/>
  <c r="P872" i="14" s="1"/>
  <c r="N871" i="14"/>
  <c r="J871" i="14"/>
  <c r="P871" i="14" s="1"/>
  <c r="N870" i="14"/>
  <c r="J870" i="14"/>
  <c r="P870" i="14" s="1"/>
  <c r="N869" i="14"/>
  <c r="J869" i="14"/>
  <c r="P869" i="14" s="1"/>
  <c r="N868" i="14"/>
  <c r="J868" i="14"/>
  <c r="P868" i="14" s="1"/>
  <c r="N867" i="14"/>
  <c r="J867" i="14"/>
  <c r="P867" i="14" s="1"/>
  <c r="N866" i="14"/>
  <c r="J866" i="14"/>
  <c r="P866" i="14" s="1"/>
  <c r="N865" i="14"/>
  <c r="J865" i="14"/>
  <c r="P865" i="14" s="1"/>
  <c r="N864" i="14"/>
  <c r="J864" i="14"/>
  <c r="P864" i="14" s="1"/>
  <c r="N863" i="14"/>
  <c r="J863" i="14"/>
  <c r="P863" i="14" s="1"/>
  <c r="N862" i="14"/>
  <c r="J862" i="14"/>
  <c r="P862" i="14" s="1"/>
  <c r="N861" i="14"/>
  <c r="J861" i="14"/>
  <c r="P861" i="14" s="1"/>
  <c r="N860" i="14"/>
  <c r="J860" i="14"/>
  <c r="P860" i="14" s="1"/>
  <c r="N859" i="14"/>
  <c r="J859" i="14"/>
  <c r="P859" i="14" s="1"/>
  <c r="N858" i="14"/>
  <c r="J858" i="14"/>
  <c r="P858" i="14" s="1"/>
  <c r="N857" i="14"/>
  <c r="J857" i="14"/>
  <c r="P857" i="14" s="1"/>
  <c r="N856" i="14"/>
  <c r="J856" i="14"/>
  <c r="P856" i="14" s="1"/>
  <c r="N855" i="14"/>
  <c r="J855" i="14"/>
  <c r="P855" i="14" s="1"/>
  <c r="N854" i="14"/>
  <c r="J854" i="14"/>
  <c r="P854" i="14" s="1"/>
  <c r="N853" i="14"/>
  <c r="J853" i="14"/>
  <c r="P853" i="14" s="1"/>
  <c r="N852" i="14"/>
  <c r="J852" i="14"/>
  <c r="P852" i="14" s="1"/>
  <c r="N851" i="14"/>
  <c r="J851" i="14"/>
  <c r="P851" i="14" s="1"/>
  <c r="N850" i="14"/>
  <c r="J850" i="14"/>
  <c r="P850" i="14" s="1"/>
  <c r="N849" i="14"/>
  <c r="J849" i="14"/>
  <c r="P849" i="14" s="1"/>
  <c r="N848" i="14"/>
  <c r="J848" i="14"/>
  <c r="P848" i="14" s="1"/>
  <c r="N847" i="14"/>
  <c r="J847" i="14"/>
  <c r="P847" i="14" s="1"/>
  <c r="N846" i="14"/>
  <c r="J846" i="14"/>
  <c r="P846" i="14" s="1"/>
  <c r="N845" i="14"/>
  <c r="J845" i="14"/>
  <c r="P845" i="14" s="1"/>
  <c r="N844" i="14"/>
  <c r="J844" i="14"/>
  <c r="P844" i="14" s="1"/>
  <c r="N843" i="14"/>
  <c r="J843" i="14"/>
  <c r="P843" i="14" s="1"/>
  <c r="N842" i="14"/>
  <c r="J842" i="14"/>
  <c r="P842" i="14" s="1"/>
  <c r="N841" i="14"/>
  <c r="J841" i="14"/>
  <c r="P841" i="14" s="1"/>
  <c r="N840" i="14"/>
  <c r="J840" i="14"/>
  <c r="P840" i="14" s="1"/>
  <c r="N839" i="14"/>
  <c r="J839" i="14"/>
  <c r="P839" i="14" s="1"/>
  <c r="N838" i="14"/>
  <c r="J838" i="14"/>
  <c r="P838" i="14" s="1"/>
  <c r="N837" i="14"/>
  <c r="J837" i="14"/>
  <c r="P837" i="14" s="1"/>
  <c r="N836" i="14"/>
  <c r="J836" i="14"/>
  <c r="P836" i="14" s="1"/>
  <c r="N835" i="14"/>
  <c r="J835" i="14"/>
  <c r="P835" i="14" s="1"/>
  <c r="N834" i="14"/>
  <c r="J834" i="14"/>
  <c r="P834" i="14" s="1"/>
  <c r="N833" i="14"/>
  <c r="J833" i="14"/>
  <c r="P833" i="14" s="1"/>
  <c r="N832" i="14"/>
  <c r="J832" i="14"/>
  <c r="P832" i="14" s="1"/>
  <c r="N831" i="14"/>
  <c r="J831" i="14"/>
  <c r="P831" i="14" s="1"/>
  <c r="N830" i="14"/>
  <c r="J830" i="14"/>
  <c r="P830" i="14" s="1"/>
  <c r="N829" i="14"/>
  <c r="J829" i="14"/>
  <c r="P829" i="14" s="1"/>
  <c r="N828" i="14"/>
  <c r="J828" i="14"/>
  <c r="P828" i="14" s="1"/>
  <c r="N827" i="14"/>
  <c r="J827" i="14"/>
  <c r="P827" i="14" s="1"/>
  <c r="N826" i="14"/>
  <c r="J826" i="14"/>
  <c r="P826" i="14" s="1"/>
  <c r="N825" i="14"/>
  <c r="J825" i="14"/>
  <c r="P825" i="14" s="1"/>
  <c r="N824" i="14"/>
  <c r="J824" i="14"/>
  <c r="P824" i="14" s="1"/>
  <c r="N823" i="14"/>
  <c r="J823" i="14"/>
  <c r="P823" i="14" s="1"/>
  <c r="N822" i="14"/>
  <c r="J822" i="14"/>
  <c r="P822" i="14" s="1"/>
  <c r="N821" i="14"/>
  <c r="J821" i="14"/>
  <c r="P821" i="14" s="1"/>
  <c r="N820" i="14"/>
  <c r="J820" i="14"/>
  <c r="P820" i="14" s="1"/>
  <c r="N819" i="14"/>
  <c r="J819" i="14"/>
  <c r="P819" i="14" s="1"/>
  <c r="N818" i="14"/>
  <c r="J818" i="14"/>
  <c r="P818" i="14" s="1"/>
  <c r="N817" i="14"/>
  <c r="J817" i="14"/>
  <c r="P817" i="14" s="1"/>
  <c r="N816" i="14"/>
  <c r="J816" i="14"/>
  <c r="P816" i="14" s="1"/>
  <c r="N815" i="14"/>
  <c r="J815" i="14"/>
  <c r="P815" i="14" s="1"/>
  <c r="N814" i="14"/>
  <c r="J814" i="14"/>
  <c r="P814" i="14" s="1"/>
  <c r="N813" i="14"/>
  <c r="J813" i="14"/>
  <c r="P813" i="14" s="1"/>
  <c r="N812" i="14"/>
  <c r="J812" i="14"/>
  <c r="P812" i="14" s="1"/>
  <c r="N811" i="14"/>
  <c r="J811" i="14"/>
  <c r="P811" i="14" s="1"/>
  <c r="N810" i="14"/>
  <c r="J810" i="14"/>
  <c r="P810" i="14" s="1"/>
  <c r="N809" i="14"/>
  <c r="J809" i="14"/>
  <c r="P809" i="14" s="1"/>
  <c r="N808" i="14"/>
  <c r="J808" i="14"/>
  <c r="P808" i="14" s="1"/>
  <c r="N807" i="14"/>
  <c r="J807" i="14"/>
  <c r="P807" i="14" s="1"/>
  <c r="N806" i="14"/>
  <c r="J806" i="14"/>
  <c r="P806" i="14" s="1"/>
  <c r="N805" i="14"/>
  <c r="J805" i="14"/>
  <c r="P805" i="14" s="1"/>
  <c r="N804" i="14"/>
  <c r="J804" i="14"/>
  <c r="P804" i="14" s="1"/>
  <c r="N803" i="14"/>
  <c r="J803" i="14"/>
  <c r="P803" i="14" s="1"/>
  <c r="N802" i="14"/>
  <c r="J802" i="14"/>
  <c r="P802" i="14" s="1"/>
  <c r="N801" i="14"/>
  <c r="J801" i="14"/>
  <c r="P801" i="14" s="1"/>
  <c r="N800" i="14"/>
  <c r="J800" i="14"/>
  <c r="P800" i="14" s="1"/>
  <c r="N799" i="14"/>
  <c r="J799" i="14"/>
  <c r="P799" i="14" s="1"/>
  <c r="N798" i="14"/>
  <c r="J798" i="14"/>
  <c r="P798" i="14" s="1"/>
  <c r="N797" i="14"/>
  <c r="J797" i="14"/>
  <c r="P797" i="14" s="1"/>
  <c r="N796" i="14"/>
  <c r="J796" i="14"/>
  <c r="P796" i="14" s="1"/>
  <c r="N795" i="14"/>
  <c r="J795" i="14"/>
  <c r="P795" i="14" s="1"/>
  <c r="N794" i="14"/>
  <c r="J794" i="14"/>
  <c r="P794" i="14" s="1"/>
  <c r="N793" i="14"/>
  <c r="J793" i="14"/>
  <c r="P793" i="14" s="1"/>
  <c r="N792" i="14"/>
  <c r="J792" i="14"/>
  <c r="P792" i="14" s="1"/>
  <c r="N791" i="14"/>
  <c r="J791" i="14"/>
  <c r="P791" i="14" s="1"/>
  <c r="N790" i="14"/>
  <c r="J790" i="14"/>
  <c r="P790" i="14" s="1"/>
  <c r="N789" i="14"/>
  <c r="J789" i="14"/>
  <c r="P789" i="14" s="1"/>
  <c r="N788" i="14"/>
  <c r="J788" i="14"/>
  <c r="P788" i="14" s="1"/>
  <c r="N787" i="14"/>
  <c r="J787" i="14"/>
  <c r="P787" i="14" s="1"/>
  <c r="N786" i="14"/>
  <c r="J786" i="14"/>
  <c r="P786" i="14" s="1"/>
  <c r="N785" i="14"/>
  <c r="J785" i="14"/>
  <c r="P785" i="14" s="1"/>
  <c r="N784" i="14"/>
  <c r="J784" i="14"/>
  <c r="P784" i="14" s="1"/>
  <c r="N783" i="14"/>
  <c r="J783" i="14"/>
  <c r="P783" i="14" s="1"/>
  <c r="N782" i="14"/>
  <c r="J782" i="14"/>
  <c r="P782" i="14" s="1"/>
  <c r="N781" i="14"/>
  <c r="J781" i="14"/>
  <c r="P781" i="14" s="1"/>
  <c r="N780" i="14"/>
  <c r="J780" i="14"/>
  <c r="P780" i="14" s="1"/>
  <c r="N779" i="14"/>
  <c r="J779" i="14"/>
  <c r="P779" i="14" s="1"/>
  <c r="N778" i="14"/>
  <c r="J778" i="14"/>
  <c r="P778" i="14" s="1"/>
  <c r="N777" i="14"/>
  <c r="J777" i="14"/>
  <c r="P777" i="14" s="1"/>
  <c r="N776" i="14"/>
  <c r="J776" i="14"/>
  <c r="P776" i="14" s="1"/>
  <c r="N775" i="14"/>
  <c r="J775" i="14"/>
  <c r="P775" i="14" s="1"/>
  <c r="N774" i="14"/>
  <c r="J774" i="14"/>
  <c r="P774" i="14" s="1"/>
  <c r="N773" i="14"/>
  <c r="J773" i="14"/>
  <c r="P773" i="14" s="1"/>
  <c r="N772" i="14"/>
  <c r="J772" i="14"/>
  <c r="P772" i="14" s="1"/>
  <c r="N771" i="14"/>
  <c r="J771" i="14"/>
  <c r="P771" i="14" s="1"/>
  <c r="N770" i="14"/>
  <c r="J770" i="14"/>
  <c r="P770" i="14" s="1"/>
  <c r="N769" i="14"/>
  <c r="J769" i="14"/>
  <c r="P769" i="14" s="1"/>
  <c r="N768" i="14"/>
  <c r="J768" i="14"/>
  <c r="P768" i="14" s="1"/>
  <c r="N767" i="14"/>
  <c r="J767" i="14"/>
  <c r="P767" i="14" s="1"/>
  <c r="N766" i="14"/>
  <c r="J766" i="14"/>
  <c r="P766" i="14" s="1"/>
  <c r="N765" i="14"/>
  <c r="J765" i="14"/>
  <c r="P765" i="14" s="1"/>
  <c r="N764" i="14"/>
  <c r="J764" i="14"/>
  <c r="P764" i="14" s="1"/>
  <c r="N763" i="14"/>
  <c r="J763" i="14"/>
  <c r="P763" i="14" s="1"/>
  <c r="N762" i="14"/>
  <c r="J762" i="14"/>
  <c r="P762" i="14" s="1"/>
  <c r="N761" i="14"/>
  <c r="J761" i="14"/>
  <c r="P761" i="14" s="1"/>
  <c r="N760" i="14"/>
  <c r="J760" i="14"/>
  <c r="P760" i="14" s="1"/>
  <c r="N759" i="14"/>
  <c r="J759" i="14"/>
  <c r="P759" i="14" s="1"/>
  <c r="N758" i="14"/>
  <c r="J758" i="14"/>
  <c r="P758" i="14" s="1"/>
  <c r="N757" i="14"/>
  <c r="J757" i="14"/>
  <c r="P757" i="14" s="1"/>
  <c r="N756" i="14"/>
  <c r="J756" i="14"/>
  <c r="P756" i="14" s="1"/>
  <c r="N755" i="14"/>
  <c r="J755" i="14"/>
  <c r="P755" i="14" s="1"/>
  <c r="N754" i="14"/>
  <c r="J754" i="14"/>
  <c r="P754" i="14" s="1"/>
  <c r="N753" i="14"/>
  <c r="J753" i="14"/>
  <c r="P753" i="14" s="1"/>
  <c r="N752" i="14"/>
  <c r="J752" i="14"/>
  <c r="P752" i="14" s="1"/>
  <c r="N751" i="14"/>
  <c r="J751" i="14"/>
  <c r="P751" i="14" s="1"/>
  <c r="N750" i="14"/>
  <c r="J750" i="14"/>
  <c r="P750" i="14" s="1"/>
  <c r="N749" i="14"/>
  <c r="J749" i="14"/>
  <c r="P749" i="14" s="1"/>
  <c r="N748" i="14"/>
  <c r="J748" i="14"/>
  <c r="P748" i="14" s="1"/>
  <c r="N747" i="14"/>
  <c r="J747" i="14"/>
  <c r="P747" i="14" s="1"/>
  <c r="N746" i="14"/>
  <c r="J746" i="14"/>
  <c r="P746" i="14" s="1"/>
  <c r="N745" i="14"/>
  <c r="J745" i="14"/>
  <c r="P745" i="14" s="1"/>
  <c r="N744" i="14"/>
  <c r="J744" i="14"/>
  <c r="P744" i="14" s="1"/>
  <c r="N743" i="14"/>
  <c r="J743" i="14"/>
  <c r="P743" i="14" s="1"/>
  <c r="N742" i="14"/>
  <c r="J742" i="14"/>
  <c r="P742" i="14" s="1"/>
  <c r="N741" i="14"/>
  <c r="J741" i="14"/>
  <c r="P741" i="14" s="1"/>
  <c r="N740" i="14"/>
  <c r="J740" i="14"/>
  <c r="P740" i="14" s="1"/>
  <c r="N739" i="14"/>
  <c r="J739" i="14"/>
  <c r="P739" i="14" s="1"/>
  <c r="N738" i="14"/>
  <c r="J738" i="14"/>
  <c r="P738" i="14" s="1"/>
  <c r="N737" i="14"/>
  <c r="J737" i="14"/>
  <c r="P737" i="14" s="1"/>
  <c r="N736" i="14"/>
  <c r="J736" i="14"/>
  <c r="P736" i="14" s="1"/>
  <c r="N735" i="14"/>
  <c r="J735" i="14"/>
  <c r="P735" i="14" s="1"/>
  <c r="N734" i="14"/>
  <c r="J734" i="14"/>
  <c r="P734" i="14" s="1"/>
  <c r="N733" i="14"/>
  <c r="J733" i="14"/>
  <c r="P733" i="14" s="1"/>
  <c r="N732" i="14"/>
  <c r="J732" i="14"/>
  <c r="P732" i="14" s="1"/>
  <c r="N731" i="14"/>
  <c r="J731" i="14"/>
  <c r="P731" i="14" s="1"/>
  <c r="N730" i="14"/>
  <c r="J730" i="14"/>
  <c r="P730" i="14" s="1"/>
  <c r="N729" i="14"/>
  <c r="J729" i="14"/>
  <c r="P729" i="14" s="1"/>
  <c r="N728" i="14"/>
  <c r="J728" i="14"/>
  <c r="P728" i="14" s="1"/>
  <c r="N727" i="14"/>
  <c r="J727" i="14"/>
  <c r="P727" i="14" s="1"/>
  <c r="N726" i="14"/>
  <c r="J726" i="14"/>
  <c r="P726" i="14" s="1"/>
  <c r="N725" i="14"/>
  <c r="J725" i="14"/>
  <c r="P725" i="14" s="1"/>
  <c r="N724" i="14"/>
  <c r="J724" i="14"/>
  <c r="P724" i="14" s="1"/>
  <c r="N723" i="14"/>
  <c r="J723" i="14"/>
  <c r="P723" i="14" s="1"/>
  <c r="N722" i="14"/>
  <c r="J722" i="14"/>
  <c r="P722" i="14" s="1"/>
  <c r="N721" i="14"/>
  <c r="J721" i="14"/>
  <c r="P721" i="14" s="1"/>
  <c r="N720" i="14"/>
  <c r="J720" i="14"/>
  <c r="P720" i="14" s="1"/>
  <c r="N719" i="14"/>
  <c r="J719" i="14"/>
  <c r="P719" i="14" s="1"/>
  <c r="N718" i="14"/>
  <c r="J718" i="14"/>
  <c r="P718" i="14" s="1"/>
  <c r="N717" i="14"/>
  <c r="J717" i="14"/>
  <c r="P717" i="14" s="1"/>
  <c r="N716" i="14"/>
  <c r="J716" i="14"/>
  <c r="P716" i="14" s="1"/>
  <c r="N715" i="14"/>
  <c r="J715" i="14"/>
  <c r="P715" i="14" s="1"/>
  <c r="N714" i="14"/>
  <c r="J714" i="14"/>
  <c r="P714" i="14" s="1"/>
  <c r="N713" i="14"/>
  <c r="J713" i="14"/>
  <c r="P713" i="14" s="1"/>
  <c r="N712" i="14"/>
  <c r="J712" i="14"/>
  <c r="P712" i="14" s="1"/>
  <c r="N711" i="14"/>
  <c r="J711" i="14"/>
  <c r="P711" i="14" s="1"/>
  <c r="N710" i="14"/>
  <c r="J710" i="14"/>
  <c r="P710" i="14" s="1"/>
  <c r="O709" i="14"/>
  <c r="N709" i="14"/>
  <c r="J709" i="14"/>
  <c r="P709" i="14" s="1"/>
  <c r="O708" i="14"/>
  <c r="N708" i="14"/>
  <c r="J708" i="14"/>
  <c r="P708" i="14" s="1"/>
  <c r="O707" i="14"/>
  <c r="N707" i="14"/>
  <c r="J707" i="14"/>
  <c r="P707" i="14" s="1"/>
  <c r="O706" i="14"/>
  <c r="N706" i="14"/>
  <c r="J706" i="14"/>
  <c r="P706" i="14" s="1"/>
  <c r="O705" i="14"/>
  <c r="N705" i="14"/>
  <c r="J705" i="14"/>
  <c r="P705" i="14" s="1"/>
  <c r="O704" i="14"/>
  <c r="N704" i="14"/>
  <c r="J704" i="14"/>
  <c r="P704" i="14" s="1"/>
  <c r="O703" i="14"/>
  <c r="N703" i="14"/>
  <c r="J703" i="14"/>
  <c r="P703" i="14" s="1"/>
  <c r="O702" i="14"/>
  <c r="N702" i="14"/>
  <c r="J702" i="14"/>
  <c r="P702" i="14" s="1"/>
  <c r="O701" i="14"/>
  <c r="N701" i="14"/>
  <c r="J701" i="14"/>
  <c r="P701" i="14" s="1"/>
  <c r="O700" i="14"/>
  <c r="N700" i="14"/>
  <c r="J700" i="14"/>
  <c r="P700" i="14" s="1"/>
  <c r="O699" i="14"/>
  <c r="N699" i="14"/>
  <c r="J699" i="14"/>
  <c r="P699" i="14" s="1"/>
  <c r="O698" i="14"/>
  <c r="N698" i="14"/>
  <c r="J698" i="14"/>
  <c r="P698" i="14" s="1"/>
  <c r="O697" i="14"/>
  <c r="N697" i="14"/>
  <c r="J697" i="14"/>
  <c r="P697" i="14" s="1"/>
  <c r="O696" i="14"/>
  <c r="N696" i="14"/>
  <c r="J696" i="14"/>
  <c r="P696" i="14" s="1"/>
  <c r="O695" i="14"/>
  <c r="N695" i="14"/>
  <c r="J695" i="14"/>
  <c r="P695" i="14" s="1"/>
  <c r="O694" i="14"/>
  <c r="N694" i="14"/>
  <c r="J694" i="14"/>
  <c r="P694" i="14" s="1"/>
  <c r="O693" i="14"/>
  <c r="N693" i="14"/>
  <c r="J693" i="14"/>
  <c r="P693" i="14" s="1"/>
  <c r="O692" i="14"/>
  <c r="N692" i="14"/>
  <c r="J692" i="14"/>
  <c r="P692" i="14" s="1"/>
  <c r="O691" i="14"/>
  <c r="N691" i="14"/>
  <c r="J691" i="14"/>
  <c r="P691" i="14" s="1"/>
  <c r="O690" i="14"/>
  <c r="N690" i="14"/>
  <c r="J690" i="14"/>
  <c r="P690" i="14" s="1"/>
  <c r="O689" i="14"/>
  <c r="N689" i="14"/>
  <c r="J689" i="14"/>
  <c r="P689" i="14" s="1"/>
  <c r="O688" i="14"/>
  <c r="N688" i="14"/>
  <c r="J688" i="14"/>
  <c r="P688" i="14" s="1"/>
  <c r="O687" i="14"/>
  <c r="N687" i="14"/>
  <c r="J687" i="14"/>
  <c r="P687" i="14" s="1"/>
  <c r="O686" i="14"/>
  <c r="N686" i="14"/>
  <c r="J686" i="14"/>
  <c r="P686" i="14" s="1"/>
  <c r="O685" i="14"/>
  <c r="N685" i="14"/>
  <c r="J685" i="14"/>
  <c r="P685" i="14" s="1"/>
  <c r="O684" i="14"/>
  <c r="N684" i="14"/>
  <c r="J684" i="14"/>
  <c r="P684" i="14" s="1"/>
  <c r="O683" i="14"/>
  <c r="N683" i="14"/>
  <c r="J683" i="14"/>
  <c r="P683" i="14" s="1"/>
  <c r="O682" i="14"/>
  <c r="N682" i="14"/>
  <c r="J682" i="14"/>
  <c r="P682" i="14" s="1"/>
  <c r="O681" i="14"/>
  <c r="N681" i="14"/>
  <c r="J681" i="14"/>
  <c r="P681" i="14" s="1"/>
  <c r="O680" i="14"/>
  <c r="N680" i="14"/>
  <c r="J680" i="14"/>
  <c r="P680" i="14" s="1"/>
  <c r="O679" i="14"/>
  <c r="N679" i="14"/>
  <c r="J679" i="14"/>
  <c r="P679" i="14" s="1"/>
  <c r="O678" i="14"/>
  <c r="N678" i="14"/>
  <c r="J678" i="14"/>
  <c r="P678" i="14" s="1"/>
  <c r="O677" i="14"/>
  <c r="N677" i="14"/>
  <c r="J677" i="14"/>
  <c r="P677" i="14" s="1"/>
  <c r="O676" i="14"/>
  <c r="N676" i="14"/>
  <c r="J676" i="14"/>
  <c r="P676" i="14" s="1"/>
  <c r="O675" i="14"/>
  <c r="N675" i="14"/>
  <c r="J675" i="14"/>
  <c r="P675" i="14" s="1"/>
  <c r="O674" i="14"/>
  <c r="N674" i="14"/>
  <c r="J674" i="14"/>
  <c r="P674" i="14" s="1"/>
  <c r="O673" i="14"/>
  <c r="N673" i="14"/>
  <c r="J673" i="14"/>
  <c r="P673" i="14" s="1"/>
  <c r="O672" i="14"/>
  <c r="N672" i="14"/>
  <c r="J672" i="14"/>
  <c r="P672" i="14" s="1"/>
  <c r="O671" i="14"/>
  <c r="N671" i="14"/>
  <c r="J671" i="14"/>
  <c r="P671" i="14" s="1"/>
  <c r="O670" i="14"/>
  <c r="N670" i="14"/>
  <c r="J670" i="14"/>
  <c r="P670" i="14" s="1"/>
  <c r="O669" i="14"/>
  <c r="N669" i="14"/>
  <c r="J669" i="14"/>
  <c r="P669" i="14" s="1"/>
  <c r="O668" i="14"/>
  <c r="N668" i="14"/>
  <c r="J668" i="14"/>
  <c r="P668" i="14" s="1"/>
  <c r="O667" i="14"/>
  <c r="N667" i="14"/>
  <c r="J667" i="14"/>
  <c r="P667" i="14" s="1"/>
  <c r="O666" i="14"/>
  <c r="N666" i="14"/>
  <c r="J666" i="14"/>
  <c r="P666" i="14" s="1"/>
  <c r="O665" i="14"/>
  <c r="N665" i="14"/>
  <c r="J665" i="14"/>
  <c r="P665" i="14" s="1"/>
  <c r="O664" i="14"/>
  <c r="N664" i="14"/>
  <c r="J664" i="14"/>
  <c r="P664" i="14" s="1"/>
  <c r="O663" i="14"/>
  <c r="N663" i="14"/>
  <c r="J663" i="14"/>
  <c r="P663" i="14" s="1"/>
  <c r="O662" i="14"/>
  <c r="N662" i="14"/>
  <c r="J662" i="14"/>
  <c r="P662" i="14" s="1"/>
  <c r="O661" i="14"/>
  <c r="N661" i="14"/>
  <c r="J661" i="14"/>
  <c r="P661" i="14" s="1"/>
  <c r="O660" i="14"/>
  <c r="N660" i="14"/>
  <c r="J660" i="14"/>
  <c r="P660" i="14" s="1"/>
  <c r="O659" i="14"/>
  <c r="N659" i="14"/>
  <c r="J659" i="14"/>
  <c r="P659" i="14" s="1"/>
  <c r="O658" i="14"/>
  <c r="N658" i="14"/>
  <c r="J658" i="14"/>
  <c r="P658" i="14" s="1"/>
  <c r="O657" i="14"/>
  <c r="N657" i="14"/>
  <c r="J657" i="14"/>
  <c r="P657" i="14" s="1"/>
  <c r="O656" i="14"/>
  <c r="N656" i="14"/>
  <c r="J656" i="14"/>
  <c r="P656" i="14" s="1"/>
  <c r="O655" i="14"/>
  <c r="N655" i="14"/>
  <c r="J655" i="14"/>
  <c r="P655" i="14" s="1"/>
  <c r="O654" i="14"/>
  <c r="N654" i="14"/>
  <c r="J654" i="14"/>
  <c r="P654" i="14" s="1"/>
  <c r="O653" i="14"/>
  <c r="N653" i="14"/>
  <c r="J653" i="14"/>
  <c r="P653" i="14" s="1"/>
  <c r="O652" i="14"/>
  <c r="N652" i="14"/>
  <c r="J652" i="14"/>
  <c r="P652" i="14" s="1"/>
  <c r="O651" i="14"/>
  <c r="N651" i="14"/>
  <c r="J651" i="14"/>
  <c r="P651" i="14" s="1"/>
  <c r="O650" i="14"/>
  <c r="N650" i="14"/>
  <c r="J650" i="14"/>
  <c r="P650" i="14" s="1"/>
  <c r="O649" i="14"/>
  <c r="N649" i="14"/>
  <c r="J649" i="14"/>
  <c r="P649" i="14" s="1"/>
  <c r="O648" i="14"/>
  <c r="N648" i="14"/>
  <c r="J648" i="14"/>
  <c r="P648" i="14" s="1"/>
  <c r="O647" i="14"/>
  <c r="N647" i="14"/>
  <c r="J647" i="14"/>
  <c r="P647" i="14" s="1"/>
  <c r="O646" i="14"/>
  <c r="N646" i="14"/>
  <c r="J646" i="14"/>
  <c r="P646" i="14" s="1"/>
  <c r="O645" i="14"/>
  <c r="N645" i="14"/>
  <c r="J645" i="14"/>
  <c r="P645" i="14" s="1"/>
  <c r="O644" i="14"/>
  <c r="N644" i="14"/>
  <c r="J644" i="14"/>
  <c r="P644" i="14" s="1"/>
  <c r="O643" i="14"/>
  <c r="N643" i="14"/>
  <c r="J643" i="14"/>
  <c r="P643" i="14" s="1"/>
  <c r="O642" i="14"/>
  <c r="N642" i="14"/>
  <c r="J642" i="14"/>
  <c r="P642" i="14" s="1"/>
  <c r="O641" i="14"/>
  <c r="N641" i="14"/>
  <c r="J641" i="14"/>
  <c r="P641" i="14" s="1"/>
  <c r="O640" i="14"/>
  <c r="N640" i="14"/>
  <c r="J640" i="14"/>
  <c r="P640" i="14" s="1"/>
  <c r="O639" i="14"/>
  <c r="N639" i="14"/>
  <c r="J639" i="14"/>
  <c r="P639" i="14" s="1"/>
  <c r="O638" i="14"/>
  <c r="N638" i="14"/>
  <c r="J638" i="14"/>
  <c r="P638" i="14" s="1"/>
  <c r="O637" i="14"/>
  <c r="N637" i="14"/>
  <c r="J637" i="14"/>
  <c r="P637" i="14" s="1"/>
  <c r="O636" i="14"/>
  <c r="N636" i="14"/>
  <c r="J636" i="14"/>
  <c r="P636" i="14" s="1"/>
  <c r="O635" i="14"/>
  <c r="N635" i="14"/>
  <c r="J635" i="14"/>
  <c r="P635" i="14" s="1"/>
  <c r="O634" i="14"/>
  <c r="N634" i="14"/>
  <c r="J634" i="14"/>
  <c r="P634" i="14" s="1"/>
  <c r="O633" i="14"/>
  <c r="N633" i="14"/>
  <c r="J633" i="14"/>
  <c r="P633" i="14" s="1"/>
  <c r="O632" i="14"/>
  <c r="N632" i="14"/>
  <c r="J632" i="14"/>
  <c r="P632" i="14" s="1"/>
  <c r="O631" i="14"/>
  <c r="N631" i="14"/>
  <c r="J631" i="14"/>
  <c r="P631" i="14" s="1"/>
  <c r="O630" i="14"/>
  <c r="N630" i="14"/>
  <c r="J630" i="14"/>
  <c r="P630" i="14" s="1"/>
  <c r="O629" i="14"/>
  <c r="N629" i="14"/>
  <c r="J629" i="14"/>
  <c r="P629" i="14" s="1"/>
  <c r="O628" i="14"/>
  <c r="N628" i="14"/>
  <c r="J628" i="14"/>
  <c r="P628" i="14" s="1"/>
  <c r="O627" i="14"/>
  <c r="N627" i="14"/>
  <c r="J627" i="14"/>
  <c r="P627" i="14" s="1"/>
  <c r="O626" i="14"/>
  <c r="N626" i="14"/>
  <c r="J626" i="14"/>
  <c r="P626" i="14" s="1"/>
  <c r="O625" i="14"/>
  <c r="N625" i="14"/>
  <c r="J625" i="14"/>
  <c r="P625" i="14" s="1"/>
  <c r="O624" i="14"/>
  <c r="N624" i="14"/>
  <c r="J624" i="14"/>
  <c r="P624" i="14" s="1"/>
  <c r="O623" i="14"/>
  <c r="N623" i="14"/>
  <c r="J623" i="14"/>
  <c r="P623" i="14" s="1"/>
  <c r="O622" i="14"/>
  <c r="N622" i="14"/>
  <c r="J622" i="14"/>
  <c r="P622" i="14" s="1"/>
  <c r="O621" i="14"/>
  <c r="N621" i="14"/>
  <c r="J621" i="14"/>
  <c r="P621" i="14" s="1"/>
  <c r="O620" i="14"/>
  <c r="N620" i="14"/>
  <c r="J620" i="14"/>
  <c r="P620" i="14" s="1"/>
  <c r="O619" i="14"/>
  <c r="N619" i="14"/>
  <c r="J619" i="14"/>
  <c r="P619" i="14" s="1"/>
  <c r="O618" i="14"/>
  <c r="N618" i="14"/>
  <c r="J618" i="14"/>
  <c r="P618" i="14" s="1"/>
  <c r="O617" i="14"/>
  <c r="N617" i="14"/>
  <c r="J617" i="14"/>
  <c r="P617" i="14" s="1"/>
  <c r="O616" i="14"/>
  <c r="N616" i="14"/>
  <c r="J616" i="14"/>
  <c r="P616" i="14" s="1"/>
  <c r="O615" i="14"/>
  <c r="N615" i="14"/>
  <c r="J615" i="14"/>
  <c r="P615" i="14" s="1"/>
  <c r="O614" i="14"/>
  <c r="N614" i="14"/>
  <c r="J614" i="14"/>
  <c r="P614" i="14" s="1"/>
  <c r="O613" i="14"/>
  <c r="N613" i="14"/>
  <c r="J613" i="14"/>
  <c r="P613" i="14" s="1"/>
  <c r="O612" i="14"/>
  <c r="N612" i="14"/>
  <c r="J612" i="14"/>
  <c r="P612" i="14" s="1"/>
  <c r="O611" i="14"/>
  <c r="N611" i="14"/>
  <c r="J611" i="14"/>
  <c r="P611" i="14" s="1"/>
  <c r="O610" i="14"/>
  <c r="N610" i="14"/>
  <c r="J610" i="14"/>
  <c r="P610" i="14" s="1"/>
  <c r="O609" i="14"/>
  <c r="N609" i="14"/>
  <c r="J609" i="14"/>
  <c r="P609" i="14" s="1"/>
  <c r="O608" i="14"/>
  <c r="N608" i="14"/>
  <c r="J608" i="14"/>
  <c r="P608" i="14" s="1"/>
  <c r="O607" i="14"/>
  <c r="N607" i="14"/>
  <c r="J607" i="14"/>
  <c r="P607" i="14" s="1"/>
  <c r="O606" i="14"/>
  <c r="N606" i="14"/>
  <c r="J606" i="14"/>
  <c r="P606" i="14" s="1"/>
  <c r="O605" i="14"/>
  <c r="N605" i="14"/>
  <c r="J605" i="14"/>
  <c r="P605" i="14" s="1"/>
  <c r="O604" i="14"/>
  <c r="N604" i="14"/>
  <c r="J604" i="14"/>
  <c r="P604" i="14" s="1"/>
  <c r="O603" i="14"/>
  <c r="N603" i="14"/>
  <c r="J603" i="14"/>
  <c r="P603" i="14" s="1"/>
  <c r="O602" i="14"/>
  <c r="N602" i="14"/>
  <c r="J602" i="14"/>
  <c r="P602" i="14" s="1"/>
  <c r="O601" i="14"/>
  <c r="N601" i="14"/>
  <c r="J601" i="14"/>
  <c r="P601" i="14" s="1"/>
  <c r="O600" i="14"/>
  <c r="N600" i="14"/>
  <c r="J600" i="14"/>
  <c r="P600" i="14" s="1"/>
  <c r="O599" i="14"/>
  <c r="N599" i="14"/>
  <c r="J599" i="14"/>
  <c r="P599" i="14" s="1"/>
  <c r="O598" i="14"/>
  <c r="N598" i="14"/>
  <c r="J598" i="14"/>
  <c r="P598" i="14" s="1"/>
  <c r="O597" i="14"/>
  <c r="N597" i="14"/>
  <c r="J597" i="14"/>
  <c r="P597" i="14" s="1"/>
  <c r="O596" i="14"/>
  <c r="N596" i="14"/>
  <c r="J596" i="14"/>
  <c r="P596" i="14" s="1"/>
  <c r="O595" i="14"/>
  <c r="N595" i="14"/>
  <c r="J595" i="14"/>
  <c r="P595" i="14" s="1"/>
  <c r="O594" i="14"/>
  <c r="N594" i="14"/>
  <c r="J594" i="14"/>
  <c r="P594" i="14" s="1"/>
  <c r="O593" i="14"/>
  <c r="N593" i="14"/>
  <c r="J593" i="14"/>
  <c r="P593" i="14" s="1"/>
  <c r="O592" i="14"/>
  <c r="N592" i="14"/>
  <c r="J592" i="14"/>
  <c r="P592" i="14" s="1"/>
  <c r="O591" i="14"/>
  <c r="N591" i="14"/>
  <c r="J591" i="14"/>
  <c r="P591" i="14" s="1"/>
  <c r="O590" i="14"/>
  <c r="N590" i="14"/>
  <c r="J590" i="14"/>
  <c r="P590" i="14" s="1"/>
  <c r="O589" i="14"/>
  <c r="N589" i="14"/>
  <c r="J589" i="14"/>
  <c r="P589" i="14" s="1"/>
  <c r="O588" i="14"/>
  <c r="N588" i="14"/>
  <c r="J588" i="14"/>
  <c r="P588" i="14" s="1"/>
  <c r="O587" i="14"/>
  <c r="N587" i="14"/>
  <c r="J587" i="14"/>
  <c r="P587" i="14" s="1"/>
  <c r="O586" i="14"/>
  <c r="N586" i="14"/>
  <c r="J586" i="14"/>
  <c r="P586" i="14" s="1"/>
  <c r="O585" i="14"/>
  <c r="N585" i="14"/>
  <c r="J585" i="14"/>
  <c r="P585" i="14" s="1"/>
  <c r="O584" i="14"/>
  <c r="N584" i="14"/>
  <c r="J584" i="14"/>
  <c r="P584" i="14" s="1"/>
  <c r="O583" i="14"/>
  <c r="N583" i="14"/>
  <c r="J583" i="14"/>
  <c r="P583" i="14" s="1"/>
  <c r="O582" i="14"/>
  <c r="N582" i="14"/>
  <c r="J582" i="14"/>
  <c r="P582" i="14" s="1"/>
  <c r="O581" i="14"/>
  <c r="N581" i="14"/>
  <c r="J581" i="14"/>
  <c r="P581" i="14" s="1"/>
  <c r="O580" i="14"/>
  <c r="N580" i="14"/>
  <c r="J580" i="14"/>
  <c r="P580" i="14" s="1"/>
  <c r="O579" i="14"/>
  <c r="N579" i="14"/>
  <c r="J579" i="14"/>
  <c r="P579" i="14" s="1"/>
  <c r="O578" i="14"/>
  <c r="N578" i="14"/>
  <c r="J578" i="14"/>
  <c r="P578" i="14" s="1"/>
  <c r="O577" i="14"/>
  <c r="N577" i="14"/>
  <c r="J577" i="14"/>
  <c r="P577" i="14" s="1"/>
  <c r="O576" i="14"/>
  <c r="N576" i="14"/>
  <c r="J576" i="14"/>
  <c r="P576" i="14" s="1"/>
  <c r="O575" i="14"/>
  <c r="N575" i="14"/>
  <c r="J575" i="14"/>
  <c r="P575" i="14" s="1"/>
  <c r="O574" i="14"/>
  <c r="N574" i="14"/>
  <c r="J574" i="14"/>
  <c r="P574" i="14" s="1"/>
  <c r="O573" i="14"/>
  <c r="N573" i="14"/>
  <c r="J573" i="14"/>
  <c r="P573" i="14" s="1"/>
  <c r="O572" i="14"/>
  <c r="N572" i="14"/>
  <c r="J572" i="14"/>
  <c r="P572" i="14" s="1"/>
  <c r="O571" i="14"/>
  <c r="N571" i="14"/>
  <c r="J571" i="14"/>
  <c r="P571" i="14" s="1"/>
  <c r="O570" i="14"/>
  <c r="N570" i="14"/>
  <c r="J570" i="14"/>
  <c r="P570" i="14" s="1"/>
  <c r="O569" i="14"/>
  <c r="N569" i="14"/>
  <c r="J569" i="14"/>
  <c r="P569" i="14" s="1"/>
  <c r="O568" i="14"/>
  <c r="N568" i="14"/>
  <c r="J568" i="14"/>
  <c r="P568" i="14" s="1"/>
  <c r="O567" i="14"/>
  <c r="N567" i="14"/>
  <c r="J567" i="14"/>
  <c r="P567" i="14" s="1"/>
  <c r="O566" i="14"/>
  <c r="N566" i="14"/>
  <c r="J566" i="14"/>
  <c r="P566" i="14" s="1"/>
  <c r="O565" i="14"/>
  <c r="N565" i="14"/>
  <c r="J565" i="14"/>
  <c r="P565" i="14" s="1"/>
  <c r="O564" i="14"/>
  <c r="N564" i="14"/>
  <c r="J564" i="14"/>
  <c r="P564" i="14" s="1"/>
  <c r="O563" i="14"/>
  <c r="N563" i="14"/>
  <c r="J563" i="14"/>
  <c r="P563" i="14" s="1"/>
  <c r="O562" i="14"/>
  <c r="N562" i="14"/>
  <c r="J562" i="14"/>
  <c r="P562" i="14" s="1"/>
  <c r="O561" i="14"/>
  <c r="N561" i="14"/>
  <c r="J561" i="14"/>
  <c r="P561" i="14" s="1"/>
  <c r="O560" i="14"/>
  <c r="N560" i="14"/>
  <c r="J560" i="14"/>
  <c r="P560" i="14" s="1"/>
  <c r="O559" i="14"/>
  <c r="N559" i="14"/>
  <c r="J559" i="14"/>
  <c r="P559" i="14" s="1"/>
  <c r="O558" i="14"/>
  <c r="N558" i="14"/>
  <c r="J558" i="14"/>
  <c r="P558" i="14" s="1"/>
  <c r="O557" i="14"/>
  <c r="N557" i="14"/>
  <c r="J557" i="14"/>
  <c r="P557" i="14" s="1"/>
  <c r="O556" i="14"/>
  <c r="N556" i="14"/>
  <c r="J556" i="14"/>
  <c r="P556" i="14" s="1"/>
  <c r="O555" i="14"/>
  <c r="N555" i="14"/>
  <c r="J555" i="14"/>
  <c r="P555" i="14" s="1"/>
  <c r="O554" i="14"/>
  <c r="N554" i="14"/>
  <c r="J554" i="14"/>
  <c r="P554" i="14" s="1"/>
  <c r="O553" i="14"/>
  <c r="N553" i="14"/>
  <c r="J553" i="14"/>
  <c r="P553" i="14" s="1"/>
  <c r="O552" i="14"/>
  <c r="N552" i="14"/>
  <c r="J552" i="14"/>
  <c r="P552" i="14" s="1"/>
  <c r="O551" i="14"/>
  <c r="N551" i="14"/>
  <c r="J551" i="14"/>
  <c r="P551" i="14" s="1"/>
  <c r="O550" i="14"/>
  <c r="N550" i="14"/>
  <c r="J550" i="14"/>
  <c r="P550" i="14" s="1"/>
  <c r="O549" i="14"/>
  <c r="N549" i="14"/>
  <c r="J549" i="14"/>
  <c r="P549" i="14" s="1"/>
  <c r="O548" i="14"/>
  <c r="N548" i="14"/>
  <c r="J548" i="14"/>
  <c r="P548" i="14" s="1"/>
  <c r="O547" i="14"/>
  <c r="N547" i="14"/>
  <c r="J547" i="14"/>
  <c r="P547" i="14" s="1"/>
  <c r="O546" i="14"/>
  <c r="N546" i="14"/>
  <c r="J546" i="14"/>
  <c r="P546" i="14" s="1"/>
  <c r="O545" i="14"/>
  <c r="N545" i="14"/>
  <c r="J545" i="14"/>
  <c r="P545" i="14" s="1"/>
  <c r="O544" i="14"/>
  <c r="N544" i="14"/>
  <c r="J544" i="14"/>
  <c r="P544" i="14" s="1"/>
  <c r="O543" i="14"/>
  <c r="N543" i="14"/>
  <c r="J543" i="14"/>
  <c r="P543" i="14" s="1"/>
  <c r="O542" i="14"/>
  <c r="N542" i="14"/>
  <c r="J542" i="14"/>
  <c r="P542" i="14" s="1"/>
  <c r="O541" i="14"/>
  <c r="N541" i="14"/>
  <c r="J541" i="14"/>
  <c r="P541" i="14" s="1"/>
  <c r="O540" i="14"/>
  <c r="N540" i="14"/>
  <c r="J540" i="14"/>
  <c r="P540" i="14" s="1"/>
  <c r="O539" i="14"/>
  <c r="N539" i="14"/>
  <c r="J539" i="14"/>
  <c r="P539" i="14" s="1"/>
  <c r="O538" i="14"/>
  <c r="N538" i="14"/>
  <c r="J538" i="14"/>
  <c r="P538" i="14" s="1"/>
  <c r="O537" i="14"/>
  <c r="N537" i="14"/>
  <c r="J537" i="14"/>
  <c r="P537" i="14" s="1"/>
  <c r="O536" i="14"/>
  <c r="N536" i="14"/>
  <c r="J536" i="14"/>
  <c r="P536" i="14" s="1"/>
  <c r="O535" i="14"/>
  <c r="N535" i="14"/>
  <c r="J535" i="14"/>
  <c r="P535" i="14" s="1"/>
  <c r="O534" i="14"/>
  <c r="N534" i="14"/>
  <c r="J534" i="14"/>
  <c r="P534" i="14" s="1"/>
  <c r="O533" i="14"/>
  <c r="N533" i="14"/>
  <c r="J533" i="14"/>
  <c r="P533" i="14" s="1"/>
  <c r="O532" i="14"/>
  <c r="N532" i="14"/>
  <c r="J532" i="14"/>
  <c r="P532" i="14" s="1"/>
  <c r="O531" i="14"/>
  <c r="N531" i="14"/>
  <c r="J531" i="14"/>
  <c r="P531" i="14" s="1"/>
  <c r="O530" i="14"/>
  <c r="N530" i="14"/>
  <c r="J530" i="14"/>
  <c r="P530" i="14" s="1"/>
  <c r="O529" i="14"/>
  <c r="N529" i="14"/>
  <c r="J529" i="14"/>
  <c r="P529" i="14" s="1"/>
  <c r="O528" i="14"/>
  <c r="N528" i="14"/>
  <c r="J528" i="14"/>
  <c r="P528" i="14" s="1"/>
  <c r="O527" i="14"/>
  <c r="N527" i="14"/>
  <c r="J527" i="14"/>
  <c r="P527" i="14" s="1"/>
  <c r="O526" i="14"/>
  <c r="N526" i="14"/>
  <c r="J526" i="14"/>
  <c r="P526" i="14" s="1"/>
  <c r="O525" i="14"/>
  <c r="N525" i="14"/>
  <c r="J525" i="14"/>
  <c r="P525" i="14" s="1"/>
  <c r="O524" i="14"/>
  <c r="N524" i="14"/>
  <c r="J524" i="14"/>
  <c r="P524" i="14" s="1"/>
  <c r="O523" i="14"/>
  <c r="N523" i="14"/>
  <c r="J523" i="14"/>
  <c r="P523" i="14" s="1"/>
  <c r="O522" i="14"/>
  <c r="N522" i="14"/>
  <c r="J522" i="14"/>
  <c r="P522" i="14" s="1"/>
  <c r="O521" i="14"/>
  <c r="N521" i="14"/>
  <c r="J521" i="14"/>
  <c r="P521" i="14" s="1"/>
  <c r="O520" i="14"/>
  <c r="N520" i="14"/>
  <c r="J520" i="14"/>
  <c r="P520" i="14" s="1"/>
  <c r="O519" i="14"/>
  <c r="N519" i="14"/>
  <c r="J519" i="14"/>
  <c r="P519" i="14" s="1"/>
  <c r="O518" i="14"/>
  <c r="N518" i="14"/>
  <c r="J518" i="14"/>
  <c r="P518" i="14" s="1"/>
  <c r="O517" i="14"/>
  <c r="N517" i="14"/>
  <c r="J517" i="14"/>
  <c r="P517" i="14" s="1"/>
  <c r="O516" i="14"/>
  <c r="N516" i="14"/>
  <c r="J516" i="14"/>
  <c r="P516" i="14" s="1"/>
  <c r="O515" i="14"/>
  <c r="N515" i="14"/>
  <c r="J515" i="14"/>
  <c r="P515" i="14" s="1"/>
  <c r="O514" i="14"/>
  <c r="N514" i="14"/>
  <c r="J514" i="14"/>
  <c r="P514" i="14" s="1"/>
  <c r="O513" i="14"/>
  <c r="N513" i="14"/>
  <c r="J513" i="14"/>
  <c r="P513" i="14" s="1"/>
  <c r="O512" i="14"/>
  <c r="N512" i="14"/>
  <c r="J512" i="14"/>
  <c r="P512" i="14" s="1"/>
  <c r="O511" i="14"/>
  <c r="N511" i="14"/>
  <c r="J511" i="14"/>
  <c r="P511" i="14" s="1"/>
  <c r="O510" i="14"/>
  <c r="N510" i="14"/>
  <c r="J510" i="14"/>
  <c r="P510" i="14" s="1"/>
  <c r="O509" i="14"/>
  <c r="N509" i="14"/>
  <c r="J509" i="14"/>
  <c r="P509" i="14" s="1"/>
  <c r="O508" i="14"/>
  <c r="N508" i="14"/>
  <c r="J508" i="14"/>
  <c r="P508" i="14" s="1"/>
  <c r="O507" i="14"/>
  <c r="N507" i="14"/>
  <c r="J507" i="14"/>
  <c r="P507" i="14" s="1"/>
  <c r="O506" i="14"/>
  <c r="N506" i="14"/>
  <c r="J506" i="14"/>
  <c r="P506" i="14" s="1"/>
  <c r="O505" i="14"/>
  <c r="N505" i="14"/>
  <c r="J505" i="14"/>
  <c r="P505" i="14" s="1"/>
  <c r="O504" i="14"/>
  <c r="N504" i="14"/>
  <c r="J504" i="14"/>
  <c r="P504" i="14" s="1"/>
  <c r="O503" i="14"/>
  <c r="N503" i="14"/>
  <c r="J503" i="14"/>
  <c r="P503" i="14" s="1"/>
  <c r="O502" i="14"/>
  <c r="N502" i="14"/>
  <c r="J502" i="14"/>
  <c r="P502" i="14" s="1"/>
  <c r="O501" i="14"/>
  <c r="N501" i="14"/>
  <c r="J501" i="14"/>
  <c r="P501" i="14" s="1"/>
  <c r="O500" i="14"/>
  <c r="N500" i="14"/>
  <c r="J500" i="14"/>
  <c r="P500" i="14" s="1"/>
  <c r="O499" i="14"/>
  <c r="N499" i="14"/>
  <c r="J499" i="14"/>
  <c r="P499" i="14" s="1"/>
  <c r="O498" i="14"/>
  <c r="N498" i="14"/>
  <c r="J498" i="14"/>
  <c r="P498" i="14" s="1"/>
  <c r="O497" i="14"/>
  <c r="N497" i="14"/>
  <c r="J497" i="14"/>
  <c r="P497" i="14" s="1"/>
  <c r="O496" i="14"/>
  <c r="N496" i="14"/>
  <c r="J496" i="14"/>
  <c r="P496" i="14" s="1"/>
  <c r="O495" i="14"/>
  <c r="N495" i="14"/>
  <c r="J495" i="14"/>
  <c r="P495" i="14" s="1"/>
  <c r="O494" i="14"/>
  <c r="N494" i="14"/>
  <c r="J494" i="14"/>
  <c r="P494" i="14" s="1"/>
  <c r="O493" i="14"/>
  <c r="N493" i="14"/>
  <c r="J493" i="14"/>
  <c r="P493" i="14" s="1"/>
  <c r="O492" i="14"/>
  <c r="N492" i="14"/>
  <c r="J492" i="14"/>
  <c r="P492" i="14" s="1"/>
  <c r="O491" i="14"/>
  <c r="N491" i="14"/>
  <c r="J491" i="14"/>
  <c r="P491" i="14" s="1"/>
  <c r="O490" i="14"/>
  <c r="N490" i="14"/>
  <c r="J490" i="14"/>
  <c r="P490" i="14" s="1"/>
  <c r="O489" i="14"/>
  <c r="N489" i="14"/>
  <c r="J489" i="14"/>
  <c r="P489" i="14" s="1"/>
  <c r="O488" i="14"/>
  <c r="N488" i="14"/>
  <c r="J488" i="14"/>
  <c r="P488" i="14" s="1"/>
  <c r="O487" i="14"/>
  <c r="N487" i="14"/>
  <c r="J487" i="14"/>
  <c r="P487" i="14" s="1"/>
  <c r="O486" i="14"/>
  <c r="N486" i="14"/>
  <c r="J486" i="14"/>
  <c r="P486" i="14" s="1"/>
  <c r="O485" i="14"/>
  <c r="N485" i="14"/>
  <c r="J485" i="14"/>
  <c r="P485" i="14" s="1"/>
  <c r="O484" i="14"/>
  <c r="N484" i="14"/>
  <c r="J484" i="14"/>
  <c r="P484" i="14" s="1"/>
  <c r="O483" i="14"/>
  <c r="N483" i="14"/>
  <c r="J483" i="14"/>
  <c r="P483" i="14" s="1"/>
  <c r="O482" i="14"/>
  <c r="N482" i="14"/>
  <c r="J482" i="14"/>
  <c r="P482" i="14" s="1"/>
  <c r="O481" i="14"/>
  <c r="N481" i="14"/>
  <c r="J481" i="14"/>
  <c r="P481" i="14" s="1"/>
  <c r="O480" i="14"/>
  <c r="N480" i="14"/>
  <c r="J480" i="14"/>
  <c r="P480" i="14" s="1"/>
  <c r="O479" i="14"/>
  <c r="N479" i="14"/>
  <c r="J479" i="14"/>
  <c r="P479" i="14" s="1"/>
  <c r="O478" i="14"/>
  <c r="N478" i="14"/>
  <c r="J478" i="14"/>
  <c r="P478" i="14" s="1"/>
  <c r="O477" i="14"/>
  <c r="N477" i="14"/>
  <c r="J477" i="14"/>
  <c r="P477" i="14" s="1"/>
  <c r="O476" i="14"/>
  <c r="N476" i="14"/>
  <c r="J476" i="14"/>
  <c r="P476" i="14" s="1"/>
  <c r="O475" i="14"/>
  <c r="N475" i="14"/>
  <c r="J475" i="14"/>
  <c r="P475" i="14" s="1"/>
  <c r="O474" i="14"/>
  <c r="N474" i="14"/>
  <c r="J474" i="14"/>
  <c r="P474" i="14" s="1"/>
  <c r="N473" i="14"/>
  <c r="J473" i="14"/>
  <c r="O473" i="14" s="1"/>
  <c r="N472" i="14"/>
  <c r="J472" i="14"/>
  <c r="O472" i="14" s="1"/>
  <c r="N471" i="14"/>
  <c r="J471" i="14"/>
  <c r="O471" i="14" s="1"/>
  <c r="N470" i="14"/>
  <c r="J470" i="14"/>
  <c r="O470" i="14" s="1"/>
  <c r="N469" i="14"/>
  <c r="J469" i="14"/>
  <c r="O469" i="14" s="1"/>
  <c r="N468" i="14"/>
  <c r="J468" i="14"/>
  <c r="O468" i="14" s="1"/>
  <c r="N467" i="14"/>
  <c r="J467" i="14"/>
  <c r="O467" i="14" s="1"/>
  <c r="N466" i="14"/>
  <c r="J466" i="14"/>
  <c r="O466" i="14" s="1"/>
  <c r="N465" i="14"/>
  <c r="J465" i="14"/>
  <c r="O465" i="14" s="1"/>
  <c r="N464" i="14"/>
  <c r="J464" i="14"/>
  <c r="O464" i="14" s="1"/>
  <c r="N463" i="14"/>
  <c r="J463" i="14"/>
  <c r="O463" i="14" s="1"/>
  <c r="N462" i="14"/>
  <c r="J462" i="14"/>
  <c r="O462" i="14" s="1"/>
  <c r="N461" i="14"/>
  <c r="J461" i="14"/>
  <c r="O461" i="14" s="1"/>
  <c r="N460" i="14"/>
  <c r="J460" i="14"/>
  <c r="O460" i="14" s="1"/>
  <c r="N459" i="14"/>
  <c r="J459" i="14"/>
  <c r="O459" i="14" s="1"/>
  <c r="N458" i="14"/>
  <c r="J458" i="14"/>
  <c r="O458" i="14" s="1"/>
  <c r="N457" i="14"/>
  <c r="J457" i="14"/>
  <c r="O457" i="14" s="1"/>
  <c r="N456" i="14"/>
  <c r="J456" i="14"/>
  <c r="O456" i="14" s="1"/>
  <c r="N455" i="14"/>
  <c r="J455" i="14"/>
  <c r="O455" i="14" s="1"/>
  <c r="N454" i="14"/>
  <c r="J454" i="14"/>
  <c r="O454" i="14" s="1"/>
  <c r="N453" i="14"/>
  <c r="J453" i="14"/>
  <c r="O453" i="14" s="1"/>
  <c r="N452" i="14"/>
  <c r="J452" i="14"/>
  <c r="O452" i="14" s="1"/>
  <c r="N451" i="14"/>
  <c r="J451" i="14"/>
  <c r="O451" i="14" s="1"/>
  <c r="N450" i="14"/>
  <c r="J450" i="14"/>
  <c r="O450" i="14" s="1"/>
  <c r="N449" i="14"/>
  <c r="J449" i="14"/>
  <c r="O449" i="14" s="1"/>
  <c r="N448" i="14"/>
  <c r="J448" i="14"/>
  <c r="O448" i="14" s="1"/>
  <c r="N447" i="14"/>
  <c r="J447" i="14"/>
  <c r="O447" i="14" s="1"/>
  <c r="N446" i="14"/>
  <c r="J446" i="14"/>
  <c r="O446" i="14" s="1"/>
  <c r="N445" i="14"/>
  <c r="J445" i="14"/>
  <c r="O445" i="14" s="1"/>
  <c r="N444" i="14"/>
  <c r="J444" i="14"/>
  <c r="O444" i="14" s="1"/>
  <c r="N443" i="14"/>
  <c r="J443" i="14"/>
  <c r="O443" i="14" s="1"/>
  <c r="N442" i="14"/>
  <c r="J442" i="14"/>
  <c r="O442" i="14" s="1"/>
  <c r="N441" i="14"/>
  <c r="J441" i="14"/>
  <c r="O441" i="14" s="1"/>
  <c r="N440" i="14"/>
  <c r="J440" i="14"/>
  <c r="O440" i="14" s="1"/>
  <c r="N439" i="14"/>
  <c r="J439" i="14"/>
  <c r="O439" i="14" s="1"/>
  <c r="N438" i="14"/>
  <c r="J438" i="14"/>
  <c r="O438" i="14" s="1"/>
  <c r="N437" i="14"/>
  <c r="J437" i="14"/>
  <c r="O437" i="14" s="1"/>
  <c r="N436" i="14"/>
  <c r="J436" i="14"/>
  <c r="O436" i="14" s="1"/>
  <c r="N435" i="14"/>
  <c r="J435" i="14"/>
  <c r="O435" i="14" s="1"/>
  <c r="N434" i="14"/>
  <c r="J434" i="14"/>
  <c r="O434" i="14" s="1"/>
  <c r="N433" i="14"/>
  <c r="J433" i="14"/>
  <c r="O433" i="14" s="1"/>
  <c r="N432" i="14"/>
  <c r="J432" i="14"/>
  <c r="O432" i="14" s="1"/>
  <c r="N431" i="14"/>
  <c r="J431" i="14"/>
  <c r="O431" i="14" s="1"/>
  <c r="N430" i="14"/>
  <c r="J430" i="14"/>
  <c r="O430" i="14" s="1"/>
  <c r="N429" i="14"/>
  <c r="J429" i="14"/>
  <c r="O429" i="14" s="1"/>
  <c r="N428" i="14"/>
  <c r="J428" i="14"/>
  <c r="O428" i="14" s="1"/>
  <c r="N427" i="14"/>
  <c r="J427" i="14"/>
  <c r="O427" i="14" s="1"/>
  <c r="N426" i="14"/>
  <c r="J426" i="14"/>
  <c r="O426" i="14" s="1"/>
  <c r="N425" i="14"/>
  <c r="J425" i="14"/>
  <c r="O425" i="14" s="1"/>
  <c r="N424" i="14"/>
  <c r="J424" i="14"/>
  <c r="O424" i="14" s="1"/>
  <c r="N423" i="14"/>
  <c r="J423" i="14"/>
  <c r="O423" i="14" s="1"/>
  <c r="N422" i="14"/>
  <c r="J422" i="14"/>
  <c r="O422" i="14" s="1"/>
  <c r="N421" i="14"/>
  <c r="J421" i="14"/>
  <c r="O421" i="14" s="1"/>
  <c r="N420" i="14"/>
  <c r="J420" i="14"/>
  <c r="O420" i="14" s="1"/>
  <c r="N419" i="14"/>
  <c r="J419" i="14"/>
  <c r="O419" i="14" s="1"/>
  <c r="N418" i="14"/>
  <c r="J418" i="14"/>
  <c r="O418" i="14" s="1"/>
  <c r="N417" i="14"/>
  <c r="J417" i="14"/>
  <c r="O417" i="14" s="1"/>
  <c r="N416" i="14"/>
  <c r="J416" i="14"/>
  <c r="O416" i="14" s="1"/>
  <c r="N415" i="14"/>
  <c r="J415" i="14"/>
  <c r="O415" i="14" s="1"/>
  <c r="N414" i="14"/>
  <c r="J414" i="14"/>
  <c r="O414" i="14" s="1"/>
  <c r="N413" i="14"/>
  <c r="J413" i="14"/>
  <c r="O413" i="14" s="1"/>
  <c r="N412" i="14"/>
  <c r="J412" i="14"/>
  <c r="O412" i="14" s="1"/>
  <c r="N411" i="14"/>
  <c r="J411" i="14"/>
  <c r="O411" i="14" s="1"/>
  <c r="N410" i="14"/>
  <c r="J410" i="14"/>
  <c r="O410" i="14" s="1"/>
  <c r="N409" i="14"/>
  <c r="J409" i="14"/>
  <c r="O409" i="14" s="1"/>
  <c r="N408" i="14"/>
  <c r="J408" i="14"/>
  <c r="O408" i="14" s="1"/>
  <c r="N407" i="14"/>
  <c r="J407" i="14"/>
  <c r="O407" i="14" s="1"/>
  <c r="N406" i="14"/>
  <c r="J406" i="14"/>
  <c r="O406" i="14" s="1"/>
  <c r="N405" i="14"/>
  <c r="J405" i="14"/>
  <c r="O405" i="14" s="1"/>
  <c r="N404" i="14"/>
  <c r="J404" i="14"/>
  <c r="O404" i="14" s="1"/>
  <c r="N403" i="14"/>
  <c r="J403" i="14"/>
  <c r="O403" i="14" s="1"/>
  <c r="N402" i="14"/>
  <c r="J402" i="14"/>
  <c r="O402" i="14" s="1"/>
  <c r="N401" i="14"/>
  <c r="J401" i="14"/>
  <c r="O401" i="14" s="1"/>
  <c r="N400" i="14"/>
  <c r="J400" i="14"/>
  <c r="O400" i="14" s="1"/>
  <c r="N399" i="14"/>
  <c r="J399" i="14"/>
  <c r="O399" i="14" s="1"/>
  <c r="N398" i="14"/>
  <c r="J398" i="14"/>
  <c r="O398" i="14" s="1"/>
  <c r="N397" i="14"/>
  <c r="J397" i="14"/>
  <c r="O397" i="14" s="1"/>
  <c r="N396" i="14"/>
  <c r="J396" i="14"/>
  <c r="O396" i="14" s="1"/>
  <c r="N395" i="14"/>
  <c r="J395" i="14"/>
  <c r="O395" i="14" s="1"/>
  <c r="N394" i="14"/>
  <c r="J394" i="14"/>
  <c r="O394" i="14" s="1"/>
  <c r="N393" i="14"/>
  <c r="J393" i="14"/>
  <c r="O393" i="14" s="1"/>
  <c r="N392" i="14"/>
  <c r="J392" i="14"/>
  <c r="O392" i="14" s="1"/>
  <c r="N391" i="14"/>
  <c r="J391" i="14"/>
  <c r="O391" i="14" s="1"/>
  <c r="N390" i="14"/>
  <c r="J390" i="14"/>
  <c r="O390" i="14" s="1"/>
  <c r="N389" i="14"/>
  <c r="J389" i="14"/>
  <c r="O389" i="14" s="1"/>
  <c r="N388" i="14"/>
  <c r="J388" i="14"/>
  <c r="O388" i="14" s="1"/>
  <c r="N387" i="14"/>
  <c r="J387" i="14"/>
  <c r="O387" i="14" s="1"/>
  <c r="N386" i="14"/>
  <c r="J386" i="14"/>
  <c r="O386" i="14" s="1"/>
  <c r="N385" i="14"/>
  <c r="J385" i="14"/>
  <c r="O385" i="14" s="1"/>
  <c r="N384" i="14"/>
  <c r="J384" i="14"/>
  <c r="O384" i="14" s="1"/>
  <c r="N383" i="14"/>
  <c r="J383" i="14"/>
  <c r="O383" i="14" s="1"/>
  <c r="N382" i="14"/>
  <c r="J382" i="14"/>
  <c r="O382" i="14" s="1"/>
  <c r="N381" i="14"/>
  <c r="J381" i="14"/>
  <c r="O381" i="14" s="1"/>
  <c r="N380" i="14"/>
  <c r="J380" i="14"/>
  <c r="O380" i="14" s="1"/>
  <c r="N379" i="14"/>
  <c r="J379" i="14"/>
  <c r="O379" i="14" s="1"/>
  <c r="N378" i="14"/>
  <c r="J378" i="14"/>
  <c r="O378" i="14" s="1"/>
  <c r="N377" i="14"/>
  <c r="J377" i="14"/>
  <c r="O377" i="14" s="1"/>
  <c r="N376" i="14"/>
  <c r="J376" i="14"/>
  <c r="O376" i="14" s="1"/>
  <c r="N375" i="14"/>
  <c r="J375" i="14"/>
  <c r="O375" i="14" s="1"/>
  <c r="N374" i="14"/>
  <c r="J374" i="14"/>
  <c r="O374" i="14" s="1"/>
  <c r="N373" i="14"/>
  <c r="J373" i="14"/>
  <c r="O373" i="14" s="1"/>
  <c r="N372" i="14"/>
  <c r="J372" i="14"/>
  <c r="O372" i="14" s="1"/>
  <c r="N371" i="14"/>
  <c r="J371" i="14"/>
  <c r="O371" i="14" s="1"/>
  <c r="N370" i="14"/>
  <c r="J370" i="14"/>
  <c r="O370" i="14" s="1"/>
  <c r="N369" i="14"/>
  <c r="J369" i="14"/>
  <c r="O369" i="14" s="1"/>
  <c r="N368" i="14"/>
  <c r="J368" i="14"/>
  <c r="O368" i="14" s="1"/>
  <c r="N367" i="14"/>
  <c r="J367" i="14"/>
  <c r="O367" i="14" s="1"/>
  <c r="N366" i="14"/>
  <c r="J366" i="14"/>
  <c r="O366" i="14" s="1"/>
  <c r="N365" i="14"/>
  <c r="J365" i="14"/>
  <c r="O365" i="14" s="1"/>
  <c r="N364" i="14"/>
  <c r="J364" i="14"/>
  <c r="O364" i="14" s="1"/>
  <c r="N363" i="14"/>
  <c r="J363" i="14"/>
  <c r="O363" i="14" s="1"/>
  <c r="N362" i="14"/>
  <c r="J362" i="14"/>
  <c r="O362" i="14" s="1"/>
  <c r="N361" i="14"/>
  <c r="J361" i="14"/>
  <c r="O361" i="14" s="1"/>
  <c r="N360" i="14"/>
  <c r="J360" i="14"/>
  <c r="O360" i="14" s="1"/>
  <c r="N359" i="14"/>
  <c r="J359" i="14"/>
  <c r="O359" i="14" s="1"/>
  <c r="N358" i="14"/>
  <c r="J358" i="14"/>
  <c r="O358" i="14" s="1"/>
  <c r="N357" i="14"/>
  <c r="J357" i="14"/>
  <c r="O357" i="14" s="1"/>
  <c r="N356" i="14"/>
  <c r="J356" i="14"/>
  <c r="O356" i="14" s="1"/>
  <c r="N355" i="14"/>
  <c r="J355" i="14"/>
  <c r="O355" i="14" s="1"/>
  <c r="N354" i="14"/>
  <c r="J354" i="14"/>
  <c r="O354" i="14" s="1"/>
  <c r="N353" i="14"/>
  <c r="J353" i="14"/>
  <c r="O353" i="14" s="1"/>
  <c r="N352" i="14"/>
  <c r="J352" i="14"/>
  <c r="O352" i="14" s="1"/>
  <c r="N351" i="14"/>
  <c r="J351" i="14"/>
  <c r="O351" i="14" s="1"/>
  <c r="N350" i="14"/>
  <c r="J350" i="14"/>
  <c r="O350" i="14" s="1"/>
  <c r="N349" i="14"/>
  <c r="J349" i="14"/>
  <c r="O349" i="14" s="1"/>
  <c r="N348" i="14"/>
  <c r="J348" i="14"/>
  <c r="O348" i="14" s="1"/>
  <c r="N347" i="14"/>
  <c r="J347" i="14"/>
  <c r="O347" i="14" s="1"/>
  <c r="N346" i="14"/>
  <c r="J346" i="14"/>
  <c r="O346" i="14" s="1"/>
  <c r="N345" i="14"/>
  <c r="J345" i="14"/>
  <c r="O345" i="14" s="1"/>
  <c r="N344" i="14"/>
  <c r="J344" i="14"/>
  <c r="O344" i="14" s="1"/>
  <c r="N343" i="14"/>
  <c r="J343" i="14"/>
  <c r="O343" i="14" s="1"/>
  <c r="N342" i="14"/>
  <c r="J342" i="14"/>
  <c r="O342" i="14" s="1"/>
  <c r="N341" i="14"/>
  <c r="J341" i="14"/>
  <c r="O341" i="14" s="1"/>
  <c r="N340" i="14"/>
  <c r="J340" i="14"/>
  <c r="O340" i="14" s="1"/>
  <c r="N339" i="14"/>
  <c r="J339" i="14"/>
  <c r="O339" i="14" s="1"/>
  <c r="N338" i="14"/>
  <c r="J338" i="14"/>
  <c r="O338" i="14" s="1"/>
  <c r="N337" i="14"/>
  <c r="J337" i="14"/>
  <c r="O337" i="14" s="1"/>
  <c r="N336" i="14"/>
  <c r="J336" i="14"/>
  <c r="O336" i="14" s="1"/>
  <c r="N335" i="14"/>
  <c r="J335" i="14"/>
  <c r="O335" i="14" s="1"/>
  <c r="N334" i="14"/>
  <c r="J334" i="14"/>
  <c r="O334" i="14" s="1"/>
  <c r="N333" i="14"/>
  <c r="J333" i="14"/>
  <c r="O333" i="14" s="1"/>
  <c r="N332" i="14"/>
  <c r="J332" i="14"/>
  <c r="O332" i="14" s="1"/>
  <c r="N331" i="14"/>
  <c r="J331" i="14"/>
  <c r="O331" i="14" s="1"/>
  <c r="N330" i="14"/>
  <c r="J330" i="14"/>
  <c r="O330" i="14" s="1"/>
  <c r="N329" i="14"/>
  <c r="J329" i="14"/>
  <c r="O329" i="14" s="1"/>
  <c r="N328" i="14"/>
  <c r="J328" i="14"/>
  <c r="O328" i="14" s="1"/>
  <c r="N327" i="14"/>
  <c r="J327" i="14"/>
  <c r="O327" i="14" s="1"/>
  <c r="N326" i="14"/>
  <c r="J326" i="14"/>
  <c r="O326" i="14" s="1"/>
  <c r="N325" i="14"/>
  <c r="J325" i="14"/>
  <c r="O325" i="14" s="1"/>
  <c r="N324" i="14"/>
  <c r="J324" i="14"/>
  <c r="O324" i="14" s="1"/>
  <c r="N323" i="14"/>
  <c r="J323" i="14"/>
  <c r="O323" i="14" s="1"/>
  <c r="N322" i="14"/>
  <c r="J322" i="14"/>
  <c r="O322" i="14" s="1"/>
  <c r="N321" i="14"/>
  <c r="J321" i="14"/>
  <c r="O321" i="14" s="1"/>
  <c r="N320" i="14"/>
  <c r="J320" i="14"/>
  <c r="O320" i="14" s="1"/>
  <c r="N319" i="14"/>
  <c r="J319" i="14"/>
  <c r="O319" i="14" s="1"/>
  <c r="N318" i="14"/>
  <c r="J318" i="14"/>
  <c r="O318" i="14" s="1"/>
  <c r="N317" i="14"/>
  <c r="J317" i="14"/>
  <c r="O317" i="14" s="1"/>
  <c r="N316" i="14"/>
  <c r="J316" i="14"/>
  <c r="O316" i="14" s="1"/>
  <c r="N315" i="14"/>
  <c r="J315" i="14"/>
  <c r="O315" i="14" s="1"/>
  <c r="N314" i="14"/>
  <c r="J314" i="14"/>
  <c r="O314" i="14" s="1"/>
  <c r="N313" i="14"/>
  <c r="J313" i="14"/>
  <c r="O313" i="14" s="1"/>
  <c r="N312" i="14"/>
  <c r="J312" i="14"/>
  <c r="O312" i="14" s="1"/>
  <c r="N311" i="14"/>
  <c r="J311" i="14"/>
  <c r="O311" i="14" s="1"/>
  <c r="N310" i="14"/>
  <c r="J310" i="14"/>
  <c r="O310" i="14" s="1"/>
  <c r="N309" i="14"/>
  <c r="J309" i="14"/>
  <c r="O309" i="14" s="1"/>
  <c r="N308" i="14"/>
  <c r="J308" i="14"/>
  <c r="O308" i="14" s="1"/>
  <c r="N307" i="14"/>
  <c r="J307" i="14"/>
  <c r="O307" i="14" s="1"/>
  <c r="N306" i="14"/>
  <c r="J306" i="14"/>
  <c r="O306" i="14" s="1"/>
  <c r="N305" i="14"/>
  <c r="J305" i="14"/>
  <c r="O305" i="14" s="1"/>
  <c r="N304" i="14"/>
  <c r="J304" i="14"/>
  <c r="O304" i="14" s="1"/>
  <c r="N303" i="14"/>
  <c r="J303" i="14"/>
  <c r="O303" i="14" s="1"/>
  <c r="N302" i="14"/>
  <c r="J302" i="14"/>
  <c r="O302" i="14" s="1"/>
  <c r="N301" i="14"/>
  <c r="J301" i="14"/>
  <c r="O301" i="14" s="1"/>
  <c r="N300" i="14"/>
  <c r="J300" i="14"/>
  <c r="O300" i="14" s="1"/>
  <c r="N299" i="14"/>
  <c r="J299" i="14"/>
  <c r="O299" i="14" s="1"/>
  <c r="N298" i="14"/>
  <c r="J298" i="14"/>
  <c r="O298" i="14" s="1"/>
  <c r="N297" i="14"/>
  <c r="J297" i="14"/>
  <c r="O297" i="14" s="1"/>
  <c r="N296" i="14"/>
  <c r="J296" i="14"/>
  <c r="O296" i="14" s="1"/>
  <c r="N295" i="14"/>
  <c r="J295" i="14"/>
  <c r="O295" i="14" s="1"/>
  <c r="N294" i="14"/>
  <c r="J294" i="14"/>
  <c r="O294" i="14" s="1"/>
  <c r="N293" i="14"/>
  <c r="J293" i="14"/>
  <c r="O293" i="14" s="1"/>
  <c r="N292" i="14"/>
  <c r="J292" i="14"/>
  <c r="O292" i="14" s="1"/>
  <c r="N291" i="14"/>
  <c r="J291" i="14"/>
  <c r="O291" i="14" s="1"/>
  <c r="N290" i="14"/>
  <c r="J290" i="14"/>
  <c r="O290" i="14" s="1"/>
  <c r="N289" i="14"/>
  <c r="J289" i="14"/>
  <c r="O289" i="14" s="1"/>
  <c r="N288" i="14"/>
  <c r="J288" i="14"/>
  <c r="O288" i="14" s="1"/>
  <c r="N287" i="14"/>
  <c r="J287" i="14"/>
  <c r="O287" i="14" s="1"/>
  <c r="N286" i="14"/>
  <c r="J286" i="14"/>
  <c r="O286" i="14" s="1"/>
  <c r="N285" i="14"/>
  <c r="J285" i="14"/>
  <c r="O285" i="14" s="1"/>
  <c r="N284" i="14"/>
  <c r="J284" i="14"/>
  <c r="O284" i="14" s="1"/>
  <c r="N283" i="14"/>
  <c r="J283" i="14"/>
  <c r="O283" i="14" s="1"/>
  <c r="N282" i="14"/>
  <c r="J282" i="14"/>
  <c r="O282" i="14" s="1"/>
  <c r="N281" i="14"/>
  <c r="J281" i="14"/>
  <c r="O281" i="14" s="1"/>
  <c r="N280" i="14"/>
  <c r="J280" i="14"/>
  <c r="O280" i="14" s="1"/>
  <c r="N279" i="14"/>
  <c r="J279" i="14"/>
  <c r="O279" i="14" s="1"/>
  <c r="N278" i="14"/>
  <c r="J278" i="14"/>
  <c r="O278" i="14" s="1"/>
  <c r="N277" i="14"/>
  <c r="J277" i="14"/>
  <c r="O277" i="14" s="1"/>
  <c r="N276" i="14"/>
  <c r="J276" i="14"/>
  <c r="O276" i="14" s="1"/>
  <c r="N275" i="14"/>
  <c r="J275" i="14"/>
  <c r="O275" i="14" s="1"/>
  <c r="N274" i="14"/>
  <c r="J274" i="14"/>
  <c r="O274" i="14" s="1"/>
  <c r="N273" i="14"/>
  <c r="J273" i="14"/>
  <c r="O273" i="14" s="1"/>
  <c r="N272" i="14"/>
  <c r="J272" i="14"/>
  <c r="O272" i="14" s="1"/>
  <c r="N271" i="14"/>
  <c r="J271" i="14"/>
  <c r="O271" i="14" s="1"/>
  <c r="N270" i="14"/>
  <c r="J270" i="14"/>
  <c r="O270" i="14" s="1"/>
  <c r="N269" i="14"/>
  <c r="J269" i="14"/>
  <c r="O269" i="14" s="1"/>
  <c r="N268" i="14"/>
  <c r="J268" i="14"/>
  <c r="O268" i="14" s="1"/>
  <c r="N267" i="14"/>
  <c r="J267" i="14"/>
  <c r="O267" i="14" s="1"/>
  <c r="N266" i="14"/>
  <c r="J266" i="14"/>
  <c r="O266" i="14" s="1"/>
  <c r="N265" i="14"/>
  <c r="J265" i="14"/>
  <c r="O265" i="14" s="1"/>
  <c r="N264" i="14"/>
  <c r="J264" i="14"/>
  <c r="O264" i="14" s="1"/>
  <c r="N263" i="14"/>
  <c r="J263" i="14"/>
  <c r="O263" i="14" s="1"/>
  <c r="N262" i="14"/>
  <c r="J262" i="14"/>
  <c r="O262" i="14" s="1"/>
  <c r="N261" i="14"/>
  <c r="J261" i="14"/>
  <c r="O261" i="14" s="1"/>
  <c r="N260" i="14"/>
  <c r="J260" i="14"/>
  <c r="O260" i="14" s="1"/>
  <c r="N259" i="14"/>
  <c r="J259" i="14"/>
  <c r="O259" i="14" s="1"/>
  <c r="N258" i="14"/>
  <c r="J258" i="14"/>
  <c r="O258" i="14" s="1"/>
  <c r="N257" i="14"/>
  <c r="J257" i="14"/>
  <c r="O257" i="14" s="1"/>
  <c r="N256" i="14"/>
  <c r="J256" i="14"/>
  <c r="O256" i="14" s="1"/>
  <c r="N255" i="14"/>
  <c r="J255" i="14"/>
  <c r="O255" i="14" s="1"/>
  <c r="N254" i="14"/>
  <c r="J254" i="14"/>
  <c r="O254" i="14" s="1"/>
  <c r="N253" i="14"/>
  <c r="J253" i="14"/>
  <c r="O253" i="14" s="1"/>
  <c r="N252" i="14"/>
  <c r="J252" i="14"/>
  <c r="O252" i="14" s="1"/>
  <c r="N251" i="14"/>
  <c r="J251" i="14"/>
  <c r="O251" i="14" s="1"/>
  <c r="N250" i="14"/>
  <c r="J250" i="14"/>
  <c r="O250" i="14" s="1"/>
  <c r="N249" i="14"/>
  <c r="J249" i="14"/>
  <c r="O249" i="14" s="1"/>
  <c r="N248" i="14"/>
  <c r="J248" i="14"/>
  <c r="O248" i="14" s="1"/>
  <c r="N247" i="14"/>
  <c r="J247" i="14"/>
  <c r="O247" i="14" s="1"/>
  <c r="N246" i="14"/>
  <c r="J246" i="14"/>
  <c r="O246" i="14" s="1"/>
  <c r="N245" i="14"/>
  <c r="J245" i="14"/>
  <c r="O245" i="14" s="1"/>
  <c r="N244" i="14"/>
  <c r="J244" i="14"/>
  <c r="O244" i="14" s="1"/>
  <c r="N243" i="14"/>
  <c r="J243" i="14"/>
  <c r="O243" i="14" s="1"/>
  <c r="N242" i="14"/>
  <c r="J242" i="14"/>
  <c r="O242" i="14" s="1"/>
  <c r="N241" i="14"/>
  <c r="J241" i="14"/>
  <c r="O241" i="14" s="1"/>
  <c r="N240" i="14"/>
  <c r="J240" i="14"/>
  <c r="O240" i="14" s="1"/>
  <c r="N239" i="14"/>
  <c r="J239" i="14"/>
  <c r="O239" i="14" s="1"/>
  <c r="N238" i="14"/>
  <c r="J238" i="14"/>
  <c r="O238" i="14" s="1"/>
  <c r="N237" i="14"/>
  <c r="J237" i="14"/>
  <c r="N236" i="14"/>
  <c r="J236" i="14"/>
  <c r="N235" i="14"/>
  <c r="J235" i="14"/>
  <c r="N234" i="14"/>
  <c r="J234" i="14"/>
  <c r="N233" i="14"/>
  <c r="J233" i="14"/>
  <c r="N232" i="14"/>
  <c r="J232" i="14"/>
  <c r="N231" i="14"/>
  <c r="J231" i="14"/>
  <c r="N230" i="14"/>
  <c r="J230" i="14"/>
  <c r="N229" i="14"/>
  <c r="J229" i="14"/>
  <c r="N228" i="14"/>
  <c r="J228" i="14"/>
  <c r="N227" i="14"/>
  <c r="J227" i="14"/>
  <c r="N226" i="14"/>
  <c r="J226" i="14"/>
  <c r="N225" i="14"/>
  <c r="J225" i="14"/>
  <c r="N224" i="14"/>
  <c r="J224" i="14"/>
  <c r="N223" i="14"/>
  <c r="J223" i="14"/>
  <c r="N222" i="14"/>
  <c r="J222" i="14"/>
  <c r="N221" i="14"/>
  <c r="J221" i="14"/>
  <c r="N220" i="14"/>
  <c r="J220" i="14"/>
  <c r="N219" i="14"/>
  <c r="J219" i="14"/>
  <c r="N218" i="14"/>
  <c r="J218" i="14"/>
  <c r="N217" i="14"/>
  <c r="J217" i="14"/>
  <c r="N216" i="14"/>
  <c r="J216" i="14"/>
  <c r="N215" i="14"/>
  <c r="J215" i="14"/>
  <c r="N214" i="14"/>
  <c r="J214" i="14"/>
  <c r="N213" i="14"/>
  <c r="J213" i="14"/>
  <c r="N212" i="14"/>
  <c r="J212" i="14"/>
  <c r="N211" i="14"/>
  <c r="J211" i="14"/>
  <c r="N210" i="14"/>
  <c r="J210" i="14"/>
  <c r="N209" i="14"/>
  <c r="J209" i="14"/>
  <c r="N208" i="14"/>
  <c r="J208" i="14"/>
  <c r="N207" i="14"/>
  <c r="J207" i="14"/>
  <c r="N206" i="14"/>
  <c r="J206" i="14"/>
  <c r="N205" i="14"/>
  <c r="J205" i="14"/>
  <c r="N204" i="14"/>
  <c r="J204" i="14"/>
  <c r="N203" i="14"/>
  <c r="J203" i="14"/>
  <c r="N202" i="14"/>
  <c r="J202" i="14"/>
  <c r="N201" i="14"/>
  <c r="J201" i="14"/>
  <c r="N200" i="14"/>
  <c r="J200" i="14"/>
  <c r="N199" i="14"/>
  <c r="J199" i="14"/>
  <c r="N198" i="14"/>
  <c r="J198" i="14"/>
  <c r="N197" i="14"/>
  <c r="J197" i="14"/>
  <c r="N196" i="14"/>
  <c r="J196" i="14"/>
  <c r="N195" i="14"/>
  <c r="J195" i="14"/>
  <c r="N194" i="14"/>
  <c r="J194" i="14"/>
  <c r="N193" i="14"/>
  <c r="J193" i="14"/>
  <c r="N192" i="14"/>
  <c r="J192" i="14"/>
  <c r="N191" i="14"/>
  <c r="J191" i="14"/>
  <c r="N190" i="14"/>
  <c r="J190" i="14"/>
  <c r="N189" i="14"/>
  <c r="J189" i="14"/>
  <c r="N188" i="14"/>
  <c r="J188" i="14"/>
  <c r="N187" i="14"/>
  <c r="J187" i="14"/>
  <c r="N186" i="14"/>
  <c r="J186" i="14"/>
  <c r="N185" i="14"/>
  <c r="J185" i="14"/>
  <c r="N184" i="14"/>
  <c r="J184" i="14"/>
  <c r="N183" i="14"/>
  <c r="J183" i="14"/>
  <c r="N182" i="14"/>
  <c r="J182" i="14"/>
  <c r="N181" i="14"/>
  <c r="J181" i="14"/>
  <c r="N180" i="14"/>
  <c r="J180" i="14"/>
  <c r="N179" i="14"/>
  <c r="J179" i="14"/>
  <c r="N178" i="14"/>
  <c r="J178" i="14"/>
  <c r="N177" i="14"/>
  <c r="J177" i="14"/>
  <c r="N176" i="14"/>
  <c r="J176" i="14"/>
  <c r="N175" i="14"/>
  <c r="J175" i="14"/>
  <c r="N174" i="14"/>
  <c r="J174" i="14"/>
  <c r="N173" i="14"/>
  <c r="J173" i="14"/>
  <c r="N172" i="14"/>
  <c r="J172" i="14"/>
  <c r="N171" i="14"/>
  <c r="J171" i="14"/>
  <c r="N170" i="14"/>
  <c r="J170" i="14"/>
  <c r="N169" i="14"/>
  <c r="J169" i="14"/>
  <c r="N168" i="14"/>
  <c r="J168" i="14"/>
  <c r="N167" i="14"/>
  <c r="J167" i="14"/>
  <c r="N166" i="14"/>
  <c r="J166" i="14"/>
  <c r="N165" i="14"/>
  <c r="J165" i="14"/>
  <c r="N164" i="14"/>
  <c r="J164" i="14"/>
  <c r="N163" i="14"/>
  <c r="J163" i="14"/>
  <c r="N162" i="14"/>
  <c r="J162" i="14"/>
  <c r="N161" i="14"/>
  <c r="J161" i="14"/>
  <c r="N160" i="14"/>
  <c r="J160" i="14"/>
  <c r="N159" i="14"/>
  <c r="J159" i="14"/>
  <c r="N158" i="14"/>
  <c r="J158" i="14"/>
  <c r="N157" i="14"/>
  <c r="J157" i="14"/>
  <c r="N156" i="14"/>
  <c r="J156" i="14"/>
  <c r="N155" i="14"/>
  <c r="J155" i="14"/>
  <c r="N154" i="14"/>
  <c r="J154" i="14"/>
  <c r="N153" i="14"/>
  <c r="J153" i="14"/>
  <c r="N152" i="14"/>
  <c r="J152" i="14"/>
  <c r="N151" i="14"/>
  <c r="J151" i="14"/>
  <c r="N150" i="14"/>
  <c r="J150" i="14"/>
  <c r="N149" i="14"/>
  <c r="J149" i="14"/>
  <c r="N148" i="14"/>
  <c r="J148" i="14"/>
  <c r="N147" i="14"/>
  <c r="J147" i="14"/>
  <c r="N146" i="14"/>
  <c r="J146" i="14"/>
  <c r="N145" i="14"/>
  <c r="J145" i="14"/>
  <c r="N144" i="14"/>
  <c r="J144" i="14"/>
  <c r="N143" i="14"/>
  <c r="J143" i="14"/>
  <c r="N142" i="14"/>
  <c r="J142" i="14"/>
  <c r="N141" i="14"/>
  <c r="J141" i="14"/>
  <c r="N140" i="14"/>
  <c r="J140" i="14"/>
  <c r="N139" i="14"/>
  <c r="J139" i="14"/>
  <c r="N138" i="14"/>
  <c r="J138" i="14"/>
  <c r="N137" i="14"/>
  <c r="J137" i="14"/>
  <c r="N136" i="14"/>
  <c r="J136" i="14"/>
  <c r="N135" i="14"/>
  <c r="J135" i="14"/>
  <c r="N134" i="14"/>
  <c r="J134" i="14"/>
  <c r="N133" i="14"/>
  <c r="J133" i="14"/>
  <c r="N132" i="14"/>
  <c r="J132" i="14"/>
  <c r="N131" i="14"/>
  <c r="J131" i="14"/>
  <c r="N130" i="14"/>
  <c r="J130" i="14"/>
  <c r="N129" i="14"/>
  <c r="J129" i="14"/>
  <c r="N128" i="14"/>
  <c r="J128" i="14"/>
  <c r="N127" i="14"/>
  <c r="J127" i="14"/>
  <c r="N126" i="14"/>
  <c r="J126" i="14"/>
  <c r="N125" i="14"/>
  <c r="J125" i="14"/>
  <c r="N124" i="14"/>
  <c r="J124" i="14"/>
  <c r="N123" i="14"/>
  <c r="J123" i="14"/>
  <c r="N122" i="14"/>
  <c r="J122" i="14"/>
  <c r="N121" i="14"/>
  <c r="J121" i="14"/>
  <c r="N120" i="14"/>
  <c r="J120" i="14"/>
  <c r="N119" i="14"/>
  <c r="J119" i="14"/>
  <c r="N118" i="14"/>
  <c r="J118" i="14"/>
  <c r="N117" i="14"/>
  <c r="J117" i="14"/>
  <c r="N116" i="14"/>
  <c r="J116" i="14"/>
  <c r="N115" i="14"/>
  <c r="J115" i="14"/>
  <c r="N114" i="14"/>
  <c r="J114" i="14"/>
  <c r="N113" i="14"/>
  <c r="J113" i="14"/>
  <c r="N112" i="14"/>
  <c r="J112" i="14"/>
  <c r="N111" i="14"/>
  <c r="J111" i="14"/>
  <c r="N110" i="14"/>
  <c r="J110" i="14"/>
  <c r="N109" i="14"/>
  <c r="J109" i="14"/>
  <c r="N108" i="14"/>
  <c r="J108" i="14"/>
  <c r="N107" i="14"/>
  <c r="J107" i="14"/>
  <c r="N106" i="14"/>
  <c r="J106" i="14"/>
  <c r="N105" i="14"/>
  <c r="J105" i="14"/>
  <c r="N104" i="14"/>
  <c r="J104" i="14"/>
  <c r="N103" i="14"/>
  <c r="J103" i="14"/>
  <c r="N102" i="14"/>
  <c r="J102" i="14"/>
  <c r="N101" i="14"/>
  <c r="J101" i="14"/>
  <c r="N100" i="14"/>
  <c r="J100" i="14"/>
  <c r="N99" i="14"/>
  <c r="J99" i="14"/>
  <c r="N98" i="14"/>
  <c r="J98" i="14"/>
  <c r="N97" i="14"/>
  <c r="J97" i="14"/>
  <c r="N96" i="14"/>
  <c r="J96" i="14"/>
  <c r="N95" i="14"/>
  <c r="J95" i="14"/>
  <c r="N94" i="14"/>
  <c r="J94" i="14"/>
  <c r="N93" i="14"/>
  <c r="J93" i="14"/>
  <c r="N92" i="14"/>
  <c r="J92" i="14"/>
  <c r="N91" i="14"/>
  <c r="J91" i="14"/>
  <c r="N90" i="14"/>
  <c r="J90" i="14"/>
  <c r="N89" i="14"/>
  <c r="J89" i="14"/>
  <c r="N88" i="14"/>
  <c r="J88" i="14"/>
  <c r="N87" i="14"/>
  <c r="J87" i="14"/>
  <c r="N86" i="14"/>
  <c r="J86" i="14"/>
  <c r="N85" i="14"/>
  <c r="J85" i="14"/>
  <c r="N84" i="14"/>
  <c r="J84" i="14"/>
  <c r="N83" i="14"/>
  <c r="J83" i="14"/>
  <c r="N82" i="14"/>
  <c r="J82" i="14"/>
  <c r="N81" i="14"/>
  <c r="J81" i="14"/>
  <c r="N80" i="14"/>
  <c r="J80" i="14"/>
  <c r="N79" i="14"/>
  <c r="J79" i="14"/>
  <c r="N78" i="14"/>
  <c r="J78" i="14"/>
  <c r="N77" i="14"/>
  <c r="J77" i="14"/>
  <c r="N76" i="14"/>
  <c r="J76" i="14"/>
  <c r="N75" i="14"/>
  <c r="J75" i="14"/>
  <c r="N74" i="14"/>
  <c r="J74" i="14"/>
  <c r="N73" i="14"/>
  <c r="J73" i="14"/>
  <c r="N72" i="14"/>
  <c r="J72" i="14"/>
  <c r="N71" i="14"/>
  <c r="J71" i="14"/>
  <c r="N70" i="14"/>
  <c r="J70" i="14"/>
  <c r="N69" i="14"/>
  <c r="J69" i="14"/>
  <c r="N68" i="14"/>
  <c r="J68" i="14"/>
  <c r="N67" i="14"/>
  <c r="J67" i="14"/>
  <c r="N66" i="14"/>
  <c r="J66" i="14"/>
  <c r="N65" i="14"/>
  <c r="J65" i="14"/>
  <c r="N64" i="14"/>
  <c r="J64" i="14"/>
  <c r="N63" i="14"/>
  <c r="J63" i="14"/>
  <c r="N62" i="14"/>
  <c r="J62" i="14"/>
  <c r="N61" i="14"/>
  <c r="J61" i="14"/>
  <c r="N60" i="14"/>
  <c r="J60" i="14"/>
  <c r="N59" i="14"/>
  <c r="J59" i="14"/>
  <c r="N58" i="14"/>
  <c r="J58" i="14"/>
  <c r="N57" i="14"/>
  <c r="J57" i="14"/>
  <c r="N56" i="14"/>
  <c r="J56" i="14"/>
  <c r="N55" i="14"/>
  <c r="J55" i="14"/>
  <c r="N54" i="14"/>
  <c r="J54" i="14"/>
  <c r="N53" i="14"/>
  <c r="J53" i="14"/>
  <c r="N52" i="14"/>
  <c r="J52" i="14"/>
  <c r="N51" i="14"/>
  <c r="J51" i="14"/>
  <c r="N50" i="14"/>
  <c r="J50" i="14"/>
  <c r="N49" i="14"/>
  <c r="J49" i="14"/>
  <c r="N48" i="14"/>
  <c r="J48" i="14"/>
  <c r="N47" i="14"/>
  <c r="J47" i="14"/>
  <c r="N46" i="14"/>
  <c r="J46" i="14"/>
  <c r="N45" i="14"/>
  <c r="J45" i="14"/>
  <c r="N44" i="14"/>
  <c r="J44" i="14"/>
  <c r="N43" i="14"/>
  <c r="J43" i="14"/>
  <c r="N42" i="14"/>
  <c r="J42" i="14"/>
  <c r="N41" i="14"/>
  <c r="J41" i="14"/>
  <c r="N40" i="14"/>
  <c r="J40" i="14"/>
  <c r="N39" i="14"/>
  <c r="J39" i="14"/>
  <c r="N38" i="14"/>
  <c r="J38" i="14"/>
  <c r="N37" i="14"/>
  <c r="J37" i="14"/>
  <c r="N36" i="14"/>
  <c r="J36" i="14"/>
  <c r="N35" i="14"/>
  <c r="J35" i="14"/>
  <c r="N34" i="14"/>
  <c r="J34" i="14"/>
  <c r="N33" i="14"/>
  <c r="J33" i="14"/>
  <c r="N32" i="14"/>
  <c r="J32" i="14"/>
  <c r="N31" i="14"/>
  <c r="J31" i="14"/>
  <c r="N30" i="14"/>
  <c r="J30" i="14"/>
  <c r="N29" i="14"/>
  <c r="J29" i="14"/>
  <c r="N28" i="14"/>
  <c r="J28" i="14"/>
  <c r="N27" i="14"/>
  <c r="J27" i="14"/>
  <c r="N26" i="14"/>
  <c r="J26" i="14"/>
  <c r="N25" i="14"/>
  <c r="J25" i="14"/>
  <c r="N24" i="14"/>
  <c r="J24" i="14"/>
  <c r="N23" i="14"/>
  <c r="J23" i="14"/>
  <c r="N22" i="14"/>
  <c r="J22" i="14"/>
  <c r="N21" i="14"/>
  <c r="J21" i="14"/>
  <c r="N20" i="14"/>
  <c r="J20" i="14"/>
  <c r="N19" i="14"/>
  <c r="J19" i="14"/>
  <c r="N18" i="14"/>
  <c r="J18" i="14"/>
  <c r="N17" i="14"/>
  <c r="J17" i="14"/>
  <c r="N16" i="14"/>
  <c r="J16" i="14"/>
  <c r="N15" i="14"/>
  <c r="J15" i="14"/>
  <c r="N14" i="14"/>
  <c r="J14" i="14"/>
  <c r="N13" i="14"/>
  <c r="J13" i="14"/>
  <c r="N12" i="14"/>
  <c r="J12" i="14"/>
  <c r="N11" i="14"/>
  <c r="J11" i="14"/>
  <c r="N10" i="14"/>
  <c r="J10" i="14"/>
  <c r="N9" i="14"/>
  <c r="J9" i="14"/>
  <c r="N8" i="14"/>
  <c r="J8" i="14"/>
  <c r="N7" i="14"/>
  <c r="J7" i="14"/>
  <c r="N6" i="14"/>
  <c r="J6" i="14"/>
  <c r="N5" i="14"/>
  <c r="J5" i="14"/>
  <c r="N4" i="14"/>
  <c r="J4" i="14"/>
  <c r="N3" i="14"/>
  <c r="J3" i="14"/>
  <c r="N2" i="14"/>
  <c r="J2" i="14"/>
  <c r="P1143" i="14" l="1"/>
  <c r="P7" i="14"/>
  <c r="P17" i="14"/>
  <c r="P27" i="14"/>
  <c r="P37" i="14"/>
  <c r="P47" i="14"/>
  <c r="P57" i="14"/>
  <c r="P67" i="14"/>
  <c r="P77" i="14"/>
  <c r="P87" i="14"/>
  <c r="P97" i="14"/>
  <c r="P107" i="14"/>
  <c r="P117" i="14"/>
  <c r="P127" i="14"/>
  <c r="P137" i="14"/>
  <c r="P147" i="14"/>
  <c r="P157" i="14"/>
  <c r="P167" i="14"/>
  <c r="P177" i="14"/>
  <c r="P187" i="14"/>
  <c r="P197" i="14"/>
  <c r="P207" i="14"/>
  <c r="P227" i="14"/>
  <c r="P237" i="14"/>
  <c r="P949" i="14"/>
  <c r="P959" i="14"/>
  <c r="P969" i="14"/>
  <c r="P979" i="14"/>
  <c r="P989" i="14"/>
  <c r="P999" i="14"/>
  <c r="P1009" i="14"/>
  <c r="P1019" i="14"/>
  <c r="P1029" i="14"/>
  <c r="P1039" i="14"/>
  <c r="P1049" i="14"/>
  <c r="P1059" i="14"/>
  <c r="P1069" i="14"/>
  <c r="P1079" i="14"/>
  <c r="P1089" i="14"/>
  <c r="P1099" i="14"/>
  <c r="P1109" i="14"/>
  <c r="P1119" i="14"/>
  <c r="P1129" i="14"/>
  <c r="P1139" i="14"/>
  <c r="P1149" i="14"/>
  <c r="P1159" i="14"/>
  <c r="P1169" i="14"/>
  <c r="P44" i="14"/>
  <c r="P64" i="14"/>
  <c r="P114" i="14"/>
  <c r="P124" i="14"/>
  <c r="P224" i="14"/>
  <c r="P966" i="14"/>
  <c r="P1016" i="14"/>
  <c r="P1066" i="14"/>
  <c r="P1176" i="14"/>
  <c r="P2" i="14"/>
  <c r="P12" i="14"/>
  <c r="P22" i="14"/>
  <c r="P32" i="14"/>
  <c r="P42" i="14"/>
  <c r="P52" i="14"/>
  <c r="P62" i="14"/>
  <c r="P72" i="14"/>
  <c r="P82" i="14"/>
  <c r="P92" i="14"/>
  <c r="P102" i="14"/>
  <c r="P112" i="14"/>
  <c r="P122" i="14"/>
  <c r="P132" i="14"/>
  <c r="P142" i="14"/>
  <c r="P152" i="14"/>
  <c r="P162" i="14"/>
  <c r="P172" i="14"/>
  <c r="P182" i="14"/>
  <c r="P192" i="14"/>
  <c r="P202" i="14"/>
  <c r="P212" i="14"/>
  <c r="P222" i="14"/>
  <c r="P232" i="14"/>
  <c r="P954" i="14"/>
  <c r="P964" i="14"/>
  <c r="P974" i="14"/>
  <c r="P984" i="14"/>
  <c r="P994" i="14"/>
  <c r="P1004" i="14"/>
  <c r="P1014" i="14"/>
  <c r="P1024" i="14"/>
  <c r="P1034" i="14"/>
  <c r="P1044" i="14"/>
  <c r="P1054" i="14"/>
  <c r="P1064" i="14"/>
  <c r="P1074" i="14"/>
  <c r="P1084" i="14"/>
  <c r="P1094" i="14"/>
  <c r="P1104" i="14"/>
  <c r="P1114" i="14"/>
  <c r="P1124" i="14"/>
  <c r="P1134" i="14"/>
  <c r="P1144" i="14"/>
  <c r="P1154" i="14"/>
  <c r="P1164" i="14"/>
  <c r="P1174" i="14"/>
  <c r="P14" i="14"/>
  <c r="P204" i="14"/>
  <c r="P1027" i="14"/>
  <c r="P1037" i="14"/>
  <c r="P89" i="14"/>
  <c r="P109" i="14"/>
  <c r="P129" i="14"/>
  <c r="P149" i="14"/>
  <c r="P189" i="14"/>
  <c r="P981" i="14"/>
  <c r="P1061" i="14"/>
  <c r="P1081" i="14"/>
  <c r="P1179" i="14"/>
  <c r="P10" i="14"/>
  <c r="P20" i="14"/>
  <c r="P40" i="14"/>
  <c r="P60" i="14"/>
  <c r="P80" i="14"/>
  <c r="P90" i="14"/>
  <c r="P100" i="14"/>
  <c r="P120" i="14"/>
  <c r="P140" i="14"/>
  <c r="P160" i="14"/>
  <c r="P170" i="14"/>
  <c r="P180" i="14"/>
  <c r="P200" i="14"/>
  <c r="P220" i="14"/>
  <c r="P952" i="14"/>
  <c r="P962" i="14"/>
  <c r="P972" i="14"/>
  <c r="P982" i="14"/>
  <c r="P992" i="14"/>
  <c r="P1002" i="14"/>
  <c r="P1012" i="14"/>
  <c r="P1032" i="14"/>
  <c r="P1042" i="14"/>
  <c r="P1052" i="14"/>
  <c r="P1062" i="14"/>
  <c r="P1072" i="14"/>
  <c r="P1082" i="14"/>
  <c r="P1092" i="14"/>
  <c r="P1112" i="14"/>
  <c r="P1122" i="14"/>
  <c r="P1132" i="14"/>
  <c r="P1142" i="14"/>
  <c r="P1152" i="14"/>
  <c r="P1162" i="14"/>
  <c r="P1172" i="14"/>
  <c r="P171" i="14"/>
  <c r="P201" i="14"/>
  <c r="P1163" i="14"/>
  <c r="P211" i="14"/>
  <c r="P983" i="14"/>
  <c r="P1003" i="14"/>
  <c r="P1063" i="14"/>
  <c r="P1123" i="14"/>
  <c r="P9" i="14"/>
  <c r="P29" i="14"/>
  <c r="P49" i="14"/>
  <c r="P69" i="14"/>
  <c r="P169" i="14"/>
  <c r="P209" i="14"/>
  <c r="P229" i="14"/>
  <c r="P961" i="14"/>
  <c r="P1001" i="14"/>
  <c r="P1021" i="14"/>
  <c r="P1031" i="14"/>
  <c r="P1041" i="14"/>
  <c r="P1071" i="14"/>
  <c r="P1101" i="14"/>
  <c r="P1121" i="14"/>
  <c r="P1141" i="14"/>
  <c r="P1161" i="14"/>
  <c r="P3" i="14"/>
  <c r="P13" i="14"/>
  <c r="P43" i="14"/>
  <c r="P53" i="14"/>
  <c r="P83" i="14"/>
  <c r="P113" i="14"/>
  <c r="P123" i="14"/>
  <c r="P133" i="14"/>
  <c r="P153" i="14"/>
  <c r="P173" i="14"/>
  <c r="P183" i="14"/>
  <c r="P193" i="14"/>
  <c r="P223" i="14"/>
  <c r="P985" i="14"/>
  <c r="P1005" i="14"/>
  <c r="P1015" i="14"/>
  <c r="P1025" i="14"/>
  <c r="P1055" i="14"/>
  <c r="P1065" i="14"/>
  <c r="P1095" i="14"/>
  <c r="P1135" i="14"/>
  <c r="P1145" i="14"/>
  <c r="P1165" i="14"/>
  <c r="P8" i="14"/>
  <c r="P18" i="14"/>
  <c r="P28" i="14"/>
  <c r="P38" i="14"/>
  <c r="P48" i="14"/>
  <c r="P58" i="14"/>
  <c r="P68" i="14"/>
  <c r="P78" i="14"/>
  <c r="P88" i="14"/>
  <c r="P98" i="14"/>
  <c r="P108" i="14"/>
  <c r="P118" i="14"/>
  <c r="P128" i="14"/>
  <c r="P138" i="14"/>
  <c r="P148" i="14"/>
  <c r="P158" i="14"/>
  <c r="P168" i="14"/>
  <c r="P178" i="14"/>
  <c r="P188" i="14"/>
  <c r="P198" i="14"/>
  <c r="P208" i="14"/>
  <c r="P218" i="14"/>
  <c r="P228" i="14"/>
  <c r="P950" i="14"/>
  <c r="P960" i="14"/>
  <c r="P970" i="14"/>
  <c r="P980" i="14"/>
  <c r="P990" i="14"/>
  <c r="P1000" i="14"/>
  <c r="P1010" i="14"/>
  <c r="P1020" i="14"/>
  <c r="P1030" i="14"/>
  <c r="P1040" i="14"/>
  <c r="P1050" i="14"/>
  <c r="P1060" i="14"/>
  <c r="P1070" i="14"/>
  <c r="P1080" i="14"/>
  <c r="P1090" i="14"/>
  <c r="P1100" i="14"/>
  <c r="P1110" i="14"/>
  <c r="P1120" i="14"/>
  <c r="P1130" i="14"/>
  <c r="P1140" i="14"/>
  <c r="P1150" i="14"/>
  <c r="P1160" i="14"/>
  <c r="P1170" i="14"/>
  <c r="P23" i="14"/>
  <c r="P33" i="14"/>
  <c r="P63" i="14"/>
  <c r="P73" i="14"/>
  <c r="P93" i="14"/>
  <c r="P103" i="14"/>
  <c r="P143" i="14"/>
  <c r="P163" i="14"/>
  <c r="P213" i="14"/>
  <c r="P233" i="14"/>
  <c r="P955" i="14"/>
  <c r="P975" i="14"/>
  <c r="P1035" i="14"/>
  <c r="P1085" i="14"/>
  <c r="P1105" i="14"/>
  <c r="P1115" i="14"/>
  <c r="P1175" i="14"/>
  <c r="P6" i="14"/>
  <c r="P16" i="14"/>
  <c r="P26" i="14"/>
  <c r="P36" i="14"/>
  <c r="P46" i="14"/>
  <c r="P56" i="14"/>
  <c r="P66" i="14"/>
  <c r="P76" i="14"/>
  <c r="P86" i="14"/>
  <c r="P96" i="14"/>
  <c r="P106" i="14"/>
  <c r="P116" i="14"/>
  <c r="P126" i="14"/>
  <c r="P136" i="14"/>
  <c r="P146" i="14"/>
  <c r="P156" i="14"/>
  <c r="P166" i="14"/>
  <c r="P176" i="14"/>
  <c r="P186" i="14"/>
  <c r="P196" i="14"/>
  <c r="P206" i="14"/>
  <c r="P216" i="14"/>
  <c r="P226" i="14"/>
  <c r="P236" i="14"/>
  <c r="P948" i="14"/>
  <c r="P958" i="14"/>
  <c r="P968" i="14"/>
  <c r="P978" i="14"/>
  <c r="P988" i="14"/>
  <c r="P998" i="14"/>
  <c r="P1008" i="14"/>
  <c r="P1018" i="14"/>
  <c r="P1028" i="14"/>
  <c r="P1038" i="14"/>
  <c r="P1048" i="14"/>
  <c r="P1058" i="14"/>
  <c r="P1068" i="14"/>
  <c r="P1078" i="14"/>
  <c r="P1088" i="14"/>
  <c r="P1098" i="14"/>
  <c r="P1108" i="14"/>
  <c r="P1118" i="14"/>
  <c r="P1128" i="14"/>
  <c r="P1138" i="14"/>
  <c r="P1148" i="14"/>
  <c r="P1158" i="14"/>
  <c r="P1168" i="14"/>
  <c r="P1178" i="14"/>
  <c r="P11" i="14"/>
  <c r="P91" i="14"/>
  <c r="P963" i="14"/>
  <c r="P1043" i="14"/>
  <c r="P5" i="14"/>
  <c r="P15" i="14"/>
  <c r="P25" i="14"/>
  <c r="P35" i="14"/>
  <c r="P45" i="14"/>
  <c r="P55" i="14"/>
  <c r="P65" i="14"/>
  <c r="P75" i="14"/>
  <c r="P85" i="14"/>
  <c r="P95" i="14"/>
  <c r="P105" i="14"/>
  <c r="P115" i="14"/>
  <c r="P125" i="14"/>
  <c r="P135" i="14"/>
  <c r="P145" i="14"/>
  <c r="P155" i="14"/>
  <c r="P165" i="14"/>
  <c r="P175" i="14"/>
  <c r="P185" i="14"/>
  <c r="P195" i="14"/>
  <c r="P205" i="14"/>
  <c r="P215" i="14"/>
  <c r="P225" i="14"/>
  <c r="P235" i="14"/>
  <c r="P947" i="14"/>
  <c r="P957" i="14"/>
  <c r="P967" i="14"/>
  <c r="P977" i="14"/>
  <c r="P987" i="14"/>
  <c r="P997" i="14"/>
  <c r="P1007" i="14"/>
  <c r="P1017" i="14"/>
  <c r="P1047" i="14"/>
  <c r="P1057" i="14"/>
  <c r="P1067" i="14"/>
  <c r="P1077" i="14"/>
  <c r="P1087" i="14"/>
  <c r="P1097" i="14"/>
  <c r="P1107" i="14"/>
  <c r="P1117" i="14"/>
  <c r="P1127" i="14"/>
  <c r="P1137" i="14"/>
  <c r="P1147" i="14"/>
  <c r="P1157" i="14"/>
  <c r="P1167" i="14"/>
  <c r="P1177" i="14"/>
  <c r="P34" i="14"/>
  <c r="P217" i="14"/>
  <c r="P134" i="14"/>
  <c r="P214" i="14"/>
  <c r="P94" i="14"/>
  <c r="P144" i="14"/>
  <c r="P194" i="14"/>
  <c r="P956" i="14"/>
  <c r="P1136" i="14"/>
  <c r="P24" i="14"/>
  <c r="P4" i="14"/>
  <c r="P54" i="14"/>
  <c r="P84" i="14"/>
  <c r="P104" i="14"/>
  <c r="P164" i="14"/>
  <c r="P184" i="14"/>
  <c r="P234" i="14"/>
  <c r="P946" i="14"/>
  <c r="P976" i="14"/>
  <c r="P986" i="14"/>
  <c r="P1006" i="14"/>
  <c r="P1036" i="14"/>
  <c r="P1056" i="14"/>
  <c r="P1076" i="14"/>
  <c r="P1096" i="14"/>
  <c r="P1116" i="14"/>
  <c r="P1126" i="14"/>
  <c r="P1156" i="14"/>
  <c r="P1166" i="14"/>
  <c r="P74" i="14"/>
  <c r="P154" i="14"/>
  <c r="P174" i="14"/>
  <c r="P996" i="14"/>
  <c r="P1026" i="14"/>
  <c r="P1046" i="14"/>
  <c r="P1086" i="14"/>
  <c r="P1106" i="14"/>
  <c r="P1146" i="14"/>
  <c r="P203" i="14"/>
  <c r="P965" i="14"/>
  <c r="P995" i="14"/>
  <c r="P1045" i="14"/>
  <c r="P1075" i="14"/>
  <c r="P1125" i="14"/>
  <c r="P1155" i="14"/>
  <c r="P19" i="14"/>
  <c r="P39" i="14"/>
  <c r="P59" i="14"/>
  <c r="P79" i="14"/>
  <c r="P99" i="14"/>
  <c r="P119" i="14"/>
  <c r="P139" i="14"/>
  <c r="P159" i="14"/>
  <c r="P179" i="14"/>
  <c r="P199" i="14"/>
  <c r="P219" i="14"/>
  <c r="P951" i="14"/>
  <c r="P971" i="14"/>
  <c r="P991" i="14"/>
  <c r="P1011" i="14"/>
  <c r="P1051" i="14"/>
  <c r="P1091" i="14"/>
  <c r="P1111" i="14"/>
  <c r="P1131" i="14"/>
  <c r="P1151" i="14"/>
  <c r="P1171" i="14"/>
  <c r="P30" i="14"/>
  <c r="P50" i="14"/>
  <c r="P70" i="14"/>
  <c r="P110" i="14"/>
  <c r="P130" i="14"/>
  <c r="P150" i="14"/>
  <c r="P190" i="14"/>
  <c r="P210" i="14"/>
  <c r="P230" i="14"/>
  <c r="P1022" i="14"/>
  <c r="P1102" i="14"/>
  <c r="P21" i="14"/>
  <c r="P31" i="14"/>
  <c r="P41" i="14"/>
  <c r="P51" i="14"/>
  <c r="P61" i="14"/>
  <c r="P71" i="14"/>
  <c r="P81" i="14"/>
  <c r="P101" i="14"/>
  <c r="P111" i="14"/>
  <c r="P121" i="14"/>
  <c r="P131" i="14"/>
  <c r="P141" i="14"/>
  <c r="P151" i="14"/>
  <c r="P161" i="14"/>
  <c r="P181" i="14"/>
  <c r="P191" i="14"/>
  <c r="P221" i="14"/>
  <c r="P231" i="14"/>
  <c r="P953" i="14"/>
  <c r="P973" i="14"/>
  <c r="P993" i="14"/>
  <c r="P1013" i="14"/>
  <c r="P1023" i="14"/>
  <c r="P1033" i="14"/>
  <c r="P1053" i="14"/>
  <c r="P1073" i="14"/>
  <c r="P1093" i="14"/>
  <c r="P1103" i="14"/>
  <c r="P1113" i="14"/>
  <c r="P1133" i="14"/>
  <c r="P1153" i="14"/>
  <c r="P1173" i="14"/>
  <c r="P1181" i="14"/>
  <c r="P1180" i="14"/>
  <c r="O475" i="13"/>
  <c r="O476" i="13"/>
  <c r="O477" i="13"/>
  <c r="O478" i="13"/>
  <c r="O479" i="13"/>
  <c r="O480" i="13"/>
  <c r="O481" i="13"/>
  <c r="O482" i="13"/>
  <c r="O483" i="13"/>
  <c r="O484" i="13"/>
  <c r="O485" i="13"/>
  <c r="O486" i="13"/>
  <c r="O487" i="13"/>
  <c r="O488" i="13"/>
  <c r="O489" i="13"/>
  <c r="O490" i="13"/>
  <c r="O491" i="13"/>
  <c r="O492" i="13"/>
  <c r="O493" i="13"/>
  <c r="O494" i="13"/>
  <c r="O495" i="13"/>
  <c r="O496" i="13"/>
  <c r="O497" i="13"/>
  <c r="O498" i="13"/>
  <c r="O499" i="13"/>
  <c r="O500" i="13"/>
  <c r="O501" i="13"/>
  <c r="O502" i="13"/>
  <c r="O503" i="13"/>
  <c r="O504" i="13"/>
  <c r="O505" i="13"/>
  <c r="O506" i="13"/>
  <c r="O507" i="13"/>
  <c r="O508" i="13"/>
  <c r="O509" i="13"/>
  <c r="O510" i="13"/>
  <c r="O511" i="13"/>
  <c r="O512" i="13"/>
  <c r="O513" i="13"/>
  <c r="O514" i="13"/>
  <c r="O515" i="13"/>
  <c r="O516" i="13"/>
  <c r="O517" i="13"/>
  <c r="O518" i="13"/>
  <c r="O519" i="13"/>
  <c r="O520" i="13"/>
  <c r="O521" i="13"/>
  <c r="O522" i="13"/>
  <c r="O523" i="13"/>
  <c r="O524" i="13"/>
  <c r="O525" i="13"/>
  <c r="O526" i="13"/>
  <c r="O527" i="13"/>
  <c r="O528" i="13"/>
  <c r="O529" i="13"/>
  <c r="O530" i="13"/>
  <c r="O531" i="13"/>
  <c r="O532" i="13"/>
  <c r="O533" i="13"/>
  <c r="O534" i="13"/>
  <c r="O535" i="13"/>
  <c r="O536" i="13"/>
  <c r="O537" i="13"/>
  <c r="O538" i="13"/>
  <c r="O539" i="13"/>
  <c r="O540" i="13"/>
  <c r="O541" i="13"/>
  <c r="O542" i="13"/>
  <c r="O543" i="13"/>
  <c r="O544" i="13"/>
  <c r="O545" i="13"/>
  <c r="O546" i="13"/>
  <c r="O547" i="13"/>
  <c r="O548" i="13"/>
  <c r="O549" i="13"/>
  <c r="O550" i="13"/>
  <c r="O551" i="13"/>
  <c r="O552" i="13"/>
  <c r="O553" i="13"/>
  <c r="O554" i="13"/>
  <c r="O555" i="13"/>
  <c r="O556" i="13"/>
  <c r="O557" i="13"/>
  <c r="O558" i="13"/>
  <c r="O559" i="13"/>
  <c r="O560" i="13"/>
  <c r="O561" i="13"/>
  <c r="O562" i="13"/>
  <c r="O563" i="13"/>
  <c r="O564" i="13"/>
  <c r="O565" i="13"/>
  <c r="O566" i="13"/>
  <c r="O567" i="13"/>
  <c r="O568" i="13"/>
  <c r="O569" i="13"/>
  <c r="O570" i="13"/>
  <c r="O571" i="13"/>
  <c r="O572" i="13"/>
  <c r="O573" i="13"/>
  <c r="O574" i="13"/>
  <c r="O575" i="13"/>
  <c r="O576" i="13"/>
  <c r="O577" i="13"/>
  <c r="O578" i="13"/>
  <c r="O579" i="13"/>
  <c r="O580" i="13"/>
  <c r="O581" i="13"/>
  <c r="O582" i="13"/>
  <c r="O583" i="13"/>
  <c r="O584" i="13"/>
  <c r="O585" i="13"/>
  <c r="O586" i="13"/>
  <c r="O587" i="13"/>
  <c r="O588" i="13"/>
  <c r="O589" i="13"/>
  <c r="O590" i="13"/>
  <c r="O591" i="13"/>
  <c r="O592" i="13"/>
  <c r="O593" i="13"/>
  <c r="O594" i="13"/>
  <c r="O595" i="13"/>
  <c r="O596" i="13"/>
  <c r="O597" i="13"/>
  <c r="O598" i="13"/>
  <c r="O599" i="13"/>
  <c r="O600" i="13"/>
  <c r="O601" i="13"/>
  <c r="O602" i="13"/>
  <c r="O603" i="13"/>
  <c r="O604" i="13"/>
  <c r="O605" i="13"/>
  <c r="O606" i="13"/>
  <c r="O607" i="13"/>
  <c r="O608" i="13"/>
  <c r="O609" i="13"/>
  <c r="O610" i="13"/>
  <c r="O611" i="13"/>
  <c r="O612" i="13"/>
  <c r="O613" i="13"/>
  <c r="O614" i="13"/>
  <c r="O615" i="13"/>
  <c r="O616" i="13"/>
  <c r="O617" i="13"/>
  <c r="O618" i="13"/>
  <c r="O619" i="13"/>
  <c r="O620" i="13"/>
  <c r="O621" i="13"/>
  <c r="O622" i="13"/>
  <c r="O623" i="13"/>
  <c r="O624" i="13"/>
  <c r="O625" i="13"/>
  <c r="O626" i="13"/>
  <c r="O627" i="13"/>
  <c r="O628" i="13"/>
  <c r="O629" i="13"/>
  <c r="O630" i="13"/>
  <c r="O631" i="13"/>
  <c r="O632" i="13"/>
  <c r="O633" i="13"/>
  <c r="O634" i="13"/>
  <c r="O635" i="13"/>
  <c r="O636" i="13"/>
  <c r="O637" i="13"/>
  <c r="O638" i="13"/>
  <c r="O639" i="13"/>
  <c r="O640" i="13"/>
  <c r="O641" i="13"/>
  <c r="O642" i="13"/>
  <c r="O643" i="13"/>
  <c r="O644" i="13"/>
  <c r="O645" i="13"/>
  <c r="O646" i="13"/>
  <c r="O647" i="13"/>
  <c r="O648" i="13"/>
  <c r="O649" i="13"/>
  <c r="O650" i="13"/>
  <c r="O651" i="13"/>
  <c r="O652" i="13"/>
  <c r="O653" i="13"/>
  <c r="O654" i="13"/>
  <c r="O655" i="13"/>
  <c r="O656" i="13"/>
  <c r="O657" i="13"/>
  <c r="O658" i="13"/>
  <c r="O659" i="13"/>
  <c r="O660" i="13"/>
  <c r="O661" i="13"/>
  <c r="O662" i="13"/>
  <c r="O663" i="13"/>
  <c r="O664" i="13"/>
  <c r="O665" i="13"/>
  <c r="O666" i="13"/>
  <c r="O667" i="13"/>
  <c r="O668" i="13"/>
  <c r="O669" i="13"/>
  <c r="O670" i="13"/>
  <c r="O671" i="13"/>
  <c r="O672" i="13"/>
  <c r="O673" i="13"/>
  <c r="O674" i="13"/>
  <c r="O675" i="13"/>
  <c r="O676" i="13"/>
  <c r="O677" i="13"/>
  <c r="O678" i="13"/>
  <c r="O679" i="13"/>
  <c r="O680" i="13"/>
  <c r="O681" i="13"/>
  <c r="O682" i="13"/>
  <c r="O683" i="13"/>
  <c r="O684" i="13"/>
  <c r="O685" i="13"/>
  <c r="O686" i="13"/>
  <c r="O687" i="13"/>
  <c r="O688" i="13"/>
  <c r="O689" i="13"/>
  <c r="O690" i="13"/>
  <c r="O691" i="13"/>
  <c r="O692" i="13"/>
  <c r="O693" i="13"/>
  <c r="O694" i="13"/>
  <c r="O695" i="13"/>
  <c r="O696" i="13"/>
  <c r="O697" i="13"/>
  <c r="O698" i="13"/>
  <c r="O699" i="13"/>
  <c r="O700" i="13"/>
  <c r="O701" i="13"/>
  <c r="O702" i="13"/>
  <c r="O703" i="13"/>
  <c r="O704" i="13"/>
  <c r="O705" i="13"/>
  <c r="O706" i="13"/>
  <c r="O707" i="13"/>
  <c r="O708" i="13"/>
  <c r="O709" i="13"/>
  <c r="O474" i="13"/>
  <c r="N945" i="13"/>
  <c r="J945" i="13"/>
  <c r="N944" i="13"/>
  <c r="J944" i="13"/>
  <c r="N943" i="13"/>
  <c r="J943" i="13"/>
  <c r="N942" i="13"/>
  <c r="J942" i="13"/>
  <c r="N941" i="13"/>
  <c r="J941" i="13"/>
  <c r="N940" i="13"/>
  <c r="J940" i="13"/>
  <c r="N939" i="13"/>
  <c r="J939" i="13"/>
  <c r="N938" i="13"/>
  <c r="J938" i="13"/>
  <c r="N937" i="13"/>
  <c r="J937" i="13"/>
  <c r="N936" i="13"/>
  <c r="J936" i="13"/>
  <c r="N935" i="13"/>
  <c r="J935" i="13"/>
  <c r="N934" i="13"/>
  <c r="J934" i="13"/>
  <c r="N933" i="13"/>
  <c r="J933" i="13"/>
  <c r="N932" i="13"/>
  <c r="J932" i="13"/>
  <c r="N931" i="13"/>
  <c r="J931" i="13"/>
  <c r="N930" i="13"/>
  <c r="J930" i="13"/>
  <c r="N929" i="13"/>
  <c r="J929" i="13"/>
  <c r="N928" i="13"/>
  <c r="J928" i="13"/>
  <c r="N927" i="13"/>
  <c r="J927" i="13"/>
  <c r="N926" i="13"/>
  <c r="J926" i="13"/>
  <c r="N925" i="13"/>
  <c r="J925" i="13"/>
  <c r="N924" i="13"/>
  <c r="J924" i="13"/>
  <c r="N923" i="13"/>
  <c r="J923" i="13"/>
  <c r="N922" i="13"/>
  <c r="J922" i="13"/>
  <c r="N921" i="13"/>
  <c r="J921" i="13"/>
  <c r="N920" i="13"/>
  <c r="J920" i="13"/>
  <c r="N919" i="13"/>
  <c r="J919" i="13"/>
  <c r="N918" i="13"/>
  <c r="J918" i="13"/>
  <c r="N917" i="13"/>
  <c r="J917" i="13"/>
  <c r="N916" i="13"/>
  <c r="J916" i="13"/>
  <c r="N915" i="13"/>
  <c r="J915" i="13"/>
  <c r="N914" i="13"/>
  <c r="J914" i="13"/>
  <c r="N913" i="13"/>
  <c r="J913" i="13"/>
  <c r="N912" i="13"/>
  <c r="J912" i="13"/>
  <c r="N911" i="13"/>
  <c r="J911" i="13"/>
  <c r="N910" i="13"/>
  <c r="J910" i="13"/>
  <c r="N909" i="13"/>
  <c r="J909" i="13"/>
  <c r="N908" i="13"/>
  <c r="J908" i="13"/>
  <c r="N907" i="13"/>
  <c r="J907" i="13"/>
  <c r="N906" i="13"/>
  <c r="J906" i="13"/>
  <c r="N905" i="13"/>
  <c r="J905" i="13"/>
  <c r="N904" i="13"/>
  <c r="J904" i="13"/>
  <c r="N903" i="13"/>
  <c r="J903" i="13"/>
  <c r="N902" i="13"/>
  <c r="J902" i="13"/>
  <c r="N901" i="13"/>
  <c r="J901" i="13"/>
  <c r="N900" i="13"/>
  <c r="J900" i="13"/>
  <c r="N899" i="13"/>
  <c r="J899" i="13"/>
  <c r="N898" i="13"/>
  <c r="J898" i="13"/>
  <c r="N897" i="13"/>
  <c r="J897" i="13"/>
  <c r="N896" i="13"/>
  <c r="J896" i="13"/>
  <c r="N895" i="13"/>
  <c r="J895" i="13"/>
  <c r="N894" i="13"/>
  <c r="J894" i="13"/>
  <c r="N893" i="13"/>
  <c r="J893" i="13"/>
  <c r="N892" i="13"/>
  <c r="J892" i="13"/>
  <c r="N891" i="13"/>
  <c r="J891" i="13"/>
  <c r="N890" i="13"/>
  <c r="J890" i="13"/>
  <c r="N889" i="13"/>
  <c r="J889" i="13"/>
  <c r="N888" i="13"/>
  <c r="J888" i="13"/>
  <c r="N887" i="13"/>
  <c r="J887" i="13"/>
  <c r="N886" i="13"/>
  <c r="J886" i="13"/>
  <c r="N885" i="13"/>
  <c r="J885" i="13"/>
  <c r="N884" i="13"/>
  <c r="J884" i="13"/>
  <c r="N883" i="13"/>
  <c r="J883" i="13"/>
  <c r="N882" i="13"/>
  <c r="J882" i="13"/>
  <c r="N881" i="13"/>
  <c r="J881" i="13"/>
  <c r="N880" i="13"/>
  <c r="J880" i="13"/>
  <c r="N879" i="13"/>
  <c r="J879" i="13"/>
  <c r="N878" i="13"/>
  <c r="J878" i="13"/>
  <c r="N877" i="13"/>
  <c r="J877" i="13"/>
  <c r="N876" i="13"/>
  <c r="J876" i="13"/>
  <c r="N875" i="13"/>
  <c r="J875" i="13"/>
  <c r="N874" i="13"/>
  <c r="J874" i="13"/>
  <c r="N873" i="13"/>
  <c r="J873" i="13"/>
  <c r="N872" i="13"/>
  <c r="J872" i="13"/>
  <c r="N871" i="13"/>
  <c r="J871" i="13"/>
  <c r="N870" i="13"/>
  <c r="J870" i="13"/>
  <c r="N869" i="13"/>
  <c r="J869" i="13"/>
  <c r="N868" i="13"/>
  <c r="J868" i="13"/>
  <c r="N867" i="13"/>
  <c r="J867" i="13"/>
  <c r="N866" i="13"/>
  <c r="J866" i="13"/>
  <c r="N865" i="13"/>
  <c r="J865" i="13"/>
  <c r="N864" i="13"/>
  <c r="J864" i="13"/>
  <c r="N863" i="13"/>
  <c r="J863" i="13"/>
  <c r="N862" i="13"/>
  <c r="J862" i="13"/>
  <c r="N861" i="13"/>
  <c r="J861" i="13"/>
  <c r="N860" i="13"/>
  <c r="J860" i="13"/>
  <c r="N859" i="13"/>
  <c r="J859" i="13"/>
  <c r="N858" i="13"/>
  <c r="J858" i="13"/>
  <c r="N857" i="13"/>
  <c r="J857" i="13"/>
  <c r="N856" i="13"/>
  <c r="J856" i="13"/>
  <c r="N855" i="13"/>
  <c r="J855" i="13"/>
  <c r="N854" i="13"/>
  <c r="J854" i="13"/>
  <c r="N853" i="13"/>
  <c r="J853" i="13"/>
  <c r="N852" i="13"/>
  <c r="J852" i="13"/>
  <c r="N851" i="13"/>
  <c r="J851" i="13"/>
  <c r="N850" i="13"/>
  <c r="J850" i="13"/>
  <c r="N849" i="13"/>
  <c r="J849" i="13"/>
  <c r="N848" i="13"/>
  <c r="J848" i="13"/>
  <c r="N847" i="13"/>
  <c r="J847" i="13"/>
  <c r="N846" i="13"/>
  <c r="J846" i="13"/>
  <c r="N845" i="13"/>
  <c r="J845" i="13"/>
  <c r="N844" i="13"/>
  <c r="J844" i="13"/>
  <c r="N843" i="13"/>
  <c r="J843" i="13"/>
  <c r="N842" i="13"/>
  <c r="J842" i="13"/>
  <c r="N841" i="13"/>
  <c r="J841" i="13"/>
  <c r="N840" i="13"/>
  <c r="J840" i="13"/>
  <c r="N839" i="13"/>
  <c r="J839" i="13"/>
  <c r="N838" i="13"/>
  <c r="J838" i="13"/>
  <c r="N837" i="13"/>
  <c r="J837" i="13"/>
  <c r="N836" i="13"/>
  <c r="J836" i="13"/>
  <c r="N835" i="13"/>
  <c r="J835" i="13"/>
  <c r="N834" i="13"/>
  <c r="J834" i="13"/>
  <c r="N833" i="13"/>
  <c r="J833" i="13"/>
  <c r="N832" i="13"/>
  <c r="J832" i="13"/>
  <c r="N831" i="13"/>
  <c r="J831" i="13"/>
  <c r="N830" i="13"/>
  <c r="J830" i="13"/>
  <c r="N829" i="13"/>
  <c r="J829" i="13"/>
  <c r="N828" i="13"/>
  <c r="J828" i="13"/>
  <c r="N827" i="13"/>
  <c r="J827" i="13"/>
  <c r="N826" i="13"/>
  <c r="J826" i="13"/>
  <c r="N825" i="13"/>
  <c r="J825" i="13"/>
  <c r="N824" i="13"/>
  <c r="J824" i="13"/>
  <c r="N823" i="13"/>
  <c r="J823" i="13"/>
  <c r="N822" i="13"/>
  <c r="J822" i="13"/>
  <c r="N821" i="13"/>
  <c r="J821" i="13"/>
  <c r="N820" i="13"/>
  <c r="J820" i="13"/>
  <c r="N819" i="13"/>
  <c r="J819" i="13"/>
  <c r="N818" i="13"/>
  <c r="J818" i="13"/>
  <c r="N817" i="13"/>
  <c r="J817" i="13"/>
  <c r="N816" i="13"/>
  <c r="J816" i="13"/>
  <c r="N815" i="13"/>
  <c r="J815" i="13"/>
  <c r="N814" i="13"/>
  <c r="J814" i="13"/>
  <c r="N813" i="13"/>
  <c r="J813" i="13"/>
  <c r="N812" i="13"/>
  <c r="J812" i="13"/>
  <c r="N811" i="13"/>
  <c r="J811" i="13"/>
  <c r="N810" i="13"/>
  <c r="J810" i="13"/>
  <c r="N809" i="13"/>
  <c r="J809" i="13"/>
  <c r="N808" i="13"/>
  <c r="J808" i="13"/>
  <c r="N807" i="13"/>
  <c r="J807" i="13"/>
  <c r="N806" i="13"/>
  <c r="J806" i="13"/>
  <c r="N805" i="13"/>
  <c r="J805" i="13"/>
  <c r="N804" i="13"/>
  <c r="J804" i="13"/>
  <c r="N803" i="13"/>
  <c r="J803" i="13"/>
  <c r="N802" i="13"/>
  <c r="J802" i="13"/>
  <c r="N801" i="13"/>
  <c r="J801" i="13"/>
  <c r="N800" i="13"/>
  <c r="J800" i="13"/>
  <c r="N799" i="13"/>
  <c r="J799" i="13"/>
  <c r="N798" i="13"/>
  <c r="J798" i="13"/>
  <c r="N797" i="13"/>
  <c r="J797" i="13"/>
  <c r="N796" i="13"/>
  <c r="J796" i="13"/>
  <c r="N795" i="13"/>
  <c r="J795" i="13"/>
  <c r="N794" i="13"/>
  <c r="J794" i="13"/>
  <c r="N793" i="13"/>
  <c r="J793" i="13"/>
  <c r="N792" i="13"/>
  <c r="J792" i="13"/>
  <c r="N791" i="13"/>
  <c r="J791" i="13"/>
  <c r="N790" i="13"/>
  <c r="J790" i="13"/>
  <c r="N789" i="13"/>
  <c r="J789" i="13"/>
  <c r="N788" i="13"/>
  <c r="J788" i="13"/>
  <c r="N787" i="13"/>
  <c r="J787" i="13"/>
  <c r="N786" i="13"/>
  <c r="J786" i="13"/>
  <c r="N785" i="13"/>
  <c r="J785" i="13"/>
  <c r="N784" i="13"/>
  <c r="J784" i="13"/>
  <c r="N783" i="13"/>
  <c r="J783" i="13"/>
  <c r="N782" i="13"/>
  <c r="J782" i="13"/>
  <c r="N781" i="13"/>
  <c r="J781" i="13"/>
  <c r="N780" i="13"/>
  <c r="J780" i="13"/>
  <c r="N779" i="13"/>
  <c r="J779" i="13"/>
  <c r="N778" i="13"/>
  <c r="J778" i="13"/>
  <c r="N777" i="13"/>
  <c r="J777" i="13"/>
  <c r="N776" i="13"/>
  <c r="J776" i="13"/>
  <c r="N775" i="13"/>
  <c r="J775" i="13"/>
  <c r="N774" i="13"/>
  <c r="J774" i="13"/>
  <c r="N773" i="13"/>
  <c r="J773" i="13"/>
  <c r="N772" i="13"/>
  <c r="J772" i="13"/>
  <c r="N771" i="13"/>
  <c r="J771" i="13"/>
  <c r="N770" i="13"/>
  <c r="J770" i="13"/>
  <c r="N769" i="13"/>
  <c r="J769" i="13"/>
  <c r="N768" i="13"/>
  <c r="J768" i="13"/>
  <c r="N767" i="13"/>
  <c r="J767" i="13"/>
  <c r="N766" i="13"/>
  <c r="J766" i="13"/>
  <c r="N765" i="13"/>
  <c r="J765" i="13"/>
  <c r="N764" i="13"/>
  <c r="J764" i="13"/>
  <c r="N763" i="13"/>
  <c r="J763" i="13"/>
  <c r="N762" i="13"/>
  <c r="J762" i="13"/>
  <c r="N761" i="13"/>
  <c r="J761" i="13"/>
  <c r="N760" i="13"/>
  <c r="J760" i="13"/>
  <c r="N759" i="13"/>
  <c r="J759" i="13"/>
  <c r="N758" i="13"/>
  <c r="J758" i="13"/>
  <c r="N757" i="13"/>
  <c r="J757" i="13"/>
  <c r="N756" i="13"/>
  <c r="J756" i="13"/>
  <c r="N755" i="13"/>
  <c r="J755" i="13"/>
  <c r="N754" i="13"/>
  <c r="J754" i="13"/>
  <c r="N753" i="13"/>
  <c r="J753" i="13"/>
  <c r="N752" i="13"/>
  <c r="J752" i="13"/>
  <c r="N751" i="13"/>
  <c r="J751" i="13"/>
  <c r="N750" i="13"/>
  <c r="J750" i="13"/>
  <c r="N749" i="13"/>
  <c r="J749" i="13"/>
  <c r="N748" i="13"/>
  <c r="J748" i="13"/>
  <c r="N747" i="13"/>
  <c r="J747" i="13"/>
  <c r="N746" i="13"/>
  <c r="J746" i="13"/>
  <c r="N745" i="13"/>
  <c r="J745" i="13"/>
  <c r="N744" i="13"/>
  <c r="J744" i="13"/>
  <c r="N743" i="13"/>
  <c r="J743" i="13"/>
  <c r="N742" i="13"/>
  <c r="J742" i="13"/>
  <c r="N741" i="13"/>
  <c r="J741" i="13"/>
  <c r="N740" i="13"/>
  <c r="J740" i="13"/>
  <c r="N739" i="13"/>
  <c r="J739" i="13"/>
  <c r="N738" i="13"/>
  <c r="J738" i="13"/>
  <c r="N737" i="13"/>
  <c r="J737" i="13"/>
  <c r="N736" i="13"/>
  <c r="J736" i="13"/>
  <c r="N735" i="13"/>
  <c r="J735" i="13"/>
  <c r="N734" i="13"/>
  <c r="J734" i="13"/>
  <c r="N733" i="13"/>
  <c r="J733" i="13"/>
  <c r="N732" i="13"/>
  <c r="J732" i="13"/>
  <c r="N731" i="13"/>
  <c r="J731" i="13"/>
  <c r="N730" i="13"/>
  <c r="J730" i="13"/>
  <c r="N729" i="13"/>
  <c r="J729" i="13"/>
  <c r="N728" i="13"/>
  <c r="J728" i="13"/>
  <c r="N727" i="13"/>
  <c r="J727" i="13"/>
  <c r="N726" i="13"/>
  <c r="J726" i="13"/>
  <c r="N725" i="13"/>
  <c r="J725" i="13"/>
  <c r="N724" i="13"/>
  <c r="J724" i="13"/>
  <c r="N723" i="13"/>
  <c r="J723" i="13"/>
  <c r="N722" i="13"/>
  <c r="J722" i="13"/>
  <c r="N721" i="13"/>
  <c r="J721" i="13"/>
  <c r="N720" i="13"/>
  <c r="J720" i="13"/>
  <c r="N719" i="13"/>
  <c r="J719" i="13"/>
  <c r="N718" i="13"/>
  <c r="J718" i="13"/>
  <c r="N717" i="13"/>
  <c r="J717" i="13"/>
  <c r="N716" i="13"/>
  <c r="J716" i="13"/>
  <c r="N715" i="13"/>
  <c r="J715" i="13"/>
  <c r="N714" i="13"/>
  <c r="J714" i="13"/>
  <c r="N713" i="13"/>
  <c r="J713" i="13"/>
  <c r="N712" i="13"/>
  <c r="J712" i="13"/>
  <c r="N711" i="13"/>
  <c r="J711" i="13"/>
  <c r="N710" i="13"/>
  <c r="J710" i="13"/>
  <c r="N709" i="13"/>
  <c r="J709" i="13"/>
  <c r="N708" i="13"/>
  <c r="J708" i="13"/>
  <c r="N707" i="13"/>
  <c r="J707" i="13"/>
  <c r="N706" i="13"/>
  <c r="J706" i="13"/>
  <c r="N705" i="13"/>
  <c r="J705" i="13"/>
  <c r="N704" i="13"/>
  <c r="J704" i="13"/>
  <c r="N703" i="13"/>
  <c r="J703" i="13"/>
  <c r="N702" i="13"/>
  <c r="J702" i="13"/>
  <c r="N701" i="13"/>
  <c r="J701" i="13"/>
  <c r="N700" i="13"/>
  <c r="J700" i="13"/>
  <c r="N699" i="13"/>
  <c r="J699" i="13"/>
  <c r="N698" i="13"/>
  <c r="J698" i="13"/>
  <c r="N697" i="13"/>
  <c r="J697" i="13"/>
  <c r="N696" i="13"/>
  <c r="J696" i="13"/>
  <c r="N695" i="13"/>
  <c r="J695" i="13"/>
  <c r="N694" i="13"/>
  <c r="J694" i="13"/>
  <c r="N693" i="13"/>
  <c r="J693" i="13"/>
  <c r="N692" i="13"/>
  <c r="J692" i="13"/>
  <c r="N691" i="13"/>
  <c r="J691" i="13"/>
  <c r="N690" i="13"/>
  <c r="J690" i="13"/>
  <c r="N689" i="13"/>
  <c r="J689" i="13"/>
  <c r="N688" i="13"/>
  <c r="J688" i="13"/>
  <c r="N687" i="13"/>
  <c r="J687" i="13"/>
  <c r="N686" i="13"/>
  <c r="J686" i="13"/>
  <c r="N685" i="13"/>
  <c r="J685" i="13"/>
  <c r="N684" i="13"/>
  <c r="J684" i="13"/>
  <c r="N683" i="13"/>
  <c r="J683" i="13"/>
  <c r="N682" i="13"/>
  <c r="J682" i="13"/>
  <c r="N681" i="13"/>
  <c r="J681" i="13"/>
  <c r="N680" i="13"/>
  <c r="J680" i="13"/>
  <c r="N679" i="13"/>
  <c r="J679" i="13"/>
  <c r="N678" i="13"/>
  <c r="J678" i="13"/>
  <c r="N677" i="13"/>
  <c r="J677" i="13"/>
  <c r="N676" i="13"/>
  <c r="J676" i="13"/>
  <c r="N675" i="13"/>
  <c r="J675" i="13"/>
  <c r="N674" i="13"/>
  <c r="J674" i="13"/>
  <c r="N673" i="13"/>
  <c r="J673" i="13"/>
  <c r="N672" i="13"/>
  <c r="J672" i="13"/>
  <c r="N671" i="13"/>
  <c r="J671" i="13"/>
  <c r="N670" i="13"/>
  <c r="J670" i="13"/>
  <c r="N669" i="13"/>
  <c r="J669" i="13"/>
  <c r="N668" i="13"/>
  <c r="J668" i="13"/>
  <c r="N667" i="13"/>
  <c r="J667" i="13"/>
  <c r="N666" i="13"/>
  <c r="J666" i="13"/>
  <c r="N665" i="13"/>
  <c r="J665" i="13"/>
  <c r="N664" i="13"/>
  <c r="J664" i="13"/>
  <c r="N663" i="13"/>
  <c r="J663" i="13"/>
  <c r="N662" i="13"/>
  <c r="J662" i="13"/>
  <c r="N661" i="13"/>
  <c r="J661" i="13"/>
  <c r="N660" i="13"/>
  <c r="J660" i="13"/>
  <c r="N659" i="13"/>
  <c r="J659" i="13"/>
  <c r="N658" i="13"/>
  <c r="J658" i="13"/>
  <c r="N657" i="13"/>
  <c r="J657" i="13"/>
  <c r="N656" i="13"/>
  <c r="J656" i="13"/>
  <c r="N655" i="13"/>
  <c r="J655" i="13"/>
  <c r="N654" i="13"/>
  <c r="J654" i="13"/>
  <c r="N653" i="13"/>
  <c r="J653" i="13"/>
  <c r="N652" i="13"/>
  <c r="J652" i="13"/>
  <c r="N651" i="13"/>
  <c r="J651" i="13"/>
  <c r="N650" i="13"/>
  <c r="J650" i="13"/>
  <c r="N649" i="13"/>
  <c r="J649" i="13"/>
  <c r="N648" i="13"/>
  <c r="J648" i="13"/>
  <c r="N647" i="13"/>
  <c r="J647" i="13"/>
  <c r="N646" i="13"/>
  <c r="J646" i="13"/>
  <c r="N645" i="13"/>
  <c r="J645" i="13"/>
  <c r="N644" i="13"/>
  <c r="J644" i="13"/>
  <c r="N643" i="13"/>
  <c r="J643" i="13"/>
  <c r="N642" i="13"/>
  <c r="J642" i="13"/>
  <c r="N641" i="13"/>
  <c r="J641" i="13"/>
  <c r="N640" i="13"/>
  <c r="J640" i="13"/>
  <c r="N639" i="13"/>
  <c r="J639" i="13"/>
  <c r="N638" i="13"/>
  <c r="J638" i="13"/>
  <c r="N637" i="13"/>
  <c r="J637" i="13"/>
  <c r="N636" i="13"/>
  <c r="J636" i="13"/>
  <c r="N635" i="13"/>
  <c r="J635" i="13"/>
  <c r="N634" i="13"/>
  <c r="J634" i="13"/>
  <c r="N633" i="13"/>
  <c r="J633" i="13"/>
  <c r="N632" i="13"/>
  <c r="J632" i="13"/>
  <c r="N631" i="13"/>
  <c r="J631" i="13"/>
  <c r="N630" i="13"/>
  <c r="J630" i="13"/>
  <c r="N629" i="13"/>
  <c r="J629" i="13"/>
  <c r="N628" i="13"/>
  <c r="J628" i="13"/>
  <c r="N627" i="13"/>
  <c r="J627" i="13"/>
  <c r="N626" i="13"/>
  <c r="J626" i="13"/>
  <c r="N625" i="13"/>
  <c r="J625" i="13"/>
  <c r="N624" i="13"/>
  <c r="J624" i="13"/>
  <c r="N623" i="13"/>
  <c r="J623" i="13"/>
  <c r="N622" i="13"/>
  <c r="J622" i="13"/>
  <c r="N621" i="13"/>
  <c r="J621" i="13"/>
  <c r="N620" i="13"/>
  <c r="J620" i="13"/>
  <c r="N619" i="13"/>
  <c r="J619" i="13"/>
  <c r="N618" i="13"/>
  <c r="J618" i="13"/>
  <c r="N617" i="13"/>
  <c r="J617" i="13"/>
  <c r="N616" i="13"/>
  <c r="J616" i="13"/>
  <c r="N615" i="13"/>
  <c r="J615" i="13"/>
  <c r="N614" i="13"/>
  <c r="J614" i="13"/>
  <c r="N613" i="13"/>
  <c r="J613" i="13"/>
  <c r="N612" i="13"/>
  <c r="J612" i="13"/>
  <c r="N611" i="13"/>
  <c r="J611" i="13"/>
  <c r="N610" i="13"/>
  <c r="J610" i="13"/>
  <c r="N609" i="13"/>
  <c r="J609" i="13"/>
  <c r="N608" i="13"/>
  <c r="J608" i="13"/>
  <c r="N607" i="13"/>
  <c r="J607" i="13"/>
  <c r="N606" i="13"/>
  <c r="J606" i="13"/>
  <c r="N605" i="13"/>
  <c r="J605" i="13"/>
  <c r="N604" i="13"/>
  <c r="J604" i="13"/>
  <c r="N603" i="13"/>
  <c r="J603" i="13"/>
  <c r="N602" i="13"/>
  <c r="J602" i="13"/>
  <c r="N601" i="13"/>
  <c r="J601" i="13"/>
  <c r="N600" i="13"/>
  <c r="J600" i="13"/>
  <c r="N599" i="13"/>
  <c r="J599" i="13"/>
  <c r="N598" i="13"/>
  <c r="J598" i="13"/>
  <c r="N597" i="13"/>
  <c r="J597" i="13"/>
  <c r="N596" i="13"/>
  <c r="J596" i="13"/>
  <c r="N595" i="13"/>
  <c r="J595" i="13"/>
  <c r="N594" i="13"/>
  <c r="J594" i="13"/>
  <c r="N593" i="13"/>
  <c r="J593" i="13"/>
  <c r="N592" i="13"/>
  <c r="J592" i="13"/>
  <c r="N591" i="13"/>
  <c r="J591" i="13"/>
  <c r="N590" i="13"/>
  <c r="J590" i="13"/>
  <c r="N589" i="13"/>
  <c r="J589" i="13"/>
  <c r="N588" i="13"/>
  <c r="J588" i="13"/>
  <c r="N587" i="13"/>
  <c r="J587" i="13"/>
  <c r="N586" i="13"/>
  <c r="J586" i="13"/>
  <c r="N585" i="13"/>
  <c r="J585" i="13"/>
  <c r="N584" i="13"/>
  <c r="J584" i="13"/>
  <c r="N583" i="13"/>
  <c r="J583" i="13"/>
  <c r="N582" i="13"/>
  <c r="J582" i="13"/>
  <c r="N581" i="13"/>
  <c r="J581" i="13"/>
  <c r="N580" i="13"/>
  <c r="J580" i="13"/>
  <c r="N579" i="13"/>
  <c r="J579" i="13"/>
  <c r="N578" i="13"/>
  <c r="J578" i="13"/>
  <c r="N577" i="13"/>
  <c r="J577" i="13"/>
  <c r="N576" i="13"/>
  <c r="J576" i="13"/>
  <c r="N575" i="13"/>
  <c r="J575" i="13"/>
  <c r="N574" i="13"/>
  <c r="J574" i="13"/>
  <c r="N573" i="13"/>
  <c r="J573" i="13"/>
  <c r="N572" i="13"/>
  <c r="J572" i="13"/>
  <c r="N571" i="13"/>
  <c r="J571" i="13"/>
  <c r="N570" i="13"/>
  <c r="J570" i="13"/>
  <c r="N569" i="13"/>
  <c r="J569" i="13"/>
  <c r="N568" i="13"/>
  <c r="J568" i="13"/>
  <c r="N567" i="13"/>
  <c r="J567" i="13"/>
  <c r="N566" i="13"/>
  <c r="J566" i="13"/>
  <c r="N565" i="13"/>
  <c r="J565" i="13"/>
  <c r="N564" i="13"/>
  <c r="J564" i="13"/>
  <c r="N563" i="13"/>
  <c r="J563" i="13"/>
  <c r="N562" i="13"/>
  <c r="J562" i="13"/>
  <c r="N561" i="13"/>
  <c r="J561" i="13"/>
  <c r="N560" i="13"/>
  <c r="J560" i="13"/>
  <c r="N559" i="13"/>
  <c r="J559" i="13"/>
  <c r="N558" i="13"/>
  <c r="J558" i="13"/>
  <c r="N557" i="13"/>
  <c r="J557" i="13"/>
  <c r="N556" i="13"/>
  <c r="J556" i="13"/>
  <c r="N555" i="13"/>
  <c r="J555" i="13"/>
  <c r="N554" i="13"/>
  <c r="J554" i="13"/>
  <c r="N553" i="13"/>
  <c r="J553" i="13"/>
  <c r="N552" i="13"/>
  <c r="J552" i="13"/>
  <c r="N551" i="13"/>
  <c r="J551" i="13"/>
  <c r="N550" i="13"/>
  <c r="J550" i="13"/>
  <c r="N549" i="13"/>
  <c r="J549" i="13"/>
  <c r="N548" i="13"/>
  <c r="J548" i="13"/>
  <c r="N547" i="13"/>
  <c r="J547" i="13"/>
  <c r="N546" i="13"/>
  <c r="J546" i="13"/>
  <c r="N545" i="13"/>
  <c r="J545" i="13"/>
  <c r="N544" i="13"/>
  <c r="J544" i="13"/>
  <c r="N543" i="13"/>
  <c r="J543" i="13"/>
  <c r="N542" i="13"/>
  <c r="J542" i="13"/>
  <c r="N541" i="13"/>
  <c r="J541" i="13"/>
  <c r="N540" i="13"/>
  <c r="J540" i="13"/>
  <c r="N539" i="13"/>
  <c r="J539" i="13"/>
  <c r="N538" i="13"/>
  <c r="J538" i="13"/>
  <c r="N537" i="13"/>
  <c r="J537" i="13"/>
  <c r="N536" i="13"/>
  <c r="J536" i="13"/>
  <c r="N535" i="13"/>
  <c r="J535" i="13"/>
  <c r="N534" i="13"/>
  <c r="J534" i="13"/>
  <c r="N533" i="13"/>
  <c r="J533" i="13"/>
  <c r="N532" i="13"/>
  <c r="J532" i="13"/>
  <c r="N531" i="13"/>
  <c r="J531" i="13"/>
  <c r="N530" i="13"/>
  <c r="J530" i="13"/>
  <c r="N529" i="13"/>
  <c r="J529" i="13"/>
  <c r="N528" i="13"/>
  <c r="J528" i="13"/>
  <c r="N527" i="13"/>
  <c r="J527" i="13"/>
  <c r="N526" i="13"/>
  <c r="J526" i="13"/>
  <c r="N525" i="13"/>
  <c r="J525" i="13"/>
  <c r="N524" i="13"/>
  <c r="J524" i="13"/>
  <c r="N523" i="13"/>
  <c r="J523" i="13"/>
  <c r="N522" i="13"/>
  <c r="J522" i="13"/>
  <c r="N521" i="13"/>
  <c r="J521" i="13"/>
  <c r="N520" i="13"/>
  <c r="J520" i="13"/>
  <c r="N519" i="13"/>
  <c r="J519" i="13"/>
  <c r="N518" i="13"/>
  <c r="J518" i="13"/>
  <c r="N517" i="13"/>
  <c r="J517" i="13"/>
  <c r="N516" i="13"/>
  <c r="J516" i="13"/>
  <c r="N515" i="13"/>
  <c r="J515" i="13"/>
  <c r="N514" i="13"/>
  <c r="J514" i="13"/>
  <c r="N513" i="13"/>
  <c r="J513" i="13"/>
  <c r="N512" i="13"/>
  <c r="J512" i="13"/>
  <c r="N511" i="13"/>
  <c r="J511" i="13"/>
  <c r="N510" i="13"/>
  <c r="J510" i="13"/>
  <c r="N509" i="13"/>
  <c r="J509" i="13"/>
  <c r="N508" i="13"/>
  <c r="J508" i="13"/>
  <c r="N507" i="13"/>
  <c r="J507" i="13"/>
  <c r="N506" i="13"/>
  <c r="J506" i="13"/>
  <c r="N505" i="13"/>
  <c r="J505" i="13"/>
  <c r="N504" i="13"/>
  <c r="J504" i="13"/>
  <c r="N503" i="13"/>
  <c r="J503" i="13"/>
  <c r="N502" i="13"/>
  <c r="J502" i="13"/>
  <c r="N501" i="13"/>
  <c r="J501" i="13"/>
  <c r="N500" i="13"/>
  <c r="J500" i="13"/>
  <c r="N499" i="13"/>
  <c r="J499" i="13"/>
  <c r="N498" i="13"/>
  <c r="J498" i="13"/>
  <c r="N497" i="13"/>
  <c r="J497" i="13"/>
  <c r="N496" i="13"/>
  <c r="J496" i="13"/>
  <c r="N495" i="13"/>
  <c r="J495" i="13"/>
  <c r="N494" i="13"/>
  <c r="J494" i="13"/>
  <c r="N493" i="13"/>
  <c r="J493" i="13"/>
  <c r="N492" i="13"/>
  <c r="J492" i="13"/>
  <c r="N491" i="13"/>
  <c r="J491" i="13"/>
  <c r="N490" i="13"/>
  <c r="J490" i="13"/>
  <c r="N489" i="13"/>
  <c r="J489" i="13"/>
  <c r="N488" i="13"/>
  <c r="J488" i="13"/>
  <c r="N487" i="13"/>
  <c r="J487" i="13"/>
  <c r="N486" i="13"/>
  <c r="J486" i="13"/>
  <c r="N485" i="13"/>
  <c r="J485" i="13"/>
  <c r="N484" i="13"/>
  <c r="J484" i="13"/>
  <c r="N483" i="13"/>
  <c r="J483" i="13"/>
  <c r="N482" i="13"/>
  <c r="J482" i="13"/>
  <c r="N481" i="13"/>
  <c r="J481" i="13"/>
  <c r="N480" i="13"/>
  <c r="J480" i="13"/>
  <c r="N479" i="13"/>
  <c r="J479" i="13"/>
  <c r="N478" i="13"/>
  <c r="J478" i="13"/>
  <c r="N477" i="13"/>
  <c r="J477" i="13"/>
  <c r="N476" i="13"/>
  <c r="J476" i="13"/>
  <c r="N475" i="13"/>
  <c r="J475" i="13"/>
  <c r="N474" i="13"/>
  <c r="J474" i="13"/>
  <c r="N473" i="13"/>
  <c r="J473" i="13"/>
  <c r="O473" i="13" s="1"/>
  <c r="N472" i="13"/>
  <c r="J472" i="13"/>
  <c r="O472" i="13" s="1"/>
  <c r="N471" i="13"/>
  <c r="J471" i="13"/>
  <c r="O471" i="13" s="1"/>
  <c r="N470" i="13"/>
  <c r="J470" i="13"/>
  <c r="O470" i="13" s="1"/>
  <c r="N469" i="13"/>
  <c r="J469" i="13"/>
  <c r="O469" i="13" s="1"/>
  <c r="N468" i="13"/>
  <c r="J468" i="13"/>
  <c r="O468" i="13" s="1"/>
  <c r="N467" i="13"/>
  <c r="J467" i="13"/>
  <c r="O467" i="13" s="1"/>
  <c r="N466" i="13"/>
  <c r="J466" i="13"/>
  <c r="O466" i="13" s="1"/>
  <c r="N465" i="13"/>
  <c r="J465" i="13"/>
  <c r="O465" i="13" s="1"/>
  <c r="N464" i="13"/>
  <c r="J464" i="13"/>
  <c r="O464" i="13" s="1"/>
  <c r="N463" i="13"/>
  <c r="J463" i="13"/>
  <c r="O463" i="13" s="1"/>
  <c r="N462" i="13"/>
  <c r="J462" i="13"/>
  <c r="O462" i="13" s="1"/>
  <c r="N461" i="13"/>
  <c r="J461" i="13"/>
  <c r="O461" i="13" s="1"/>
  <c r="N460" i="13"/>
  <c r="J460" i="13"/>
  <c r="O460" i="13" s="1"/>
  <c r="N459" i="13"/>
  <c r="J459" i="13"/>
  <c r="O459" i="13" s="1"/>
  <c r="N458" i="13"/>
  <c r="J458" i="13"/>
  <c r="O458" i="13" s="1"/>
  <c r="N457" i="13"/>
  <c r="J457" i="13"/>
  <c r="O457" i="13" s="1"/>
  <c r="N456" i="13"/>
  <c r="J456" i="13"/>
  <c r="O456" i="13" s="1"/>
  <c r="N455" i="13"/>
  <c r="J455" i="13"/>
  <c r="O455" i="13" s="1"/>
  <c r="N454" i="13"/>
  <c r="J454" i="13"/>
  <c r="O454" i="13" s="1"/>
  <c r="N453" i="13"/>
  <c r="J453" i="13"/>
  <c r="O453" i="13" s="1"/>
  <c r="N452" i="13"/>
  <c r="J452" i="13"/>
  <c r="O452" i="13" s="1"/>
  <c r="N451" i="13"/>
  <c r="J451" i="13"/>
  <c r="O451" i="13" s="1"/>
  <c r="N450" i="13"/>
  <c r="J450" i="13"/>
  <c r="O450" i="13" s="1"/>
  <c r="N449" i="13"/>
  <c r="J449" i="13"/>
  <c r="O449" i="13" s="1"/>
  <c r="N448" i="13"/>
  <c r="J448" i="13"/>
  <c r="O448" i="13" s="1"/>
  <c r="N447" i="13"/>
  <c r="J447" i="13"/>
  <c r="O447" i="13" s="1"/>
  <c r="N446" i="13"/>
  <c r="J446" i="13"/>
  <c r="O446" i="13" s="1"/>
  <c r="N445" i="13"/>
  <c r="J445" i="13"/>
  <c r="O445" i="13" s="1"/>
  <c r="N444" i="13"/>
  <c r="J444" i="13"/>
  <c r="O444" i="13" s="1"/>
  <c r="N443" i="13"/>
  <c r="J443" i="13"/>
  <c r="O443" i="13" s="1"/>
  <c r="N442" i="13"/>
  <c r="J442" i="13"/>
  <c r="O442" i="13" s="1"/>
  <c r="N441" i="13"/>
  <c r="J441" i="13"/>
  <c r="O441" i="13" s="1"/>
  <c r="N440" i="13"/>
  <c r="J440" i="13"/>
  <c r="O440" i="13" s="1"/>
  <c r="N439" i="13"/>
  <c r="J439" i="13"/>
  <c r="O439" i="13" s="1"/>
  <c r="N438" i="13"/>
  <c r="J438" i="13"/>
  <c r="O438" i="13" s="1"/>
  <c r="N437" i="13"/>
  <c r="J437" i="13"/>
  <c r="O437" i="13" s="1"/>
  <c r="N436" i="13"/>
  <c r="J436" i="13"/>
  <c r="O436" i="13" s="1"/>
  <c r="N435" i="13"/>
  <c r="J435" i="13"/>
  <c r="O435" i="13" s="1"/>
  <c r="N434" i="13"/>
  <c r="J434" i="13"/>
  <c r="O434" i="13" s="1"/>
  <c r="N433" i="13"/>
  <c r="J433" i="13"/>
  <c r="O433" i="13" s="1"/>
  <c r="N432" i="13"/>
  <c r="J432" i="13"/>
  <c r="O432" i="13" s="1"/>
  <c r="N431" i="13"/>
  <c r="J431" i="13"/>
  <c r="O431" i="13" s="1"/>
  <c r="N430" i="13"/>
  <c r="J430" i="13"/>
  <c r="O430" i="13" s="1"/>
  <c r="N429" i="13"/>
  <c r="J429" i="13"/>
  <c r="O429" i="13" s="1"/>
  <c r="N428" i="13"/>
  <c r="J428" i="13"/>
  <c r="O428" i="13" s="1"/>
  <c r="N427" i="13"/>
  <c r="J427" i="13"/>
  <c r="O427" i="13" s="1"/>
  <c r="N426" i="13"/>
  <c r="J426" i="13"/>
  <c r="O426" i="13" s="1"/>
  <c r="N425" i="13"/>
  <c r="J425" i="13"/>
  <c r="O425" i="13" s="1"/>
  <c r="N424" i="13"/>
  <c r="J424" i="13"/>
  <c r="O424" i="13" s="1"/>
  <c r="N423" i="13"/>
  <c r="J423" i="13"/>
  <c r="O423" i="13" s="1"/>
  <c r="N422" i="13"/>
  <c r="J422" i="13"/>
  <c r="O422" i="13" s="1"/>
  <c r="N421" i="13"/>
  <c r="J421" i="13"/>
  <c r="O421" i="13" s="1"/>
  <c r="N420" i="13"/>
  <c r="J420" i="13"/>
  <c r="O420" i="13" s="1"/>
  <c r="N419" i="13"/>
  <c r="J419" i="13"/>
  <c r="O419" i="13" s="1"/>
  <c r="N418" i="13"/>
  <c r="J418" i="13"/>
  <c r="O418" i="13" s="1"/>
  <c r="N417" i="13"/>
  <c r="J417" i="13"/>
  <c r="O417" i="13" s="1"/>
  <c r="N416" i="13"/>
  <c r="J416" i="13"/>
  <c r="O416" i="13" s="1"/>
  <c r="N415" i="13"/>
  <c r="J415" i="13"/>
  <c r="O415" i="13" s="1"/>
  <c r="N414" i="13"/>
  <c r="J414" i="13"/>
  <c r="O414" i="13" s="1"/>
  <c r="N413" i="13"/>
  <c r="J413" i="13"/>
  <c r="O413" i="13" s="1"/>
  <c r="N412" i="13"/>
  <c r="J412" i="13"/>
  <c r="O412" i="13" s="1"/>
  <c r="N411" i="13"/>
  <c r="J411" i="13"/>
  <c r="O411" i="13" s="1"/>
  <c r="N410" i="13"/>
  <c r="J410" i="13"/>
  <c r="O410" i="13" s="1"/>
  <c r="N409" i="13"/>
  <c r="J409" i="13"/>
  <c r="O409" i="13" s="1"/>
  <c r="N408" i="13"/>
  <c r="J408" i="13"/>
  <c r="O408" i="13" s="1"/>
  <c r="N407" i="13"/>
  <c r="J407" i="13"/>
  <c r="O407" i="13" s="1"/>
  <c r="N406" i="13"/>
  <c r="J406" i="13"/>
  <c r="O406" i="13" s="1"/>
  <c r="N405" i="13"/>
  <c r="J405" i="13"/>
  <c r="O405" i="13" s="1"/>
  <c r="N404" i="13"/>
  <c r="J404" i="13"/>
  <c r="O404" i="13" s="1"/>
  <c r="N403" i="13"/>
  <c r="J403" i="13"/>
  <c r="O403" i="13" s="1"/>
  <c r="N402" i="13"/>
  <c r="J402" i="13"/>
  <c r="O402" i="13" s="1"/>
  <c r="N401" i="13"/>
  <c r="J401" i="13"/>
  <c r="O401" i="13" s="1"/>
  <c r="N400" i="13"/>
  <c r="J400" i="13"/>
  <c r="O400" i="13" s="1"/>
  <c r="N399" i="13"/>
  <c r="J399" i="13"/>
  <c r="O399" i="13" s="1"/>
  <c r="N398" i="13"/>
  <c r="J398" i="13"/>
  <c r="O398" i="13" s="1"/>
  <c r="N397" i="13"/>
  <c r="J397" i="13"/>
  <c r="O397" i="13" s="1"/>
  <c r="N396" i="13"/>
  <c r="J396" i="13"/>
  <c r="O396" i="13" s="1"/>
  <c r="N395" i="13"/>
  <c r="J395" i="13"/>
  <c r="O395" i="13" s="1"/>
  <c r="N394" i="13"/>
  <c r="J394" i="13"/>
  <c r="O394" i="13" s="1"/>
  <c r="N393" i="13"/>
  <c r="J393" i="13"/>
  <c r="O393" i="13" s="1"/>
  <c r="N392" i="13"/>
  <c r="J392" i="13"/>
  <c r="O392" i="13" s="1"/>
  <c r="N391" i="13"/>
  <c r="J391" i="13"/>
  <c r="O391" i="13" s="1"/>
  <c r="N390" i="13"/>
  <c r="J390" i="13"/>
  <c r="O390" i="13" s="1"/>
  <c r="N389" i="13"/>
  <c r="J389" i="13"/>
  <c r="O389" i="13" s="1"/>
  <c r="N388" i="13"/>
  <c r="J388" i="13"/>
  <c r="O388" i="13" s="1"/>
  <c r="N387" i="13"/>
  <c r="J387" i="13"/>
  <c r="O387" i="13" s="1"/>
  <c r="N386" i="13"/>
  <c r="J386" i="13"/>
  <c r="O386" i="13" s="1"/>
  <c r="N385" i="13"/>
  <c r="J385" i="13"/>
  <c r="O385" i="13" s="1"/>
  <c r="N384" i="13"/>
  <c r="J384" i="13"/>
  <c r="O384" i="13" s="1"/>
  <c r="N383" i="13"/>
  <c r="J383" i="13"/>
  <c r="O383" i="13" s="1"/>
  <c r="N382" i="13"/>
  <c r="J382" i="13"/>
  <c r="O382" i="13" s="1"/>
  <c r="N381" i="13"/>
  <c r="J381" i="13"/>
  <c r="O381" i="13" s="1"/>
  <c r="N380" i="13"/>
  <c r="J380" i="13"/>
  <c r="O380" i="13" s="1"/>
  <c r="N379" i="13"/>
  <c r="J379" i="13"/>
  <c r="O379" i="13" s="1"/>
  <c r="N378" i="13"/>
  <c r="J378" i="13"/>
  <c r="O378" i="13" s="1"/>
  <c r="N377" i="13"/>
  <c r="J377" i="13"/>
  <c r="O377" i="13" s="1"/>
  <c r="N376" i="13"/>
  <c r="J376" i="13"/>
  <c r="O376" i="13" s="1"/>
  <c r="N375" i="13"/>
  <c r="J375" i="13"/>
  <c r="O375" i="13" s="1"/>
  <c r="N374" i="13"/>
  <c r="J374" i="13"/>
  <c r="O374" i="13" s="1"/>
  <c r="N373" i="13"/>
  <c r="J373" i="13"/>
  <c r="O373" i="13" s="1"/>
  <c r="N372" i="13"/>
  <c r="J372" i="13"/>
  <c r="O372" i="13" s="1"/>
  <c r="N371" i="13"/>
  <c r="J371" i="13"/>
  <c r="O371" i="13" s="1"/>
  <c r="N370" i="13"/>
  <c r="J370" i="13"/>
  <c r="O370" i="13" s="1"/>
  <c r="N369" i="13"/>
  <c r="J369" i="13"/>
  <c r="O369" i="13" s="1"/>
  <c r="N368" i="13"/>
  <c r="J368" i="13"/>
  <c r="O368" i="13" s="1"/>
  <c r="N367" i="13"/>
  <c r="J367" i="13"/>
  <c r="O367" i="13" s="1"/>
  <c r="N366" i="13"/>
  <c r="J366" i="13"/>
  <c r="O366" i="13" s="1"/>
  <c r="N365" i="13"/>
  <c r="J365" i="13"/>
  <c r="O365" i="13" s="1"/>
  <c r="N364" i="13"/>
  <c r="J364" i="13"/>
  <c r="O364" i="13" s="1"/>
  <c r="N363" i="13"/>
  <c r="J363" i="13"/>
  <c r="O363" i="13" s="1"/>
  <c r="N362" i="13"/>
  <c r="J362" i="13"/>
  <c r="O362" i="13" s="1"/>
  <c r="N361" i="13"/>
  <c r="J361" i="13"/>
  <c r="O361" i="13" s="1"/>
  <c r="N360" i="13"/>
  <c r="J360" i="13"/>
  <c r="O360" i="13" s="1"/>
  <c r="N359" i="13"/>
  <c r="J359" i="13"/>
  <c r="O359" i="13" s="1"/>
  <c r="N358" i="13"/>
  <c r="J358" i="13"/>
  <c r="O358" i="13" s="1"/>
  <c r="N357" i="13"/>
  <c r="J357" i="13"/>
  <c r="O357" i="13" s="1"/>
  <c r="N356" i="13"/>
  <c r="J356" i="13"/>
  <c r="O356" i="13" s="1"/>
  <c r="N355" i="13"/>
  <c r="J355" i="13"/>
  <c r="O355" i="13" s="1"/>
  <c r="N354" i="13"/>
  <c r="J354" i="13"/>
  <c r="O354" i="13" s="1"/>
  <c r="N353" i="13"/>
  <c r="J353" i="13"/>
  <c r="O353" i="13" s="1"/>
  <c r="N352" i="13"/>
  <c r="J352" i="13"/>
  <c r="O352" i="13" s="1"/>
  <c r="N351" i="13"/>
  <c r="J351" i="13"/>
  <c r="O351" i="13" s="1"/>
  <c r="N350" i="13"/>
  <c r="J350" i="13"/>
  <c r="O350" i="13" s="1"/>
  <c r="N349" i="13"/>
  <c r="J349" i="13"/>
  <c r="O349" i="13" s="1"/>
  <c r="N348" i="13"/>
  <c r="J348" i="13"/>
  <c r="O348" i="13" s="1"/>
  <c r="N347" i="13"/>
  <c r="J347" i="13"/>
  <c r="O347" i="13" s="1"/>
  <c r="N346" i="13"/>
  <c r="J346" i="13"/>
  <c r="O346" i="13" s="1"/>
  <c r="N345" i="13"/>
  <c r="J345" i="13"/>
  <c r="O345" i="13" s="1"/>
  <c r="N344" i="13"/>
  <c r="J344" i="13"/>
  <c r="O344" i="13" s="1"/>
  <c r="N343" i="13"/>
  <c r="J343" i="13"/>
  <c r="O343" i="13" s="1"/>
  <c r="N342" i="13"/>
  <c r="J342" i="13"/>
  <c r="O342" i="13" s="1"/>
  <c r="N341" i="13"/>
  <c r="J341" i="13"/>
  <c r="O341" i="13" s="1"/>
  <c r="N340" i="13"/>
  <c r="J340" i="13"/>
  <c r="O340" i="13" s="1"/>
  <c r="N339" i="13"/>
  <c r="J339" i="13"/>
  <c r="O339" i="13" s="1"/>
  <c r="N338" i="13"/>
  <c r="J338" i="13"/>
  <c r="O338" i="13" s="1"/>
  <c r="N337" i="13"/>
  <c r="J337" i="13"/>
  <c r="O337" i="13" s="1"/>
  <c r="N336" i="13"/>
  <c r="J336" i="13"/>
  <c r="O336" i="13" s="1"/>
  <c r="N335" i="13"/>
  <c r="J335" i="13"/>
  <c r="O335" i="13" s="1"/>
  <c r="N334" i="13"/>
  <c r="J334" i="13"/>
  <c r="O334" i="13" s="1"/>
  <c r="N333" i="13"/>
  <c r="J333" i="13"/>
  <c r="O333" i="13" s="1"/>
  <c r="N332" i="13"/>
  <c r="J332" i="13"/>
  <c r="O332" i="13" s="1"/>
  <c r="N331" i="13"/>
  <c r="J331" i="13"/>
  <c r="O331" i="13" s="1"/>
  <c r="N330" i="13"/>
  <c r="J330" i="13"/>
  <c r="O330" i="13" s="1"/>
  <c r="N329" i="13"/>
  <c r="J329" i="13"/>
  <c r="O329" i="13" s="1"/>
  <c r="N328" i="13"/>
  <c r="J328" i="13"/>
  <c r="O328" i="13" s="1"/>
  <c r="N327" i="13"/>
  <c r="J327" i="13"/>
  <c r="O327" i="13" s="1"/>
  <c r="N326" i="13"/>
  <c r="J326" i="13"/>
  <c r="O326" i="13" s="1"/>
  <c r="N325" i="13"/>
  <c r="J325" i="13"/>
  <c r="O325" i="13" s="1"/>
  <c r="N324" i="13"/>
  <c r="J324" i="13"/>
  <c r="O324" i="13" s="1"/>
  <c r="N323" i="13"/>
  <c r="J323" i="13"/>
  <c r="O323" i="13" s="1"/>
  <c r="N322" i="13"/>
  <c r="J322" i="13"/>
  <c r="O322" i="13" s="1"/>
  <c r="N321" i="13"/>
  <c r="J321" i="13"/>
  <c r="O321" i="13" s="1"/>
  <c r="N320" i="13"/>
  <c r="J320" i="13"/>
  <c r="O320" i="13" s="1"/>
  <c r="N319" i="13"/>
  <c r="J319" i="13"/>
  <c r="O319" i="13" s="1"/>
  <c r="N318" i="13"/>
  <c r="J318" i="13"/>
  <c r="O318" i="13" s="1"/>
  <c r="N317" i="13"/>
  <c r="J317" i="13"/>
  <c r="O317" i="13" s="1"/>
  <c r="N316" i="13"/>
  <c r="J316" i="13"/>
  <c r="O316" i="13" s="1"/>
  <c r="N315" i="13"/>
  <c r="J315" i="13"/>
  <c r="O315" i="13" s="1"/>
  <c r="N314" i="13"/>
  <c r="J314" i="13"/>
  <c r="O314" i="13" s="1"/>
  <c r="N313" i="13"/>
  <c r="J313" i="13"/>
  <c r="O313" i="13" s="1"/>
  <c r="N312" i="13"/>
  <c r="J312" i="13"/>
  <c r="O312" i="13" s="1"/>
  <c r="N311" i="13"/>
  <c r="J311" i="13"/>
  <c r="O311" i="13" s="1"/>
  <c r="N310" i="13"/>
  <c r="J310" i="13"/>
  <c r="O310" i="13" s="1"/>
  <c r="N309" i="13"/>
  <c r="J309" i="13"/>
  <c r="O309" i="13" s="1"/>
  <c r="N308" i="13"/>
  <c r="J308" i="13"/>
  <c r="O308" i="13" s="1"/>
  <c r="N307" i="13"/>
  <c r="J307" i="13"/>
  <c r="O307" i="13" s="1"/>
  <c r="N306" i="13"/>
  <c r="J306" i="13"/>
  <c r="O306" i="13" s="1"/>
  <c r="N305" i="13"/>
  <c r="J305" i="13"/>
  <c r="O305" i="13" s="1"/>
  <c r="N304" i="13"/>
  <c r="J304" i="13"/>
  <c r="O304" i="13" s="1"/>
  <c r="N303" i="13"/>
  <c r="J303" i="13"/>
  <c r="O303" i="13" s="1"/>
  <c r="N302" i="13"/>
  <c r="J302" i="13"/>
  <c r="O302" i="13" s="1"/>
  <c r="N301" i="13"/>
  <c r="J301" i="13"/>
  <c r="O301" i="13" s="1"/>
  <c r="N300" i="13"/>
  <c r="J300" i="13"/>
  <c r="O300" i="13" s="1"/>
  <c r="N299" i="13"/>
  <c r="J299" i="13"/>
  <c r="O299" i="13" s="1"/>
  <c r="N298" i="13"/>
  <c r="J298" i="13"/>
  <c r="O298" i="13" s="1"/>
  <c r="N297" i="13"/>
  <c r="J297" i="13"/>
  <c r="O297" i="13" s="1"/>
  <c r="N296" i="13"/>
  <c r="J296" i="13"/>
  <c r="O296" i="13" s="1"/>
  <c r="N295" i="13"/>
  <c r="J295" i="13"/>
  <c r="O295" i="13" s="1"/>
  <c r="N294" i="13"/>
  <c r="J294" i="13"/>
  <c r="O294" i="13" s="1"/>
  <c r="N293" i="13"/>
  <c r="J293" i="13"/>
  <c r="O293" i="13" s="1"/>
  <c r="N292" i="13"/>
  <c r="J292" i="13"/>
  <c r="O292" i="13" s="1"/>
  <c r="N291" i="13"/>
  <c r="J291" i="13"/>
  <c r="O291" i="13" s="1"/>
  <c r="N290" i="13"/>
  <c r="J290" i="13"/>
  <c r="O290" i="13" s="1"/>
  <c r="N289" i="13"/>
  <c r="J289" i="13"/>
  <c r="O289" i="13" s="1"/>
  <c r="N288" i="13"/>
  <c r="J288" i="13"/>
  <c r="O288" i="13" s="1"/>
  <c r="N287" i="13"/>
  <c r="J287" i="13"/>
  <c r="O287" i="13" s="1"/>
  <c r="N286" i="13"/>
  <c r="J286" i="13"/>
  <c r="O286" i="13" s="1"/>
  <c r="N285" i="13"/>
  <c r="J285" i="13"/>
  <c r="O285" i="13" s="1"/>
  <c r="N284" i="13"/>
  <c r="J284" i="13"/>
  <c r="O284" i="13" s="1"/>
  <c r="N283" i="13"/>
  <c r="J283" i="13"/>
  <c r="O283" i="13" s="1"/>
  <c r="N282" i="13"/>
  <c r="J282" i="13"/>
  <c r="O282" i="13" s="1"/>
  <c r="N281" i="13"/>
  <c r="J281" i="13"/>
  <c r="O281" i="13" s="1"/>
  <c r="N280" i="13"/>
  <c r="J280" i="13"/>
  <c r="O280" i="13" s="1"/>
  <c r="N279" i="13"/>
  <c r="J279" i="13"/>
  <c r="O279" i="13" s="1"/>
  <c r="N278" i="13"/>
  <c r="J278" i="13"/>
  <c r="O278" i="13" s="1"/>
  <c r="N277" i="13"/>
  <c r="J277" i="13"/>
  <c r="O277" i="13" s="1"/>
  <c r="N276" i="13"/>
  <c r="J276" i="13"/>
  <c r="O276" i="13" s="1"/>
  <c r="N275" i="13"/>
  <c r="J275" i="13"/>
  <c r="O275" i="13" s="1"/>
  <c r="N274" i="13"/>
  <c r="J274" i="13"/>
  <c r="O274" i="13" s="1"/>
  <c r="N273" i="13"/>
  <c r="J273" i="13"/>
  <c r="O273" i="13" s="1"/>
  <c r="N272" i="13"/>
  <c r="J272" i="13"/>
  <c r="O272" i="13" s="1"/>
  <c r="N271" i="13"/>
  <c r="J271" i="13"/>
  <c r="O271" i="13" s="1"/>
  <c r="N270" i="13"/>
  <c r="J270" i="13"/>
  <c r="O270" i="13" s="1"/>
  <c r="N269" i="13"/>
  <c r="J269" i="13"/>
  <c r="O269" i="13" s="1"/>
  <c r="N268" i="13"/>
  <c r="J268" i="13"/>
  <c r="O268" i="13" s="1"/>
  <c r="N267" i="13"/>
  <c r="J267" i="13"/>
  <c r="O267" i="13" s="1"/>
  <c r="N266" i="13"/>
  <c r="J266" i="13"/>
  <c r="O266" i="13" s="1"/>
  <c r="N265" i="13"/>
  <c r="J265" i="13"/>
  <c r="O265" i="13" s="1"/>
  <c r="N264" i="13"/>
  <c r="J264" i="13"/>
  <c r="O264" i="13" s="1"/>
  <c r="N263" i="13"/>
  <c r="J263" i="13"/>
  <c r="O263" i="13" s="1"/>
  <c r="N262" i="13"/>
  <c r="J262" i="13"/>
  <c r="O262" i="13" s="1"/>
  <c r="N261" i="13"/>
  <c r="J261" i="13"/>
  <c r="O261" i="13" s="1"/>
  <c r="N260" i="13"/>
  <c r="J260" i="13"/>
  <c r="O260" i="13" s="1"/>
  <c r="N259" i="13"/>
  <c r="J259" i="13"/>
  <c r="O259" i="13" s="1"/>
  <c r="N258" i="13"/>
  <c r="J258" i="13"/>
  <c r="O258" i="13" s="1"/>
  <c r="N257" i="13"/>
  <c r="J257" i="13"/>
  <c r="O257" i="13" s="1"/>
  <c r="N256" i="13"/>
  <c r="J256" i="13"/>
  <c r="O256" i="13" s="1"/>
  <c r="N255" i="13"/>
  <c r="J255" i="13"/>
  <c r="O255" i="13" s="1"/>
  <c r="N254" i="13"/>
  <c r="J254" i="13"/>
  <c r="O254" i="13" s="1"/>
  <c r="N253" i="13"/>
  <c r="J253" i="13"/>
  <c r="O253" i="13" s="1"/>
  <c r="N252" i="13"/>
  <c r="J252" i="13"/>
  <c r="O252" i="13" s="1"/>
  <c r="N251" i="13"/>
  <c r="J251" i="13"/>
  <c r="O251" i="13" s="1"/>
  <c r="N250" i="13"/>
  <c r="J250" i="13"/>
  <c r="O250" i="13" s="1"/>
  <c r="N249" i="13"/>
  <c r="J249" i="13"/>
  <c r="O249" i="13" s="1"/>
  <c r="N248" i="13"/>
  <c r="J248" i="13"/>
  <c r="O248" i="13" s="1"/>
  <c r="N247" i="13"/>
  <c r="J247" i="13"/>
  <c r="O247" i="13" s="1"/>
  <c r="N246" i="13"/>
  <c r="J246" i="13"/>
  <c r="O246" i="13" s="1"/>
  <c r="N245" i="13"/>
  <c r="J245" i="13"/>
  <c r="O245" i="13" s="1"/>
  <c r="N244" i="13"/>
  <c r="J244" i="13"/>
  <c r="O244" i="13" s="1"/>
  <c r="N243" i="13"/>
  <c r="J243" i="13"/>
  <c r="O243" i="13" s="1"/>
  <c r="N242" i="13"/>
  <c r="J242" i="13"/>
  <c r="O242" i="13" s="1"/>
  <c r="N241" i="13"/>
  <c r="J241" i="13"/>
  <c r="O241" i="13" s="1"/>
  <c r="N240" i="13"/>
  <c r="J240" i="13"/>
  <c r="O240" i="13" s="1"/>
  <c r="N239" i="13"/>
  <c r="J239" i="13"/>
  <c r="O239" i="13" s="1"/>
  <c r="N238" i="13"/>
  <c r="J238" i="13"/>
  <c r="O238" i="13" s="1"/>
  <c r="N237" i="13"/>
  <c r="J237" i="13"/>
  <c r="N236" i="13"/>
  <c r="J236" i="13"/>
  <c r="N235" i="13"/>
  <c r="J235" i="13"/>
  <c r="N234" i="13"/>
  <c r="J234" i="13"/>
  <c r="N233" i="13"/>
  <c r="J233" i="13"/>
  <c r="N232" i="13"/>
  <c r="J232" i="13"/>
  <c r="N231" i="13"/>
  <c r="J231" i="13"/>
  <c r="N230" i="13"/>
  <c r="J230" i="13"/>
  <c r="N229" i="13"/>
  <c r="J229" i="13"/>
  <c r="N228" i="13"/>
  <c r="J228" i="13"/>
  <c r="N227" i="13"/>
  <c r="J227" i="13"/>
  <c r="N226" i="13"/>
  <c r="J226" i="13"/>
  <c r="N225" i="13"/>
  <c r="J225" i="13"/>
  <c r="N224" i="13"/>
  <c r="J224" i="13"/>
  <c r="N223" i="13"/>
  <c r="J223" i="13"/>
  <c r="N222" i="13"/>
  <c r="J222" i="13"/>
  <c r="N221" i="13"/>
  <c r="J221" i="13"/>
  <c r="N220" i="13"/>
  <c r="J220" i="13"/>
  <c r="N219" i="13"/>
  <c r="J219" i="13"/>
  <c r="N218" i="13"/>
  <c r="J218" i="13"/>
  <c r="N217" i="13"/>
  <c r="J217" i="13"/>
  <c r="N216" i="13"/>
  <c r="J216" i="13"/>
  <c r="N215" i="13"/>
  <c r="J215" i="13"/>
  <c r="N214" i="13"/>
  <c r="J214" i="13"/>
  <c r="N213" i="13"/>
  <c r="J213" i="13"/>
  <c r="N212" i="13"/>
  <c r="J212" i="13"/>
  <c r="N211" i="13"/>
  <c r="J211" i="13"/>
  <c r="N210" i="13"/>
  <c r="J210" i="13"/>
  <c r="N209" i="13"/>
  <c r="J209" i="13"/>
  <c r="N208" i="13"/>
  <c r="J208" i="13"/>
  <c r="N207" i="13"/>
  <c r="J207" i="13"/>
  <c r="N206" i="13"/>
  <c r="J206" i="13"/>
  <c r="N205" i="13"/>
  <c r="J205" i="13"/>
  <c r="N204" i="13"/>
  <c r="J204" i="13"/>
  <c r="N203" i="13"/>
  <c r="J203" i="13"/>
  <c r="N202" i="13"/>
  <c r="J202" i="13"/>
  <c r="N201" i="13"/>
  <c r="J201" i="13"/>
  <c r="N200" i="13"/>
  <c r="J200" i="13"/>
  <c r="N199" i="13"/>
  <c r="J199" i="13"/>
  <c r="N198" i="13"/>
  <c r="J198" i="13"/>
  <c r="N197" i="13"/>
  <c r="J197" i="13"/>
  <c r="N196" i="13"/>
  <c r="J196" i="13"/>
  <c r="N195" i="13"/>
  <c r="J195" i="13"/>
  <c r="N194" i="13"/>
  <c r="J194" i="13"/>
  <c r="N193" i="13"/>
  <c r="J193" i="13"/>
  <c r="N192" i="13"/>
  <c r="J192" i="13"/>
  <c r="N191" i="13"/>
  <c r="J191" i="13"/>
  <c r="N190" i="13"/>
  <c r="J190" i="13"/>
  <c r="N189" i="13"/>
  <c r="J189" i="13"/>
  <c r="N188" i="13"/>
  <c r="J188" i="13"/>
  <c r="N187" i="13"/>
  <c r="J187" i="13"/>
  <c r="N186" i="13"/>
  <c r="J186" i="13"/>
  <c r="N185" i="13"/>
  <c r="J185" i="13"/>
  <c r="N184" i="13"/>
  <c r="J184" i="13"/>
  <c r="N183" i="13"/>
  <c r="J183" i="13"/>
  <c r="N182" i="13"/>
  <c r="J182" i="13"/>
  <c r="N181" i="13"/>
  <c r="J181" i="13"/>
  <c r="N180" i="13"/>
  <c r="J180" i="13"/>
  <c r="N179" i="13"/>
  <c r="J179" i="13"/>
  <c r="N178" i="13"/>
  <c r="J178" i="13"/>
  <c r="N177" i="13"/>
  <c r="J177" i="13"/>
  <c r="N176" i="13"/>
  <c r="J176" i="13"/>
  <c r="N175" i="13"/>
  <c r="J175" i="13"/>
  <c r="N174" i="13"/>
  <c r="J174" i="13"/>
  <c r="N173" i="13"/>
  <c r="J173" i="13"/>
  <c r="N172" i="13"/>
  <c r="J172" i="13"/>
  <c r="N171" i="13"/>
  <c r="J171" i="13"/>
  <c r="N170" i="13"/>
  <c r="J170" i="13"/>
  <c r="N169" i="13"/>
  <c r="J169" i="13"/>
  <c r="N168" i="13"/>
  <c r="J168" i="13"/>
  <c r="N167" i="13"/>
  <c r="J167" i="13"/>
  <c r="N166" i="13"/>
  <c r="J166" i="13"/>
  <c r="N165" i="13"/>
  <c r="J165" i="13"/>
  <c r="N164" i="13"/>
  <c r="J164" i="13"/>
  <c r="N163" i="13"/>
  <c r="J163" i="13"/>
  <c r="N162" i="13"/>
  <c r="J162" i="13"/>
  <c r="N161" i="13"/>
  <c r="J161" i="13"/>
  <c r="N160" i="13"/>
  <c r="J160" i="13"/>
  <c r="N159" i="13"/>
  <c r="J159" i="13"/>
  <c r="N158" i="13"/>
  <c r="J158" i="13"/>
  <c r="N157" i="13"/>
  <c r="J157" i="13"/>
  <c r="N156" i="13"/>
  <c r="J156" i="13"/>
  <c r="N155" i="13"/>
  <c r="J155" i="13"/>
  <c r="N154" i="13"/>
  <c r="J154" i="13"/>
  <c r="N153" i="13"/>
  <c r="J153" i="13"/>
  <c r="N152" i="13"/>
  <c r="J152" i="13"/>
  <c r="N151" i="13"/>
  <c r="J151" i="13"/>
  <c r="N150" i="13"/>
  <c r="J150" i="13"/>
  <c r="N149" i="13"/>
  <c r="J149" i="13"/>
  <c r="N148" i="13"/>
  <c r="J148" i="13"/>
  <c r="N147" i="13"/>
  <c r="J147" i="13"/>
  <c r="N146" i="13"/>
  <c r="J146" i="13"/>
  <c r="N145" i="13"/>
  <c r="J145" i="13"/>
  <c r="N144" i="13"/>
  <c r="J144" i="13"/>
  <c r="N143" i="13"/>
  <c r="J143" i="13"/>
  <c r="N142" i="13"/>
  <c r="J142" i="13"/>
  <c r="N141" i="13"/>
  <c r="J141" i="13"/>
  <c r="N140" i="13"/>
  <c r="J140" i="13"/>
  <c r="N139" i="13"/>
  <c r="J139" i="13"/>
  <c r="N138" i="13"/>
  <c r="J138" i="13"/>
  <c r="N137" i="13"/>
  <c r="J137" i="13"/>
  <c r="N136" i="13"/>
  <c r="J136" i="13"/>
  <c r="N135" i="13"/>
  <c r="J135" i="13"/>
  <c r="N134" i="13"/>
  <c r="J134" i="13"/>
  <c r="N133" i="13"/>
  <c r="J133" i="13"/>
  <c r="N132" i="13"/>
  <c r="J132" i="13"/>
  <c r="N131" i="13"/>
  <c r="J131" i="13"/>
  <c r="N130" i="13"/>
  <c r="J130" i="13"/>
  <c r="N129" i="13"/>
  <c r="J129" i="13"/>
  <c r="N128" i="13"/>
  <c r="J128" i="13"/>
  <c r="N127" i="13"/>
  <c r="J127" i="13"/>
  <c r="N126" i="13"/>
  <c r="J126" i="13"/>
  <c r="N125" i="13"/>
  <c r="J125" i="13"/>
  <c r="N124" i="13"/>
  <c r="J124" i="13"/>
  <c r="N123" i="13"/>
  <c r="J123" i="13"/>
  <c r="N122" i="13"/>
  <c r="J122" i="13"/>
  <c r="N121" i="13"/>
  <c r="J121" i="13"/>
  <c r="N120" i="13"/>
  <c r="J120" i="13"/>
  <c r="N119" i="13"/>
  <c r="J119" i="13"/>
  <c r="N118" i="13"/>
  <c r="J118" i="13"/>
  <c r="N117" i="13"/>
  <c r="J117" i="13"/>
  <c r="N116" i="13"/>
  <c r="J116" i="13"/>
  <c r="N115" i="13"/>
  <c r="J115" i="13"/>
  <c r="N114" i="13"/>
  <c r="J114" i="13"/>
  <c r="N113" i="13"/>
  <c r="J113" i="13"/>
  <c r="N112" i="13"/>
  <c r="J112" i="13"/>
  <c r="N111" i="13"/>
  <c r="J111" i="13"/>
  <c r="N110" i="13"/>
  <c r="J110" i="13"/>
  <c r="N109" i="13"/>
  <c r="J109" i="13"/>
  <c r="N108" i="13"/>
  <c r="J108" i="13"/>
  <c r="N107" i="13"/>
  <c r="J107" i="13"/>
  <c r="N106" i="13"/>
  <c r="J106" i="13"/>
  <c r="N105" i="13"/>
  <c r="J105" i="13"/>
  <c r="N104" i="13"/>
  <c r="J104" i="13"/>
  <c r="N103" i="13"/>
  <c r="J103" i="13"/>
  <c r="N102" i="13"/>
  <c r="J102" i="13"/>
  <c r="N101" i="13"/>
  <c r="J101" i="13"/>
  <c r="N100" i="13"/>
  <c r="J100" i="13"/>
  <c r="N99" i="13"/>
  <c r="J99" i="13"/>
  <c r="N98" i="13"/>
  <c r="J98" i="13"/>
  <c r="N97" i="13"/>
  <c r="J97" i="13"/>
  <c r="N96" i="13"/>
  <c r="J96" i="13"/>
  <c r="N95" i="13"/>
  <c r="J95" i="13"/>
  <c r="N94" i="13"/>
  <c r="J94" i="13"/>
  <c r="N93" i="13"/>
  <c r="J93" i="13"/>
  <c r="N92" i="13"/>
  <c r="J92" i="13"/>
  <c r="N91" i="13"/>
  <c r="J91" i="13"/>
  <c r="N90" i="13"/>
  <c r="J90" i="13"/>
  <c r="N89" i="13"/>
  <c r="J89" i="13"/>
  <c r="N88" i="13"/>
  <c r="J88" i="13"/>
  <c r="N87" i="13"/>
  <c r="J87" i="13"/>
  <c r="N86" i="13"/>
  <c r="J86" i="13"/>
  <c r="N85" i="13"/>
  <c r="J85" i="13"/>
  <c r="N84" i="13"/>
  <c r="J84" i="13"/>
  <c r="N83" i="13"/>
  <c r="J83" i="13"/>
  <c r="N82" i="13"/>
  <c r="J82" i="13"/>
  <c r="N81" i="13"/>
  <c r="J81" i="13"/>
  <c r="N80" i="13"/>
  <c r="J80" i="13"/>
  <c r="N79" i="13"/>
  <c r="J79" i="13"/>
  <c r="N78" i="13"/>
  <c r="J78" i="13"/>
  <c r="N77" i="13"/>
  <c r="J77" i="13"/>
  <c r="N76" i="13"/>
  <c r="J76" i="13"/>
  <c r="N75" i="13"/>
  <c r="J75" i="13"/>
  <c r="N74" i="13"/>
  <c r="J74" i="13"/>
  <c r="N73" i="13"/>
  <c r="J73" i="13"/>
  <c r="N72" i="13"/>
  <c r="J72" i="13"/>
  <c r="N71" i="13"/>
  <c r="J71" i="13"/>
  <c r="N70" i="13"/>
  <c r="J70" i="13"/>
  <c r="N69" i="13"/>
  <c r="J69" i="13"/>
  <c r="N68" i="13"/>
  <c r="J68" i="13"/>
  <c r="N67" i="13"/>
  <c r="J67" i="13"/>
  <c r="N66" i="13"/>
  <c r="J66" i="13"/>
  <c r="N65" i="13"/>
  <c r="J65" i="13"/>
  <c r="N64" i="13"/>
  <c r="J64" i="13"/>
  <c r="N63" i="13"/>
  <c r="J63" i="13"/>
  <c r="N62" i="13"/>
  <c r="J62" i="13"/>
  <c r="N61" i="13"/>
  <c r="J61" i="13"/>
  <c r="N60" i="13"/>
  <c r="J60" i="13"/>
  <c r="N59" i="13"/>
  <c r="J59" i="13"/>
  <c r="N58" i="13"/>
  <c r="J58" i="13"/>
  <c r="N57" i="13"/>
  <c r="J57" i="13"/>
  <c r="N56" i="13"/>
  <c r="J56" i="13"/>
  <c r="N55" i="13"/>
  <c r="J55" i="13"/>
  <c r="N54" i="13"/>
  <c r="J54" i="13"/>
  <c r="N53" i="13"/>
  <c r="J53" i="13"/>
  <c r="N52" i="13"/>
  <c r="J52" i="13"/>
  <c r="N51" i="13"/>
  <c r="J51" i="13"/>
  <c r="N50" i="13"/>
  <c r="J50" i="13"/>
  <c r="N49" i="13"/>
  <c r="J49" i="13"/>
  <c r="N48" i="13"/>
  <c r="J48" i="13"/>
  <c r="N47" i="13"/>
  <c r="J47" i="13"/>
  <c r="N46" i="13"/>
  <c r="J46" i="13"/>
  <c r="N45" i="13"/>
  <c r="J45" i="13"/>
  <c r="N44" i="13"/>
  <c r="J44" i="13"/>
  <c r="N43" i="13"/>
  <c r="J43" i="13"/>
  <c r="N42" i="13"/>
  <c r="J42" i="13"/>
  <c r="N41" i="13"/>
  <c r="J41" i="13"/>
  <c r="N40" i="13"/>
  <c r="J40" i="13"/>
  <c r="N39" i="13"/>
  <c r="J39" i="13"/>
  <c r="N38" i="13"/>
  <c r="J38" i="13"/>
  <c r="N37" i="13"/>
  <c r="J37" i="13"/>
  <c r="N36" i="13"/>
  <c r="J36" i="13"/>
  <c r="N35" i="13"/>
  <c r="J35" i="13"/>
  <c r="N34" i="13"/>
  <c r="J34" i="13"/>
  <c r="N33" i="13"/>
  <c r="J33" i="13"/>
  <c r="N32" i="13"/>
  <c r="J32" i="13"/>
  <c r="N31" i="13"/>
  <c r="J31" i="13"/>
  <c r="N30" i="13"/>
  <c r="J30" i="13"/>
  <c r="N29" i="13"/>
  <c r="J29" i="13"/>
  <c r="N28" i="13"/>
  <c r="J28" i="13"/>
  <c r="N27" i="13"/>
  <c r="J27" i="13"/>
  <c r="N26" i="13"/>
  <c r="J26" i="13"/>
  <c r="N25" i="13"/>
  <c r="J25" i="13"/>
  <c r="N24" i="13"/>
  <c r="J24" i="13"/>
  <c r="N23" i="13"/>
  <c r="J23" i="13"/>
  <c r="N22" i="13"/>
  <c r="J22" i="13"/>
  <c r="N21" i="13"/>
  <c r="J21" i="13"/>
  <c r="N20" i="13"/>
  <c r="J20" i="13"/>
  <c r="N19" i="13"/>
  <c r="J19" i="13"/>
  <c r="N18" i="13"/>
  <c r="J18" i="13"/>
  <c r="N17" i="13"/>
  <c r="J17" i="13"/>
  <c r="N16" i="13"/>
  <c r="J16" i="13"/>
  <c r="N15" i="13"/>
  <c r="J15" i="13"/>
  <c r="N14" i="13"/>
  <c r="J14" i="13"/>
  <c r="N13" i="13"/>
  <c r="J13" i="13"/>
  <c r="N12" i="13"/>
  <c r="J12" i="13"/>
  <c r="N11" i="13"/>
  <c r="J11" i="13"/>
  <c r="N10" i="13"/>
  <c r="J10" i="13"/>
  <c r="N9" i="13"/>
  <c r="J9" i="13"/>
  <c r="N8" i="13"/>
  <c r="J8" i="13"/>
  <c r="N7" i="13"/>
  <c r="J7" i="13"/>
  <c r="N6" i="13"/>
  <c r="J6" i="13"/>
  <c r="N5" i="13"/>
  <c r="J5" i="13"/>
  <c r="N4" i="13"/>
  <c r="J4" i="13"/>
  <c r="N3" i="13"/>
  <c r="J3" i="13"/>
  <c r="N2" i="13"/>
  <c r="J2" i="13"/>
</calcChain>
</file>

<file path=xl/sharedStrings.xml><?xml version="1.0" encoding="utf-8"?>
<sst xmlns="http://schemas.openxmlformats.org/spreadsheetml/2006/main" count="5579" uniqueCount="69">
  <si>
    <t>Brannan Island SRA</t>
  </si>
  <si>
    <t>Park Name</t>
  </si>
  <si>
    <t>Closed</t>
  </si>
  <si>
    <t>Inactive</t>
  </si>
  <si>
    <t>PDUVeh</t>
  </si>
  <si>
    <t>PDUNonVeh</t>
  </si>
  <si>
    <t>PDU_group</t>
  </si>
  <si>
    <t>FDUVeh</t>
  </si>
  <si>
    <t>FDUNonVeh</t>
  </si>
  <si>
    <t>FDU_group</t>
  </si>
  <si>
    <t>OCSites</t>
  </si>
  <si>
    <t>OCOther</t>
  </si>
  <si>
    <t>OC_Group</t>
  </si>
  <si>
    <t>BoatsL</t>
  </si>
  <si>
    <t>OldPasses</t>
  </si>
  <si>
    <t>NewPasses</t>
  </si>
  <si>
    <t>Month/Year</t>
  </si>
  <si>
    <t>Total Visitors</t>
  </si>
  <si>
    <t>Franks Tract SRA</t>
  </si>
  <si>
    <t>Delta Meadows</t>
  </si>
  <si>
    <t>Caswell Memorial SP</t>
  </si>
  <si>
    <t>Wet</t>
  </si>
  <si>
    <t>Oct</t>
  </si>
  <si>
    <t>Nov</t>
  </si>
  <si>
    <t>Dec</t>
  </si>
  <si>
    <t>Jan</t>
  </si>
  <si>
    <t>Mar</t>
  </si>
  <si>
    <t>Feb</t>
  </si>
  <si>
    <t>Apr</t>
  </si>
  <si>
    <t>May</t>
  </si>
  <si>
    <t>Jun</t>
  </si>
  <si>
    <t>Aug</t>
  </si>
  <si>
    <t>Sep</t>
  </si>
  <si>
    <t>Jul</t>
  </si>
  <si>
    <t>OC_Total</t>
  </si>
  <si>
    <t>DU_Total</t>
  </si>
  <si>
    <t>Old Sacramento SHP</t>
  </si>
  <si>
    <t>Bethany Reservoir SRA</t>
  </si>
  <si>
    <t>Benicia SRA</t>
  </si>
  <si>
    <t>Critical</t>
  </si>
  <si>
    <t>Dry</t>
  </si>
  <si>
    <t>Above Normal</t>
  </si>
  <si>
    <t>Row Labels</t>
  </si>
  <si>
    <t>Grand Total</t>
  </si>
  <si>
    <t>Column Labels</t>
  </si>
  <si>
    <t>Above normal</t>
  </si>
  <si>
    <t>Below Normal</t>
  </si>
  <si>
    <t>Non-boaters</t>
  </si>
  <si>
    <t>Average of Non-boaters</t>
  </si>
  <si>
    <t>ALL CSP BOATERS</t>
  </si>
  <si>
    <t xml:space="preserve"> BRANNAN ISLAND SRA</t>
  </si>
  <si>
    <t>FRANKS TRACT SRA</t>
  </si>
  <si>
    <t>DELTA MEADOWS</t>
  </si>
  <si>
    <t>ALL CSP DAY USE (NON-BOATERS)</t>
  </si>
  <si>
    <t>BRANNAN ISLAND SRA</t>
  </si>
  <si>
    <t>OLD SACRAMENTO SHP</t>
  </si>
  <si>
    <t>CASWELL MEMORIAL SP</t>
  </si>
  <si>
    <t>BENICIA SRA</t>
  </si>
  <si>
    <t>BETHANY RESERVOIR SRA</t>
  </si>
  <si>
    <t>April-Sept</t>
  </si>
  <si>
    <t>DayUse_Total</t>
  </si>
  <si>
    <t xml:space="preserve">DU_Total </t>
  </si>
  <si>
    <t>Weighted Summer discharge class</t>
  </si>
  <si>
    <t>Boats</t>
  </si>
  <si>
    <t>(All)</t>
  </si>
  <si>
    <t>Average of BoatsL</t>
  </si>
  <si>
    <t xml:space="preserve">Average of DU_Total </t>
  </si>
  <si>
    <t>Boaters</t>
  </si>
  <si>
    <t>Day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</si>
</sst>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164" fontId="0" fillId="0" borderId="0" xfId="1" applyNumberFormat="1" applyFont="1"/>
    <xf numFmtId="0" fontId="2" fillId="0" borderId="0" xfId="0" applyFont="1" applyAlignment="1">
      <alignment horizontal="center"/>
    </xf>
    <xf numFmtId="164" fontId="0" fillId="0" borderId="0" xfId="0" applyNumberForma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2" borderId="0" xfId="0" applyFont="1" applyFill="1" applyAlignment="1">
      <alignment horizontal="center"/>
    </xf>
    <xf numFmtId="164" fontId="0" fillId="2" borderId="0" xfId="1" applyNumberFormat="1" applyFont="1" applyFill="1"/>
    <xf numFmtId="0" fontId="0" fillId="2" borderId="0" xfId="0" applyFill="1"/>
    <xf numFmtId="165" fontId="2" fillId="2" borderId="0" xfId="0" applyNumberFormat="1" applyFont="1" applyFill="1" applyAlignment="1">
      <alignment horizontal="center"/>
    </xf>
    <xf numFmtId="165" fontId="0" fillId="2" borderId="0" xfId="0" applyNumberFormat="1" applyFill="1"/>
    <xf numFmtId="0" fontId="2" fillId="3" borderId="1" xfId="0" applyFont="1" applyFill="1" applyBorder="1" applyAlignment="1">
      <alignment horizontal="center"/>
    </xf>
    <xf numFmtId="164" fontId="0" fillId="3" borderId="3" xfId="1" applyNumberFormat="1" applyFont="1" applyFill="1" applyBorder="1"/>
    <xf numFmtId="0" fontId="0" fillId="3" borderId="3" xfId="0" applyFill="1" applyBorder="1"/>
    <xf numFmtId="0" fontId="2" fillId="4" borderId="2" xfId="0" applyFont="1" applyFill="1" applyBorder="1" applyAlignment="1">
      <alignment horizontal="center"/>
    </xf>
    <xf numFmtId="164" fontId="0" fillId="4" borderId="4" xfId="1" applyNumberFormat="1" applyFont="1" applyFill="1" applyBorder="1"/>
    <xf numFmtId="0" fontId="0" fillId="4" borderId="4" xfId="0" applyFill="1" applyBorder="1"/>
    <xf numFmtId="14" fontId="2" fillId="2" borderId="0" xfId="0" applyNumberFormat="1" applyFont="1" applyFill="1" applyAlignment="1">
      <alignment horizontal="center"/>
    </xf>
    <xf numFmtId="14" fontId="0" fillId="2" borderId="0" xfId="0" applyNumberFormat="1" applyFill="1"/>
    <xf numFmtId="0" fontId="2" fillId="5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[State Parks day use and boating.xlsx]DAY USE!PivotTable1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rgbClr val="FF99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rgbClr val="0070C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'DAY USE'!$Y$6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'DAY USE'!$X$7:$X$19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'DAY USE'!$Y$7:$Y$19</c:f>
              <c:numCache>
                <c:formatCode>General</c:formatCode>
                <c:ptCount val="12"/>
                <c:pt idx="0">
                  <c:v>1011.9473684210526</c:v>
                </c:pt>
                <c:pt idx="1">
                  <c:v>1155.421052631579</c:v>
                </c:pt>
                <c:pt idx="2">
                  <c:v>1294.421052631579</c:v>
                </c:pt>
                <c:pt idx="3">
                  <c:v>1247.8947368421052</c:v>
                </c:pt>
                <c:pt idx="4">
                  <c:v>1330.3157894736842</c:v>
                </c:pt>
                <c:pt idx="5">
                  <c:v>1212.5263157894738</c:v>
                </c:pt>
                <c:pt idx="6">
                  <c:v>1154.6666666666667</c:v>
                </c:pt>
                <c:pt idx="7">
                  <c:v>1182.1904761904761</c:v>
                </c:pt>
                <c:pt idx="8">
                  <c:v>1138.9000000000001</c:v>
                </c:pt>
                <c:pt idx="9">
                  <c:v>989.25</c:v>
                </c:pt>
                <c:pt idx="10">
                  <c:v>895.35</c:v>
                </c:pt>
                <c:pt idx="11">
                  <c:v>1022.1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34-4E7F-865C-C1F620628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354896"/>
        <c:axId val="135355856"/>
      </c:lineChart>
      <c:catAx>
        <c:axId val="13535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55856"/>
        <c:crosses val="autoZero"/>
        <c:auto val="1"/>
        <c:lblAlgn val="ctr"/>
        <c:lblOffset val="100"/>
        <c:noMultiLvlLbl val="0"/>
      </c:catAx>
      <c:valAx>
        <c:axId val="13535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5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+mj-lt"/>
              </a:rPr>
              <a:t>b)</a:t>
            </a:r>
            <a:r>
              <a:rPr lang="en-US" b="1" baseline="0">
                <a:latin typeface="+mj-lt"/>
              </a:rPr>
              <a:t> Day use</a:t>
            </a:r>
            <a:endParaRPr lang="en-US" b="1"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'DAY USE'!$AJ$7</c:f>
              <c:strCache>
                <c:ptCount val="1"/>
                <c:pt idx="0">
                  <c:v>Dry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'DAY USE'!$AF$8:$AF$19</c15:sqref>
                  </c15:fullRef>
                </c:ext>
              </c:extLst>
              <c:f>'DAY USE'!$AF$11:$AF$16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'DAY USE'!$AJ$8:$AJ$19</c15:sqref>
                  </c15:fullRef>
                </c:ext>
              </c:extLst>
              <c:f>'DAY USE'!$AJ$11:$AJ$16</c:f>
              <c:numCache>
                <c:formatCode>General</c:formatCode>
                <c:ptCount val="6"/>
                <c:pt idx="0">
                  <c:v>5770.5666666666666</c:v>
                </c:pt>
                <c:pt idx="1">
                  <c:v>8087.4</c:v>
                </c:pt>
                <c:pt idx="2">
                  <c:v>8284.7999999999993</c:v>
                </c:pt>
                <c:pt idx="3">
                  <c:v>7136.916666666667</c:v>
                </c:pt>
                <c:pt idx="4">
                  <c:v>7529.8888888888887</c:v>
                </c:pt>
                <c:pt idx="5">
                  <c:v>12030.366666666667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9B-4683-9EED-68D64D4BD5FE}"/>
            </c:ext>
          </c:extLst>
        </c:ser>
        <c:ser>
          <c:idx val="1"/>
          <c:order val="1"/>
          <c:tx>
            <c:strRef>
              <c:f>'DAY USE'!$AI$7</c:f>
              <c:strCache>
                <c:ptCount val="1"/>
                <c:pt idx="0">
                  <c:v>Critical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'DAY USE'!$AF$8:$AF$19</c15:sqref>
                  </c15:fullRef>
                </c:ext>
              </c:extLst>
              <c:f>'DAY USE'!$AF$11:$AF$16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'DAY USE'!$AI$8:$AI$19</c15:sqref>
                  </c15:fullRef>
                </c:ext>
              </c:extLst>
              <c:f>'DAY USE'!$AI$11:$AI$16</c:f>
              <c:numCache>
                <c:formatCode>General</c:formatCode>
                <c:ptCount val="6"/>
                <c:pt idx="0">
                  <c:v>7679.666666666667</c:v>
                </c:pt>
                <c:pt idx="1">
                  <c:v>9995.9696969696961</c:v>
                </c:pt>
                <c:pt idx="2">
                  <c:v>9324.954545454546</c:v>
                </c:pt>
                <c:pt idx="3">
                  <c:v>10741.875</c:v>
                </c:pt>
                <c:pt idx="4">
                  <c:v>10468.875</c:v>
                </c:pt>
                <c:pt idx="5">
                  <c:v>10682.5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9B-4683-9EED-68D64D4BD5FE}"/>
            </c:ext>
          </c:extLst>
        </c:ser>
        <c:ser>
          <c:idx val="2"/>
          <c:order val="2"/>
          <c:tx>
            <c:strRef>
              <c:f>'DAY USE'!$AG$7</c:f>
              <c:strCache>
                <c:ptCount val="1"/>
                <c:pt idx="0">
                  <c:v>Above normal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'DAY USE'!$AF$8:$AF$19</c15:sqref>
                  </c15:fullRef>
                </c:ext>
              </c:extLst>
              <c:f>'DAY USE'!$AF$11:$AF$16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'DAY USE'!$AG$8:$AG$19</c15:sqref>
                  </c15:fullRef>
                </c:ext>
              </c:extLst>
              <c:f>'DAY USE'!$AG$11:$AG$16</c:f>
              <c:numCache>
                <c:formatCode>General</c:formatCode>
                <c:ptCount val="6"/>
                <c:pt idx="0">
                  <c:v>4815.666666666667</c:v>
                </c:pt>
                <c:pt idx="1">
                  <c:v>6464.833333333333</c:v>
                </c:pt>
                <c:pt idx="2">
                  <c:v>8061</c:v>
                </c:pt>
                <c:pt idx="3">
                  <c:v>8878.8333333333339</c:v>
                </c:pt>
                <c:pt idx="4">
                  <c:v>9085.5</c:v>
                </c:pt>
                <c:pt idx="5">
                  <c:v>10421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9B-4683-9EED-68D64D4BD5FE}"/>
            </c:ext>
          </c:extLst>
        </c:ser>
        <c:ser>
          <c:idx val="3"/>
          <c:order val="3"/>
          <c:tx>
            <c:strRef>
              <c:f>'DAY USE'!$AH$7</c:f>
              <c:strCache>
                <c:ptCount val="1"/>
                <c:pt idx="0">
                  <c:v>Below Normal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'DAY USE'!$AF$8:$AF$19</c15:sqref>
                  </c15:fullRef>
                </c:ext>
              </c:extLst>
              <c:f>'DAY USE'!$AF$11:$AF$16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'DAY USE'!$AH$8:$AH$19</c15:sqref>
                  </c15:fullRef>
                </c:ext>
              </c:extLst>
              <c:f>'DAY USE'!$AH$11:$AH$16</c:f>
              <c:numCache>
                <c:formatCode>General</c:formatCode>
                <c:ptCount val="6"/>
                <c:pt idx="0">
                  <c:v>7627.5</c:v>
                </c:pt>
                <c:pt idx="1">
                  <c:v>10536.166666666666</c:v>
                </c:pt>
                <c:pt idx="2">
                  <c:v>13571</c:v>
                </c:pt>
                <c:pt idx="3">
                  <c:v>11042.333333333334</c:v>
                </c:pt>
                <c:pt idx="4">
                  <c:v>12440.333333333334</c:v>
                </c:pt>
                <c:pt idx="5">
                  <c:v>7486.5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9B-4683-9EED-68D64D4BD5FE}"/>
            </c:ext>
          </c:extLst>
        </c:ser>
        <c:ser>
          <c:idx val="4"/>
          <c:order val="4"/>
          <c:tx>
            <c:strRef>
              <c:f>'DAY USE'!$AK$7</c:f>
              <c:strCache>
                <c:ptCount val="1"/>
                <c:pt idx="0">
                  <c:v>Wet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'DAY USE'!$AF$8:$AF$19</c15:sqref>
                  </c15:fullRef>
                </c:ext>
              </c:extLst>
              <c:f>'DAY USE'!$AF$11:$AF$16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'DAY USE'!$AK$8:$AK$19</c15:sqref>
                  </c15:fullRef>
                </c:ext>
              </c:extLst>
              <c:f>'DAY USE'!$AK$11:$AK$16</c:f>
              <c:numCache>
                <c:formatCode>General</c:formatCode>
                <c:ptCount val="6"/>
                <c:pt idx="0">
                  <c:v>8626.6666666666661</c:v>
                </c:pt>
                <c:pt idx="1">
                  <c:v>16103.333333333334</c:v>
                </c:pt>
                <c:pt idx="2">
                  <c:v>9651.5</c:v>
                </c:pt>
                <c:pt idx="3">
                  <c:v>14505.166666666666</c:v>
                </c:pt>
                <c:pt idx="4">
                  <c:v>12741.333333333334</c:v>
                </c:pt>
                <c:pt idx="5">
                  <c:v>19051.333333333332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D9B-4683-9EED-68D64D4BD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5348192"/>
        <c:axId val="1845357792"/>
      </c:lineChart>
      <c:catAx>
        <c:axId val="184534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357792"/>
        <c:crosses val="autoZero"/>
        <c:auto val="1"/>
        <c:lblAlgn val="ctr"/>
        <c:lblOffset val="100"/>
        <c:noMultiLvlLbl val="0"/>
      </c:catAx>
      <c:valAx>
        <c:axId val="1845357792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Users</a:t>
                </a:r>
                <a:r>
                  <a:rPr lang="en-US" sz="1200" baseline="0"/>
                  <a:t> per month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9.7895252080274098E-3"/>
              <c:y val="0.365187273525424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348192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Brannan Island SRA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'DAY USE'!$AO$7</c:f>
              <c:strCache>
                <c:ptCount val="1"/>
                <c:pt idx="0">
                  <c:v>Above normal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'DAY USE'!$AN$8:$AN$19</c15:sqref>
                  </c15:fullRef>
                </c:ext>
              </c:extLst>
              <c:f>'DAY USE'!$AN$11:$AN$16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'DAY USE'!$AO$8:$AO$19</c15:sqref>
                  </c15:fullRef>
                </c:ext>
              </c:extLst>
              <c:f>'DAY USE'!$AO$11:$AO$16</c:f>
              <c:numCache>
                <c:formatCode>General</c:formatCode>
                <c:ptCount val="6"/>
                <c:pt idx="0">
                  <c:v>8582</c:v>
                </c:pt>
                <c:pt idx="1">
                  <c:v>10989</c:v>
                </c:pt>
                <c:pt idx="2">
                  <c:v>9060</c:v>
                </c:pt>
                <c:pt idx="3">
                  <c:v>11348</c:v>
                </c:pt>
                <c:pt idx="4">
                  <c:v>8464</c:v>
                </c:pt>
                <c:pt idx="5">
                  <c:v>7191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8-44BD-8778-FC416018F43B}"/>
            </c:ext>
          </c:extLst>
        </c:ser>
        <c:ser>
          <c:idx val="1"/>
          <c:order val="1"/>
          <c:tx>
            <c:strRef>
              <c:f>'DAY USE'!$AP$7</c:f>
              <c:strCache>
                <c:ptCount val="1"/>
                <c:pt idx="0">
                  <c:v>Below Normal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'DAY USE'!$AN$8:$AN$19</c15:sqref>
                  </c15:fullRef>
                </c:ext>
              </c:extLst>
              <c:f>'DAY USE'!$AN$11:$AN$16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'DAY USE'!$AP$8:$AP$19</c15:sqref>
                  </c15:fullRef>
                </c:ext>
              </c:extLst>
              <c:f>'DAY USE'!$AP$11:$AP$16</c:f>
              <c:numCache>
                <c:formatCode>General</c:formatCode>
                <c:ptCount val="6"/>
                <c:pt idx="0">
                  <c:v>8717</c:v>
                </c:pt>
                <c:pt idx="1">
                  <c:v>15213</c:v>
                </c:pt>
                <c:pt idx="2">
                  <c:v>16549</c:v>
                </c:pt>
                <c:pt idx="3">
                  <c:v>20575</c:v>
                </c:pt>
                <c:pt idx="4">
                  <c:v>20595</c:v>
                </c:pt>
                <c:pt idx="5">
                  <c:v>12564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38-44BD-8778-FC416018F43B}"/>
            </c:ext>
          </c:extLst>
        </c:ser>
        <c:ser>
          <c:idx val="2"/>
          <c:order val="2"/>
          <c:tx>
            <c:strRef>
              <c:f>'DAY USE'!$AQ$7</c:f>
              <c:strCache>
                <c:ptCount val="1"/>
                <c:pt idx="0">
                  <c:v>Critical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'DAY USE'!$AN$8:$AN$19</c15:sqref>
                  </c15:fullRef>
                </c:ext>
              </c:extLst>
              <c:f>'DAY USE'!$AN$11:$AN$16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'DAY USE'!$AQ$8:$AQ$19</c15:sqref>
                  </c15:fullRef>
                </c:ext>
              </c:extLst>
              <c:f>'DAY USE'!$AQ$11:$AQ$16</c:f>
              <c:numCache>
                <c:formatCode>General</c:formatCode>
                <c:ptCount val="6"/>
                <c:pt idx="0">
                  <c:v>6824.636363636364</c:v>
                </c:pt>
                <c:pt idx="1">
                  <c:v>10183.818181818182</c:v>
                </c:pt>
                <c:pt idx="2">
                  <c:v>11150.09090909091</c:v>
                </c:pt>
                <c:pt idx="3">
                  <c:v>15930.583333333334</c:v>
                </c:pt>
                <c:pt idx="4">
                  <c:v>13460.333333333334</c:v>
                </c:pt>
                <c:pt idx="5">
                  <c:v>11081.416666666666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38-44BD-8778-FC416018F43B}"/>
            </c:ext>
          </c:extLst>
        </c:ser>
        <c:ser>
          <c:idx val="3"/>
          <c:order val="3"/>
          <c:tx>
            <c:strRef>
              <c:f>'DAY USE'!$AR$7</c:f>
              <c:strCache>
                <c:ptCount val="1"/>
                <c:pt idx="0">
                  <c:v>Dry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'DAY USE'!$AN$8:$AN$19</c15:sqref>
                  </c15:fullRef>
                </c:ext>
              </c:extLst>
              <c:f>'DAY USE'!$AN$11:$AN$16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'DAY USE'!$AR$8:$AR$19</c15:sqref>
                  </c15:fullRef>
                </c:ext>
              </c:extLst>
              <c:f>'DAY USE'!$AR$11:$AR$16</c:f>
              <c:numCache>
                <c:formatCode>General</c:formatCode>
                <c:ptCount val="6"/>
                <c:pt idx="0">
                  <c:v>4891</c:v>
                </c:pt>
                <c:pt idx="1">
                  <c:v>6423.2</c:v>
                </c:pt>
                <c:pt idx="2">
                  <c:v>7532</c:v>
                </c:pt>
                <c:pt idx="3">
                  <c:v>7993.666666666667</c:v>
                </c:pt>
                <c:pt idx="4">
                  <c:v>9116.6666666666661</c:v>
                </c:pt>
                <c:pt idx="5">
                  <c:v>7596.8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38-44BD-8778-FC416018F43B}"/>
            </c:ext>
          </c:extLst>
        </c:ser>
        <c:ser>
          <c:idx val="4"/>
          <c:order val="4"/>
          <c:tx>
            <c:strRef>
              <c:f>'DAY USE'!$AS$7</c:f>
              <c:strCache>
                <c:ptCount val="1"/>
                <c:pt idx="0">
                  <c:v>Wet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'DAY USE'!$AN$8:$AN$19</c15:sqref>
                  </c15:fullRef>
                </c:ext>
              </c:extLst>
              <c:f>'DAY USE'!$AN$11:$AN$16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'DAY USE'!$AS$8:$AS$19</c15:sqref>
                  </c15:fullRef>
                </c:ext>
              </c:extLst>
              <c:f>'DAY USE'!$AS$11:$AS$16</c:f>
              <c:numCache>
                <c:formatCode>General</c:formatCode>
                <c:ptCount val="6"/>
                <c:pt idx="0">
                  <c:v>5869</c:v>
                </c:pt>
                <c:pt idx="1">
                  <c:v>10191</c:v>
                </c:pt>
                <c:pt idx="2">
                  <c:v>9673</c:v>
                </c:pt>
                <c:pt idx="3">
                  <c:v>17362</c:v>
                </c:pt>
                <c:pt idx="4">
                  <c:v>11004</c:v>
                </c:pt>
                <c:pt idx="5">
                  <c:v>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D38-44BD-8778-FC416018F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5348192"/>
        <c:axId val="1845357792"/>
      </c:lineChart>
      <c:catAx>
        <c:axId val="184534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357792"/>
        <c:crosses val="autoZero"/>
        <c:auto val="1"/>
        <c:lblAlgn val="ctr"/>
        <c:lblOffset val="100"/>
        <c:noMultiLvlLbl val="0"/>
      </c:catAx>
      <c:valAx>
        <c:axId val="1845357792"/>
        <c:scaling>
          <c:orientation val="minMax"/>
          <c:max val="2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34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Delta Meadows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'DAY USE'!$AW$7</c:f>
              <c:strCache>
                <c:ptCount val="1"/>
                <c:pt idx="0">
                  <c:v>Above normal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'DAY USE'!$AV$8:$AV$19</c15:sqref>
                  </c15:fullRef>
                </c:ext>
              </c:extLst>
              <c:f>'DAY USE'!$AV$11:$AV$16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'DAY USE'!$AW$8:$AW$19</c15:sqref>
                  </c15:fullRef>
                </c:ext>
              </c:extLst>
              <c:f>'DAY USE'!$AW$11:$AW$16</c:f>
              <c:numCache>
                <c:formatCode>General</c:formatCode>
                <c:ptCount val="6"/>
                <c:pt idx="0">
                  <c:v>645</c:v>
                </c:pt>
                <c:pt idx="1">
                  <c:v>1007</c:v>
                </c:pt>
                <c:pt idx="2">
                  <c:v>544</c:v>
                </c:pt>
                <c:pt idx="3">
                  <c:v>545</c:v>
                </c:pt>
                <c:pt idx="4">
                  <c:v>646</c:v>
                </c:pt>
                <c:pt idx="5">
                  <c:v>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D4-472B-B361-45173766E7E8}"/>
            </c:ext>
          </c:extLst>
        </c:ser>
        <c:ser>
          <c:idx val="1"/>
          <c:order val="1"/>
          <c:tx>
            <c:strRef>
              <c:f>'DAY USE'!$AX$7</c:f>
              <c:strCache>
                <c:ptCount val="1"/>
                <c:pt idx="0">
                  <c:v>Below Normal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'DAY USE'!$AV$8:$AV$19</c15:sqref>
                  </c15:fullRef>
                </c:ext>
              </c:extLst>
              <c:f>'DAY USE'!$AV$11:$AV$16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'DAY USE'!$AX$8:$AX$19</c15:sqref>
                  </c15:fullRef>
                </c:ext>
              </c:extLst>
              <c:f>'DAY USE'!$AX$11:$AX$16</c:f>
              <c:numCache>
                <c:formatCode>General</c:formatCode>
                <c:ptCount val="6"/>
                <c:pt idx="0">
                  <c:v>448</c:v>
                </c:pt>
                <c:pt idx="1">
                  <c:v>899</c:v>
                </c:pt>
                <c:pt idx="2">
                  <c:v>851</c:v>
                </c:pt>
                <c:pt idx="3">
                  <c:v>701</c:v>
                </c:pt>
                <c:pt idx="4">
                  <c:v>1280</c:v>
                </c:pt>
                <c:pt idx="5">
                  <c:v>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D4-472B-B361-45173766E7E8}"/>
            </c:ext>
          </c:extLst>
        </c:ser>
        <c:ser>
          <c:idx val="2"/>
          <c:order val="2"/>
          <c:tx>
            <c:strRef>
              <c:f>'DAY USE'!$AY$7</c:f>
              <c:strCache>
                <c:ptCount val="1"/>
                <c:pt idx="0">
                  <c:v>Critical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'DAY USE'!$AV$8:$AV$19</c15:sqref>
                  </c15:fullRef>
                </c:ext>
              </c:extLst>
              <c:f>'DAY USE'!$AV$11:$AV$16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'DAY USE'!$AY$8:$AY$19</c15:sqref>
                  </c15:fullRef>
                </c:ext>
              </c:extLst>
              <c:f>'DAY USE'!$AY$11:$AY$16</c:f>
              <c:numCache>
                <c:formatCode>General</c:formatCode>
                <c:ptCount val="6"/>
                <c:pt idx="0">
                  <c:v>642.09090909090912</c:v>
                </c:pt>
                <c:pt idx="1">
                  <c:v>1090.2727272727273</c:v>
                </c:pt>
                <c:pt idx="2">
                  <c:v>817.27272727272725</c:v>
                </c:pt>
                <c:pt idx="3">
                  <c:v>697.41666666666663</c:v>
                </c:pt>
                <c:pt idx="4">
                  <c:v>1085.8333333333333</c:v>
                </c:pt>
                <c:pt idx="5">
                  <c:v>812.16666666666663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D4-472B-B361-45173766E7E8}"/>
            </c:ext>
          </c:extLst>
        </c:ser>
        <c:ser>
          <c:idx val="3"/>
          <c:order val="3"/>
          <c:tx>
            <c:strRef>
              <c:f>'DAY USE'!$AZ$7</c:f>
              <c:strCache>
                <c:ptCount val="1"/>
                <c:pt idx="0">
                  <c:v>Dry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'DAY USE'!$AV$8:$AV$19</c15:sqref>
                  </c15:fullRef>
                </c:ext>
              </c:extLst>
              <c:f>'DAY USE'!$AV$11:$AV$16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'DAY USE'!$AZ$8:$AZ$19</c15:sqref>
                  </c15:fullRef>
                </c:ext>
              </c:extLst>
              <c:f>'DAY USE'!$AZ$11:$AZ$16</c:f>
              <c:numCache>
                <c:formatCode>General</c:formatCode>
                <c:ptCount val="6"/>
                <c:pt idx="0">
                  <c:v>790.2</c:v>
                </c:pt>
                <c:pt idx="1">
                  <c:v>1085</c:v>
                </c:pt>
                <c:pt idx="2">
                  <c:v>1017.2</c:v>
                </c:pt>
                <c:pt idx="3">
                  <c:v>784</c:v>
                </c:pt>
                <c:pt idx="4">
                  <c:v>708.66666666666663</c:v>
                </c:pt>
                <c:pt idx="5">
                  <c:v>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D4-472B-B361-45173766E7E8}"/>
            </c:ext>
          </c:extLst>
        </c:ser>
        <c:ser>
          <c:idx val="4"/>
          <c:order val="4"/>
          <c:tx>
            <c:strRef>
              <c:f>'DAY USE'!$BA$7</c:f>
              <c:strCache>
                <c:ptCount val="1"/>
                <c:pt idx="0">
                  <c:v>Wet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'DAY USE'!$AV$8:$AV$19</c15:sqref>
                  </c15:fullRef>
                </c:ext>
              </c:extLst>
              <c:f>'DAY USE'!$AV$11:$AV$16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'DAY USE'!$BA$8:$BA$19</c15:sqref>
                  </c15:fullRef>
                </c:ext>
              </c:extLst>
              <c:f>'DAY USE'!$BA$11:$BA$16</c:f>
              <c:numCache>
                <c:formatCode>General</c:formatCode>
                <c:ptCount val="6"/>
                <c:pt idx="0">
                  <c:v>1087</c:v>
                </c:pt>
                <c:pt idx="1">
                  <c:v>2046</c:v>
                </c:pt>
                <c:pt idx="2">
                  <c:v>2109</c:v>
                </c:pt>
                <c:pt idx="3">
                  <c:v>4521</c:v>
                </c:pt>
                <c:pt idx="4">
                  <c:v>4152</c:v>
                </c:pt>
                <c:pt idx="5">
                  <c:v>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D4-472B-B361-45173766E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5348192"/>
        <c:axId val="1845357792"/>
      </c:lineChart>
      <c:catAx>
        <c:axId val="184534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357792"/>
        <c:crosses val="autoZero"/>
        <c:auto val="1"/>
        <c:lblAlgn val="ctr"/>
        <c:lblOffset val="100"/>
        <c:noMultiLvlLbl val="0"/>
      </c:catAx>
      <c:valAx>
        <c:axId val="1845357792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34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Old Sacramento</a:t>
            </a:r>
            <a:r>
              <a:rPr lang="en-US" baseline="0"/>
              <a:t> SHP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'DAY USE'!$BE$7</c:f>
              <c:strCache>
                <c:ptCount val="1"/>
                <c:pt idx="0">
                  <c:v>Above normal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'DAY USE'!$BD$8:$BD$19</c15:sqref>
                  </c15:fullRef>
                </c:ext>
              </c:extLst>
              <c:f>'DAY USE'!$BD$11:$BD$16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'DAY USE'!$BE$8:$BE$19</c15:sqref>
                  </c15:fullRef>
                </c:ext>
              </c:extLst>
              <c:f>'DAY USE'!$BE$11:$BE$16</c:f>
              <c:numCache>
                <c:formatCode>General</c:formatCode>
                <c:ptCount val="6"/>
                <c:pt idx="0">
                  <c:v>16329</c:v>
                </c:pt>
                <c:pt idx="1">
                  <c:v>19147</c:v>
                </c:pt>
                <c:pt idx="2">
                  <c:v>23841</c:v>
                </c:pt>
                <c:pt idx="3">
                  <c:v>25994</c:v>
                </c:pt>
                <c:pt idx="4">
                  <c:v>32241</c:v>
                </c:pt>
                <c:pt idx="5">
                  <c:v>44804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98-43CE-A24C-6F02494DB37C}"/>
            </c:ext>
          </c:extLst>
        </c:ser>
        <c:ser>
          <c:idx val="1"/>
          <c:order val="1"/>
          <c:tx>
            <c:strRef>
              <c:f>'DAY USE'!$BF$7</c:f>
              <c:strCache>
                <c:ptCount val="1"/>
                <c:pt idx="0">
                  <c:v>Below Normal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'DAY USE'!$BD$8:$BD$19</c15:sqref>
                  </c15:fullRef>
                </c:ext>
              </c:extLst>
              <c:f>'DAY USE'!$BD$11:$BD$16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'DAY USE'!$BF$8:$BF$19</c15:sqref>
                  </c15:fullRef>
                </c:ext>
              </c:extLst>
              <c:f>'DAY USE'!$BF$11:$BF$16</c:f>
              <c:numCache>
                <c:formatCode>General</c:formatCode>
                <c:ptCount val="6"/>
                <c:pt idx="0">
                  <c:v>14327</c:v>
                </c:pt>
                <c:pt idx="1">
                  <c:v>21373</c:v>
                </c:pt>
                <c:pt idx="2">
                  <c:v>37029</c:v>
                </c:pt>
                <c:pt idx="3">
                  <c:v>18087</c:v>
                </c:pt>
                <c:pt idx="4">
                  <c:v>26815</c:v>
                </c:pt>
                <c:pt idx="5">
                  <c:v>11627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8-43CE-A24C-6F02494DB37C}"/>
            </c:ext>
          </c:extLst>
        </c:ser>
        <c:ser>
          <c:idx val="2"/>
          <c:order val="2"/>
          <c:tx>
            <c:strRef>
              <c:f>'DAY USE'!$BG$7</c:f>
              <c:strCache>
                <c:ptCount val="1"/>
                <c:pt idx="0">
                  <c:v>Critical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'DAY USE'!$BD$8:$BD$19</c15:sqref>
                  </c15:fullRef>
                </c:ext>
              </c:extLst>
              <c:f>'DAY USE'!$BD$11:$BD$16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'DAY USE'!$BG$8:$BG$19</c15:sqref>
                  </c15:fullRef>
                </c:ext>
              </c:extLst>
              <c:f>'DAY USE'!$BG$11:$BG$16</c:f>
              <c:numCache>
                <c:formatCode>General</c:formatCode>
                <c:ptCount val="6"/>
                <c:pt idx="0">
                  <c:v>18142.272727272728</c:v>
                </c:pt>
                <c:pt idx="1">
                  <c:v>25136.909090909092</c:v>
                </c:pt>
                <c:pt idx="2">
                  <c:v>17896.090909090908</c:v>
                </c:pt>
                <c:pt idx="3">
                  <c:v>20357.5</c:v>
                </c:pt>
                <c:pt idx="4">
                  <c:v>20885.666666666668</c:v>
                </c:pt>
                <c:pt idx="5">
                  <c:v>27661.166666666668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98-43CE-A24C-6F02494DB37C}"/>
            </c:ext>
          </c:extLst>
        </c:ser>
        <c:ser>
          <c:idx val="3"/>
          <c:order val="3"/>
          <c:tx>
            <c:strRef>
              <c:f>'DAY USE'!$BH$7</c:f>
              <c:strCache>
                <c:ptCount val="1"/>
                <c:pt idx="0">
                  <c:v>Dry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'DAY USE'!$BD$8:$BD$19</c15:sqref>
                  </c15:fullRef>
                </c:ext>
              </c:extLst>
              <c:f>'DAY USE'!$BD$11:$BD$16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'DAY USE'!$BH$8:$BH$19</c15:sqref>
                  </c15:fullRef>
                </c:ext>
              </c:extLst>
              <c:f>'DAY USE'!$BH$11:$BH$16</c:f>
              <c:numCache>
                <c:formatCode>General</c:formatCode>
                <c:ptCount val="6"/>
                <c:pt idx="0">
                  <c:v>17701.2</c:v>
                </c:pt>
                <c:pt idx="1">
                  <c:v>23136.400000000001</c:v>
                </c:pt>
                <c:pt idx="2">
                  <c:v>20037.599999999999</c:v>
                </c:pt>
                <c:pt idx="3">
                  <c:v>15260.666666666666</c:v>
                </c:pt>
                <c:pt idx="4">
                  <c:v>17037</c:v>
                </c:pt>
                <c:pt idx="5">
                  <c:v>44775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8-43CE-A24C-6F02494DB37C}"/>
            </c:ext>
          </c:extLst>
        </c:ser>
        <c:ser>
          <c:idx val="4"/>
          <c:order val="4"/>
          <c:tx>
            <c:strRef>
              <c:f>'DAY USE'!$BI$7</c:f>
              <c:strCache>
                <c:ptCount val="1"/>
                <c:pt idx="0">
                  <c:v>Wet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'DAY USE'!$BD$8:$BD$19</c15:sqref>
                  </c15:fullRef>
                </c:ext>
              </c:extLst>
              <c:f>'DAY USE'!$BD$11:$BD$16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'DAY USE'!$BI$8:$BI$19</c15:sqref>
                  </c15:fullRef>
                </c:ext>
              </c:extLst>
              <c:f>'DAY USE'!$BI$11:$BI$16</c:f>
              <c:numCache>
                <c:formatCode>General</c:formatCode>
                <c:ptCount val="6"/>
                <c:pt idx="0">
                  <c:v>24291</c:v>
                </c:pt>
                <c:pt idx="1">
                  <c:v>59075</c:v>
                </c:pt>
                <c:pt idx="2">
                  <c:v>21682</c:v>
                </c:pt>
                <c:pt idx="3">
                  <c:v>32832</c:v>
                </c:pt>
                <c:pt idx="4">
                  <c:v>30696</c:v>
                </c:pt>
                <c:pt idx="5">
                  <c:v>70526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98-43CE-A24C-6F02494DB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5348192"/>
        <c:axId val="1845357792"/>
      </c:lineChart>
      <c:catAx>
        <c:axId val="184534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357792"/>
        <c:crosses val="autoZero"/>
        <c:auto val="1"/>
        <c:lblAlgn val="ctr"/>
        <c:lblOffset val="100"/>
        <c:noMultiLvlLbl val="0"/>
      </c:catAx>
      <c:valAx>
        <c:axId val="1845357792"/>
        <c:scaling>
          <c:orientation val="minMax"/>
          <c:max val="9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34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Benicia SRA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'DAY USE'!$BM$7</c:f>
              <c:strCache>
                <c:ptCount val="1"/>
                <c:pt idx="0">
                  <c:v>Above normal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'DAY USE'!$BL$8:$BL$19</c15:sqref>
                  </c15:fullRef>
                </c:ext>
              </c:extLst>
              <c:f>'DAY USE'!$BL$11:$BL$16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'DAY USE'!$BM$8:$BM$19</c15:sqref>
                  </c15:fullRef>
                </c:ext>
              </c:extLst>
              <c:f>'DAY USE'!$BM$11:$BM$16</c:f>
              <c:numCache>
                <c:formatCode>General</c:formatCode>
                <c:ptCount val="6"/>
                <c:pt idx="0">
                  <c:v>2394</c:v>
                </c:pt>
                <c:pt idx="1">
                  <c:v>5847</c:v>
                </c:pt>
                <c:pt idx="2">
                  <c:v>6315</c:v>
                </c:pt>
                <c:pt idx="3">
                  <c:v>8230</c:v>
                </c:pt>
                <c:pt idx="4">
                  <c:v>6148</c:v>
                </c:pt>
                <c:pt idx="5">
                  <c:v>6638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75-40E1-AF10-9B809E8D1911}"/>
            </c:ext>
          </c:extLst>
        </c:ser>
        <c:ser>
          <c:idx val="1"/>
          <c:order val="1"/>
          <c:tx>
            <c:strRef>
              <c:f>'DAY USE'!$BN$7</c:f>
              <c:strCache>
                <c:ptCount val="1"/>
                <c:pt idx="0">
                  <c:v>Below Normal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'DAY USE'!$BL$8:$BL$19</c15:sqref>
                  </c15:fullRef>
                </c:ext>
              </c:extLst>
              <c:f>'DAY USE'!$BL$11:$BL$16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'DAY USE'!$BN$8:$BN$19</c15:sqref>
                  </c15:fullRef>
                </c:ext>
              </c:extLst>
              <c:f>'DAY USE'!$BN$11:$BN$16</c:f>
              <c:numCache>
                <c:formatCode>General</c:formatCode>
                <c:ptCount val="6"/>
                <c:pt idx="0">
                  <c:v>16924</c:v>
                </c:pt>
                <c:pt idx="1">
                  <c:v>17789</c:v>
                </c:pt>
                <c:pt idx="2">
                  <c:v>17036</c:v>
                </c:pt>
                <c:pt idx="3">
                  <c:v>16207</c:v>
                </c:pt>
                <c:pt idx="4">
                  <c:v>15094</c:v>
                </c:pt>
                <c:pt idx="5">
                  <c:v>13339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75-40E1-AF10-9B809E8D1911}"/>
            </c:ext>
          </c:extLst>
        </c:ser>
        <c:ser>
          <c:idx val="2"/>
          <c:order val="2"/>
          <c:tx>
            <c:strRef>
              <c:f>'DAY USE'!$BO$7</c:f>
              <c:strCache>
                <c:ptCount val="1"/>
                <c:pt idx="0">
                  <c:v>Critical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'DAY USE'!$BL$8:$BL$19</c15:sqref>
                  </c15:fullRef>
                </c:ext>
              </c:extLst>
              <c:f>'DAY USE'!$BL$11:$BL$16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'DAY USE'!$BO$8:$BO$19</c15:sqref>
                  </c15:fullRef>
                </c:ext>
              </c:extLst>
              <c:f>'DAY USE'!$BO$11:$BO$16</c:f>
              <c:numCache>
                <c:formatCode>General</c:formatCode>
                <c:ptCount val="6"/>
                <c:pt idx="0">
                  <c:v>16019.272727272728</c:v>
                </c:pt>
                <c:pt idx="1">
                  <c:v>16910.636363636364</c:v>
                </c:pt>
                <c:pt idx="2">
                  <c:v>16182.727272727272</c:v>
                </c:pt>
                <c:pt idx="3">
                  <c:v>17524.416666666668</c:v>
                </c:pt>
                <c:pt idx="4">
                  <c:v>18096.416666666668</c:v>
                </c:pt>
                <c:pt idx="5">
                  <c:v>18201.916666666668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75-40E1-AF10-9B809E8D1911}"/>
            </c:ext>
          </c:extLst>
        </c:ser>
        <c:ser>
          <c:idx val="3"/>
          <c:order val="3"/>
          <c:tx>
            <c:strRef>
              <c:f>'DAY USE'!$BP$7</c:f>
              <c:strCache>
                <c:ptCount val="1"/>
                <c:pt idx="0">
                  <c:v>Dry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'DAY USE'!$BL$8:$BL$19</c15:sqref>
                  </c15:fullRef>
                </c:ext>
              </c:extLst>
              <c:f>'DAY USE'!$BL$11:$BL$16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'DAY USE'!$BP$8:$BP$19</c15:sqref>
                  </c15:fullRef>
                </c:ext>
              </c:extLst>
              <c:f>'DAY USE'!$BP$11:$BP$16</c:f>
              <c:numCache>
                <c:formatCode>General</c:formatCode>
                <c:ptCount val="6"/>
                <c:pt idx="0">
                  <c:v>8337.2000000000007</c:v>
                </c:pt>
                <c:pt idx="1">
                  <c:v>11359.8</c:v>
                </c:pt>
                <c:pt idx="2">
                  <c:v>12395.8</c:v>
                </c:pt>
                <c:pt idx="3">
                  <c:v>10166.833333333334</c:v>
                </c:pt>
                <c:pt idx="4">
                  <c:v>11754.166666666666</c:v>
                </c:pt>
                <c:pt idx="5">
                  <c:v>13733.2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75-40E1-AF10-9B809E8D1911}"/>
            </c:ext>
          </c:extLst>
        </c:ser>
        <c:ser>
          <c:idx val="4"/>
          <c:order val="4"/>
          <c:tx>
            <c:strRef>
              <c:f>'DAY USE'!$BQ$7</c:f>
              <c:strCache>
                <c:ptCount val="1"/>
                <c:pt idx="0">
                  <c:v>Wet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'DAY USE'!$BL$8:$BL$19</c15:sqref>
                  </c15:fullRef>
                </c:ext>
              </c:extLst>
              <c:f>'DAY USE'!$BL$11:$BL$16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'DAY USE'!$BQ$8:$BQ$19</c15:sqref>
                  </c15:fullRef>
                </c:ext>
              </c:extLst>
              <c:f>'DAY USE'!$BQ$11:$BQ$16</c:f>
              <c:numCache>
                <c:formatCode>General</c:formatCode>
                <c:ptCount val="6"/>
                <c:pt idx="0">
                  <c:v>13434</c:v>
                </c:pt>
                <c:pt idx="1">
                  <c:v>17999</c:v>
                </c:pt>
                <c:pt idx="2">
                  <c:v>13210</c:v>
                </c:pt>
                <c:pt idx="3">
                  <c:v>13104</c:v>
                </c:pt>
                <c:pt idx="4">
                  <c:v>16653</c:v>
                </c:pt>
                <c:pt idx="5">
                  <c:v>20774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75-40E1-AF10-9B809E8D1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5348192"/>
        <c:axId val="1845357792"/>
      </c:lineChart>
      <c:catAx>
        <c:axId val="184534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357792"/>
        <c:crosses val="autoZero"/>
        <c:auto val="1"/>
        <c:lblAlgn val="ctr"/>
        <c:lblOffset val="100"/>
        <c:noMultiLvlLbl val="0"/>
      </c:catAx>
      <c:valAx>
        <c:axId val="1845357792"/>
        <c:scaling>
          <c:orientation val="minMax"/>
          <c:max val="2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34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Caswell Memorial SP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'DAY USE'!$BU$7</c:f>
              <c:strCache>
                <c:ptCount val="1"/>
                <c:pt idx="0">
                  <c:v>Above normal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'DAY USE'!$BT$8:$BT$19</c15:sqref>
                  </c15:fullRef>
                </c:ext>
              </c:extLst>
              <c:f>'DAY USE'!$BT$11:$BT$16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'DAY USE'!$BU$8:$BU$19</c15:sqref>
                  </c15:fullRef>
                </c:ext>
              </c:extLst>
              <c:f>'DAY USE'!$BU$11:$BU$16</c:f>
              <c:numCache>
                <c:formatCode>General</c:formatCode>
                <c:ptCount val="6"/>
                <c:pt idx="0">
                  <c:v>854</c:v>
                </c:pt>
                <c:pt idx="1">
                  <c:v>1602</c:v>
                </c:pt>
                <c:pt idx="2">
                  <c:v>8513</c:v>
                </c:pt>
                <c:pt idx="3">
                  <c:v>6671</c:v>
                </c:pt>
                <c:pt idx="4">
                  <c:v>6750</c:v>
                </c:pt>
                <c:pt idx="5">
                  <c:v>3085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DA-4C73-8283-4A704D659837}"/>
            </c:ext>
          </c:extLst>
        </c:ser>
        <c:ser>
          <c:idx val="1"/>
          <c:order val="1"/>
          <c:tx>
            <c:strRef>
              <c:f>'DAY USE'!$BV$7</c:f>
              <c:strCache>
                <c:ptCount val="1"/>
                <c:pt idx="0">
                  <c:v>Below Normal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'DAY USE'!$BT$8:$BT$19</c15:sqref>
                  </c15:fullRef>
                </c:ext>
              </c:extLst>
              <c:f>'DAY USE'!$BT$11:$BT$16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'DAY USE'!$BV$8:$BV$19</c15:sqref>
                  </c15:fullRef>
                </c:ext>
              </c:extLst>
              <c:f>'DAY USE'!$BV$11:$BV$16</c:f>
              <c:numCache>
                <c:formatCode>General</c:formatCode>
                <c:ptCount val="6"/>
                <c:pt idx="0">
                  <c:v>2811</c:v>
                </c:pt>
                <c:pt idx="1">
                  <c:v>5312</c:v>
                </c:pt>
                <c:pt idx="2">
                  <c:v>7213</c:v>
                </c:pt>
                <c:pt idx="3">
                  <c:v>7498</c:v>
                </c:pt>
                <c:pt idx="4">
                  <c:v>7828</c:v>
                </c:pt>
                <c:pt idx="5">
                  <c:v>3752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DA-4C73-8283-4A704D659837}"/>
            </c:ext>
          </c:extLst>
        </c:ser>
        <c:ser>
          <c:idx val="2"/>
          <c:order val="2"/>
          <c:tx>
            <c:strRef>
              <c:f>'DAY USE'!$BW$7</c:f>
              <c:strCache>
                <c:ptCount val="1"/>
                <c:pt idx="0">
                  <c:v>Critical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'DAY USE'!$BT$8:$BT$19</c15:sqref>
                  </c15:fullRef>
                </c:ext>
              </c:extLst>
              <c:f>'DAY USE'!$BT$11:$BT$16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'DAY USE'!$BW$8:$BW$19</c15:sqref>
                  </c15:fullRef>
                </c:ext>
              </c:extLst>
              <c:f>'DAY USE'!$BW$11:$BW$16</c:f>
              <c:numCache>
                <c:formatCode>General</c:formatCode>
                <c:ptCount val="6"/>
                <c:pt idx="0">
                  <c:v>3114.7272727272725</c:v>
                </c:pt>
                <c:pt idx="1">
                  <c:v>5262.181818181818</c:v>
                </c:pt>
                <c:pt idx="2">
                  <c:v>8526.454545454546</c:v>
                </c:pt>
                <c:pt idx="3">
                  <c:v>8635.8333333333339</c:v>
                </c:pt>
                <c:pt idx="4">
                  <c:v>7869</c:v>
                </c:pt>
                <c:pt idx="5">
                  <c:v>5049.833333333333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DA-4C73-8283-4A704D659837}"/>
            </c:ext>
          </c:extLst>
        </c:ser>
        <c:ser>
          <c:idx val="3"/>
          <c:order val="3"/>
          <c:tx>
            <c:strRef>
              <c:f>'DAY USE'!$BX$7</c:f>
              <c:strCache>
                <c:ptCount val="1"/>
                <c:pt idx="0">
                  <c:v>Dry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'DAY USE'!$BT$8:$BT$19</c15:sqref>
                  </c15:fullRef>
                </c:ext>
              </c:extLst>
              <c:f>'DAY USE'!$BT$11:$BT$16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'DAY USE'!$BX$8:$BX$19</c15:sqref>
                  </c15:fullRef>
                </c:ext>
              </c:extLst>
              <c:f>'DAY USE'!$BX$11:$BX$16</c:f>
              <c:numCache>
                <c:formatCode>General</c:formatCode>
                <c:ptCount val="6"/>
                <c:pt idx="0">
                  <c:v>2094</c:v>
                </c:pt>
                <c:pt idx="1">
                  <c:v>5568.8</c:v>
                </c:pt>
                <c:pt idx="2">
                  <c:v>7768.4</c:v>
                </c:pt>
                <c:pt idx="3">
                  <c:v>7833.666666666667</c:v>
                </c:pt>
                <c:pt idx="4">
                  <c:v>5841.166666666667</c:v>
                </c:pt>
                <c:pt idx="5">
                  <c:v>4435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EDA-4C73-8283-4A704D659837}"/>
            </c:ext>
          </c:extLst>
        </c:ser>
        <c:ser>
          <c:idx val="4"/>
          <c:order val="4"/>
          <c:tx>
            <c:strRef>
              <c:f>'DAY USE'!$BY$7</c:f>
              <c:strCache>
                <c:ptCount val="1"/>
                <c:pt idx="0">
                  <c:v>Wet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'DAY USE'!$BT$8:$BT$19</c15:sqref>
                  </c15:fullRef>
                </c:ext>
              </c:extLst>
              <c:f>'DAY USE'!$BT$11:$BT$16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'DAY USE'!$BY$8:$BY$19</c15:sqref>
                  </c15:fullRef>
                </c:ext>
              </c:extLst>
              <c:f>'DAY USE'!$BY$11:$BY$16</c:f>
              <c:numCache>
                <c:formatCode>General</c:formatCode>
                <c:ptCount val="6"/>
                <c:pt idx="0">
                  <c:v>4731</c:v>
                </c:pt>
                <c:pt idx="1">
                  <c:v>4929</c:v>
                </c:pt>
                <c:pt idx="2">
                  <c:v>10975</c:v>
                </c:pt>
                <c:pt idx="3">
                  <c:v>18997</c:v>
                </c:pt>
                <c:pt idx="4">
                  <c:v>13733</c:v>
                </c:pt>
                <c:pt idx="5">
                  <c:v>10884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DA-4C73-8283-4A704D659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5348192"/>
        <c:axId val="1845357792"/>
      </c:lineChart>
      <c:catAx>
        <c:axId val="184534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357792"/>
        <c:crosses val="autoZero"/>
        <c:auto val="1"/>
        <c:lblAlgn val="ctr"/>
        <c:lblOffset val="100"/>
        <c:noMultiLvlLbl val="0"/>
      </c:catAx>
      <c:valAx>
        <c:axId val="1845357792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34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Bethany Reservoir SRA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'DAY USE'!$CC$7</c:f>
              <c:strCache>
                <c:ptCount val="1"/>
                <c:pt idx="0">
                  <c:v>Above normal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'DAY USE'!$CB$8:$CB$19</c15:sqref>
                  </c15:fullRef>
                </c:ext>
              </c:extLst>
              <c:f>'DAY USE'!$CB$11:$CB$16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'DAY USE'!$CC$8:$CC$19</c15:sqref>
                  </c15:fullRef>
                </c:ext>
              </c:extLst>
              <c:f>'DAY USE'!$CC$11:$CC$16</c:f>
              <c:numCache>
                <c:formatCode>General</c:formatCode>
                <c:ptCount val="6"/>
                <c:pt idx="0">
                  <c:v>90</c:v>
                </c:pt>
                <c:pt idx="1">
                  <c:v>197</c:v>
                </c:pt>
                <c:pt idx="2">
                  <c:v>93</c:v>
                </c:pt>
                <c:pt idx="3">
                  <c:v>485</c:v>
                </c:pt>
                <c:pt idx="4">
                  <c:v>264</c:v>
                </c:pt>
                <c:pt idx="5">
                  <c:v>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7A-4095-BC6C-690850AA9480}"/>
            </c:ext>
          </c:extLst>
        </c:ser>
        <c:ser>
          <c:idx val="1"/>
          <c:order val="1"/>
          <c:tx>
            <c:strRef>
              <c:f>'DAY USE'!$CD$7</c:f>
              <c:strCache>
                <c:ptCount val="1"/>
                <c:pt idx="0">
                  <c:v>Below Normal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'DAY USE'!$CB$8:$CB$19</c15:sqref>
                  </c15:fullRef>
                </c:ext>
              </c:extLst>
              <c:f>'DAY USE'!$CB$11:$CB$16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'DAY USE'!$CD$8:$CD$19</c15:sqref>
                  </c15:fullRef>
                </c:ext>
              </c:extLst>
              <c:f>'DAY USE'!$CD$11:$CD$16</c:f>
              <c:numCache>
                <c:formatCode>General</c:formatCode>
                <c:ptCount val="6"/>
                <c:pt idx="0">
                  <c:v>2538</c:v>
                </c:pt>
                <c:pt idx="1">
                  <c:v>2631</c:v>
                </c:pt>
                <c:pt idx="2">
                  <c:v>2748</c:v>
                </c:pt>
                <c:pt idx="3">
                  <c:v>3186</c:v>
                </c:pt>
                <c:pt idx="4">
                  <c:v>3030</c:v>
                </c:pt>
                <c:pt idx="5">
                  <c:v>2743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7A-4095-BC6C-690850AA9480}"/>
            </c:ext>
          </c:extLst>
        </c:ser>
        <c:ser>
          <c:idx val="2"/>
          <c:order val="2"/>
          <c:tx>
            <c:strRef>
              <c:f>'DAY USE'!$CE$7</c:f>
              <c:strCache>
                <c:ptCount val="1"/>
                <c:pt idx="0">
                  <c:v>Critical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'DAY USE'!$CB$8:$CB$19</c15:sqref>
                  </c15:fullRef>
                </c:ext>
              </c:extLst>
              <c:f>'DAY USE'!$CB$11:$CB$16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'DAY USE'!$CE$8:$CE$19</c15:sqref>
                  </c15:fullRef>
                </c:ext>
              </c:extLst>
              <c:f>'DAY USE'!$CE$11:$CE$16</c:f>
              <c:numCache>
                <c:formatCode>General</c:formatCode>
                <c:ptCount val="6"/>
                <c:pt idx="0">
                  <c:v>1335</c:v>
                </c:pt>
                <c:pt idx="1">
                  <c:v>1392</c:v>
                </c:pt>
                <c:pt idx="2">
                  <c:v>1377.090909090909</c:v>
                </c:pt>
                <c:pt idx="3">
                  <c:v>1305.5</c:v>
                </c:pt>
                <c:pt idx="4">
                  <c:v>1416</c:v>
                </c:pt>
                <c:pt idx="5">
                  <c:v>1288.5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7A-4095-BC6C-690850AA9480}"/>
            </c:ext>
          </c:extLst>
        </c:ser>
        <c:ser>
          <c:idx val="3"/>
          <c:order val="3"/>
          <c:tx>
            <c:strRef>
              <c:f>'DAY USE'!$CF$7</c:f>
              <c:strCache>
                <c:ptCount val="1"/>
                <c:pt idx="0">
                  <c:v>Dry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'DAY USE'!$CB$8:$CB$19</c15:sqref>
                  </c15:fullRef>
                </c:ext>
              </c:extLst>
              <c:f>'DAY USE'!$CB$11:$CB$16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'DAY USE'!$CF$8:$CF$19</c15:sqref>
                  </c15:fullRef>
                </c:ext>
              </c:extLst>
              <c:f>'DAY USE'!$CF$11:$CF$16</c:f>
              <c:numCache>
                <c:formatCode>General</c:formatCode>
                <c:ptCount val="6"/>
                <c:pt idx="0">
                  <c:v>809.8</c:v>
                </c:pt>
                <c:pt idx="1">
                  <c:v>951.2</c:v>
                </c:pt>
                <c:pt idx="2">
                  <c:v>957.8</c:v>
                </c:pt>
                <c:pt idx="3">
                  <c:v>782.66666666666663</c:v>
                </c:pt>
                <c:pt idx="4">
                  <c:v>721.66666666666663</c:v>
                </c:pt>
                <c:pt idx="5">
                  <c:v>808.2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7A-4095-BC6C-690850AA9480}"/>
            </c:ext>
          </c:extLst>
        </c:ser>
        <c:ser>
          <c:idx val="4"/>
          <c:order val="4"/>
          <c:tx>
            <c:strRef>
              <c:f>'DAY USE'!$CG$7</c:f>
              <c:strCache>
                <c:ptCount val="1"/>
                <c:pt idx="0">
                  <c:v>Wet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'DAY USE'!$CB$8:$CB$19</c15:sqref>
                  </c15:fullRef>
                </c:ext>
              </c:extLst>
              <c:f>'DAY USE'!$CB$11:$CB$16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'DAY USE'!$CG$8:$CG$19</c15:sqref>
                  </c15:fullRef>
                </c:ext>
              </c:extLst>
              <c:f>'DAY USE'!$CG$11:$CG$16</c:f>
              <c:numCache>
                <c:formatCode>General</c:formatCode>
                <c:ptCount val="6"/>
                <c:pt idx="0">
                  <c:v>2348</c:v>
                </c:pt>
                <c:pt idx="1">
                  <c:v>2380</c:v>
                </c:pt>
                <c:pt idx="2">
                  <c:v>260</c:v>
                </c:pt>
                <c:pt idx="3">
                  <c:v>215</c:v>
                </c:pt>
                <c:pt idx="4">
                  <c:v>210</c:v>
                </c:pt>
                <c:pt idx="5">
                  <c:v>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7A-4095-BC6C-690850AA9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5348192"/>
        <c:axId val="1845357792"/>
      </c:lineChart>
      <c:catAx>
        <c:axId val="184534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357792"/>
        <c:crosses val="autoZero"/>
        <c:auto val="1"/>
        <c:lblAlgn val="ctr"/>
        <c:lblOffset val="100"/>
        <c:noMultiLvlLbl val="0"/>
      </c:catAx>
      <c:valAx>
        <c:axId val="1845357792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34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FF99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0070C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Above normal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28.5</c:v>
              </c:pt>
              <c:pt idx="1">
                <c:v>26.75</c:v>
              </c:pt>
              <c:pt idx="2">
                <c:v>119.75</c:v>
              </c:pt>
              <c:pt idx="3">
                <c:v>335.5</c:v>
              </c:pt>
              <c:pt idx="4">
                <c:v>172.75</c:v>
              </c:pt>
              <c:pt idx="5">
                <c:v>102</c:v>
              </c:pt>
              <c:pt idx="6">
                <c:v>153.75</c:v>
              </c:pt>
              <c:pt idx="7">
                <c:v>151</c:v>
              </c:pt>
              <c:pt idx="8">
                <c:v>161</c:v>
              </c:pt>
              <c:pt idx="9">
                <c:v>231</c:v>
              </c:pt>
              <c:pt idx="10">
                <c:v>317.75</c:v>
              </c:pt>
              <c:pt idx="11">
                <c:v>136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D73-4EC2-9DF8-A3419F4E6603}"/>
            </c:ext>
          </c:extLst>
        </c:ser>
        <c:ser>
          <c:idx val="1"/>
          <c:order val="1"/>
          <c:tx>
            <c:v>Below Normal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955.25</c:v>
              </c:pt>
              <c:pt idx="1">
                <c:v>840</c:v>
              </c:pt>
              <c:pt idx="2">
                <c:v>624.75</c:v>
              </c:pt>
              <c:pt idx="3">
                <c:v>478</c:v>
              </c:pt>
              <c:pt idx="4">
                <c:v>827</c:v>
              </c:pt>
              <c:pt idx="5">
                <c:v>810.5</c:v>
              </c:pt>
              <c:pt idx="6">
                <c:v>373.5</c:v>
              </c:pt>
              <c:pt idx="7">
                <c:v>403.25</c:v>
              </c:pt>
              <c:pt idx="8">
                <c:v>698.75</c:v>
              </c:pt>
              <c:pt idx="9">
                <c:v>804.5</c:v>
              </c:pt>
              <c:pt idx="10">
                <c:v>1012.5</c:v>
              </c:pt>
              <c:pt idx="11">
                <c:v>652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4BEB-4F56-A9EF-1F8C51587F4E}"/>
            </c:ext>
          </c:extLst>
        </c:ser>
        <c:ser>
          <c:idx val="2"/>
          <c:order val="2"/>
          <c:tx>
            <c:v>Critical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314.02272727272725</c:v>
              </c:pt>
              <c:pt idx="1">
                <c:v>341.75</c:v>
              </c:pt>
              <c:pt idx="2">
                <c:v>429.22727272727275</c:v>
              </c:pt>
              <c:pt idx="3">
                <c:v>427.86363636363637</c:v>
              </c:pt>
              <c:pt idx="4">
                <c:v>533.22727272727275</c:v>
              </c:pt>
              <c:pt idx="5">
                <c:v>489.04545454545456</c:v>
              </c:pt>
              <c:pt idx="6">
                <c:v>589.60416666666663</c:v>
              </c:pt>
              <c:pt idx="7">
                <c:v>582.85416666666663</c:v>
              </c:pt>
              <c:pt idx="8">
                <c:v>542.52083333333337</c:v>
              </c:pt>
              <c:pt idx="9">
                <c:v>583.41666666666663</c:v>
              </c:pt>
              <c:pt idx="10">
                <c:v>622.41666666666663</c:v>
              </c:pt>
              <c:pt idx="11">
                <c:v>390.47916666666669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4BEB-4F56-A9EF-1F8C51587F4E}"/>
            </c:ext>
          </c:extLst>
        </c:ser>
        <c:ser>
          <c:idx val="3"/>
          <c:order val="3"/>
          <c:tx>
            <c:v>Dry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265.95</c:v>
              </c:pt>
              <c:pt idx="1">
                <c:v>212.55</c:v>
              </c:pt>
              <c:pt idx="2">
                <c:v>293.35000000000002</c:v>
              </c:pt>
              <c:pt idx="3">
                <c:v>436.85</c:v>
              </c:pt>
              <c:pt idx="4">
                <c:v>434.95</c:v>
              </c:pt>
              <c:pt idx="5">
                <c:v>335.2</c:v>
              </c:pt>
              <c:pt idx="6">
                <c:v>297.75</c:v>
              </c:pt>
              <c:pt idx="7">
                <c:v>320</c:v>
              </c:pt>
              <c:pt idx="8">
                <c:v>287.55</c:v>
              </c:pt>
              <c:pt idx="9">
                <c:v>429.1</c:v>
              </c:pt>
              <c:pt idx="10">
                <c:v>472.55</c:v>
              </c:pt>
              <c:pt idx="11">
                <c:v>234.55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4BEB-4F56-A9EF-1F8C51587F4E}"/>
            </c:ext>
          </c:extLst>
        </c:ser>
        <c:ser>
          <c:idx val="4"/>
          <c:order val="4"/>
          <c:tx>
            <c:v>Wet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604</c:v>
              </c:pt>
              <c:pt idx="1">
                <c:v>443.25</c:v>
              </c:pt>
              <c:pt idx="2">
                <c:v>596.25</c:v>
              </c:pt>
              <c:pt idx="3">
                <c:v>631</c:v>
              </c:pt>
              <c:pt idx="4">
                <c:v>1073.25</c:v>
              </c:pt>
              <c:pt idx="5">
                <c:v>1449.75</c:v>
              </c:pt>
              <c:pt idx="6">
                <c:v>1992.25</c:v>
              </c:pt>
              <c:pt idx="7">
                <c:v>1645.25</c:v>
              </c:pt>
              <c:pt idx="8">
                <c:v>898.25</c:v>
              </c:pt>
              <c:pt idx="9">
                <c:v>1286.5</c:v>
              </c:pt>
              <c:pt idx="10">
                <c:v>1184.5</c:v>
              </c:pt>
              <c:pt idx="11">
                <c:v>662.5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4BEB-4F56-A9EF-1F8C51587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7614096"/>
        <c:axId val="2017612176"/>
      </c:lineChart>
      <c:catAx>
        <c:axId val="201761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612176"/>
        <c:crosses val="autoZero"/>
        <c:auto val="1"/>
        <c:lblAlgn val="ctr"/>
        <c:lblOffset val="100"/>
        <c:noMultiLvlLbl val="0"/>
      </c:catAx>
      <c:valAx>
        <c:axId val="201761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61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+mj-lt"/>
              </a:rPr>
              <a:t>a)</a:t>
            </a:r>
            <a:r>
              <a:rPr lang="en-US" b="1" baseline="0">
                <a:latin typeface="+mj-lt"/>
              </a:rPr>
              <a:t> Boaters</a:t>
            </a:r>
            <a:endParaRPr lang="en-US" b="1"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BOATERS!$AB$11</c:f>
              <c:strCache>
                <c:ptCount val="1"/>
                <c:pt idx="0">
                  <c:v>Critical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BOATERS!$Y$12:$Y$23</c15:sqref>
                  </c15:fullRef>
                </c:ext>
              </c:extLst>
              <c:f>BOATERS!$Y$15:$Y$20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BOATERS!$AB$12:$AB$23</c15:sqref>
                  </c15:fullRef>
                </c:ext>
              </c:extLst>
              <c:f>BOATERS!$AB$15:$AB$20</c:f>
              <c:numCache>
                <c:formatCode>General</c:formatCode>
                <c:ptCount val="6"/>
                <c:pt idx="0">
                  <c:v>427.86363636363637</c:v>
                </c:pt>
                <c:pt idx="1">
                  <c:v>533.22727272727275</c:v>
                </c:pt>
                <c:pt idx="2">
                  <c:v>489.04545454545456</c:v>
                </c:pt>
                <c:pt idx="3">
                  <c:v>589.60416666666663</c:v>
                </c:pt>
                <c:pt idx="4">
                  <c:v>582.85416666666663</c:v>
                </c:pt>
                <c:pt idx="5">
                  <c:v>542.52083333333337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C8-4915-9A42-55E26A8BFEE8}"/>
            </c:ext>
          </c:extLst>
        </c:ser>
        <c:ser>
          <c:idx val="0"/>
          <c:order val="1"/>
          <c:tx>
            <c:strRef>
              <c:f>BOATERS!$AC$11</c:f>
              <c:strCache>
                <c:ptCount val="1"/>
                <c:pt idx="0">
                  <c:v>Dry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BOATERS!$Y$12:$Y$23</c15:sqref>
                  </c15:fullRef>
                </c:ext>
              </c:extLst>
              <c:f>BOATERS!$Y$15:$Y$20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BOATERS!$AC$12:$AC$23</c15:sqref>
                  </c15:fullRef>
                </c:ext>
              </c:extLst>
              <c:f>BOATERS!$AC$15:$AC$20</c:f>
              <c:numCache>
                <c:formatCode>General</c:formatCode>
                <c:ptCount val="6"/>
                <c:pt idx="0">
                  <c:v>436.85</c:v>
                </c:pt>
                <c:pt idx="1">
                  <c:v>434.95</c:v>
                </c:pt>
                <c:pt idx="2">
                  <c:v>335.2</c:v>
                </c:pt>
                <c:pt idx="3">
                  <c:v>297.75</c:v>
                </c:pt>
                <c:pt idx="4">
                  <c:v>320</c:v>
                </c:pt>
                <c:pt idx="5">
                  <c:v>287.55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C8-4915-9A42-55E26A8BFEE8}"/>
            </c:ext>
          </c:extLst>
        </c:ser>
        <c:ser>
          <c:idx val="3"/>
          <c:order val="2"/>
          <c:tx>
            <c:strRef>
              <c:f>BOATERS!$AA$11</c:f>
              <c:strCache>
                <c:ptCount val="1"/>
                <c:pt idx="0">
                  <c:v>Below Normal</c:v>
                </c:pt>
              </c:strCache>
            </c:strRef>
          </c:tx>
          <c:spPr>
            <a:ln w="28575" cap="rnd">
              <a:solidFill>
                <a:srgbClr val="FF9999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BOATERS!$Y$12:$Y$23</c15:sqref>
                  </c15:fullRef>
                </c:ext>
              </c:extLst>
              <c:f>BOATERS!$Y$15:$Y$20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BOATERS!$AA$12:$AA$23</c15:sqref>
                  </c15:fullRef>
                </c:ext>
              </c:extLst>
              <c:f>BOATERS!$AA$15:$AA$20</c:f>
              <c:numCache>
                <c:formatCode>General</c:formatCode>
                <c:ptCount val="6"/>
                <c:pt idx="0">
                  <c:v>478</c:v>
                </c:pt>
                <c:pt idx="1">
                  <c:v>827</c:v>
                </c:pt>
                <c:pt idx="2">
                  <c:v>810.5</c:v>
                </c:pt>
                <c:pt idx="3">
                  <c:v>373.5</c:v>
                </c:pt>
                <c:pt idx="4">
                  <c:v>403.25</c:v>
                </c:pt>
                <c:pt idx="5">
                  <c:v>698.75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C8-4915-9A42-55E26A8BFEE8}"/>
            </c:ext>
          </c:extLst>
        </c:ser>
        <c:ser>
          <c:idx val="2"/>
          <c:order val="3"/>
          <c:tx>
            <c:strRef>
              <c:f>BOATERS!$Z$11</c:f>
              <c:strCache>
                <c:ptCount val="1"/>
                <c:pt idx="0">
                  <c:v>Above normal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BOATERS!$Y$12:$Y$23</c15:sqref>
                  </c15:fullRef>
                </c:ext>
              </c:extLst>
              <c:f>BOATERS!$Y$15:$Y$20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BOATERS!$Z$12:$Z$23</c15:sqref>
                  </c15:fullRef>
                </c:ext>
              </c:extLst>
              <c:f>BOATERS!$Z$15:$Z$20</c:f>
              <c:numCache>
                <c:formatCode>General</c:formatCode>
                <c:ptCount val="6"/>
                <c:pt idx="0">
                  <c:v>335.5</c:v>
                </c:pt>
                <c:pt idx="1">
                  <c:v>172.75</c:v>
                </c:pt>
                <c:pt idx="2">
                  <c:v>102</c:v>
                </c:pt>
                <c:pt idx="3">
                  <c:v>153.75</c:v>
                </c:pt>
                <c:pt idx="4">
                  <c:v>151</c:v>
                </c:pt>
                <c:pt idx="5">
                  <c:v>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C8-4915-9A42-55E26A8BFEE8}"/>
            </c:ext>
          </c:extLst>
        </c:ser>
        <c:ser>
          <c:idx val="4"/>
          <c:order val="4"/>
          <c:tx>
            <c:strRef>
              <c:f>BOATERS!$AD$11</c:f>
              <c:strCache>
                <c:ptCount val="1"/>
                <c:pt idx="0">
                  <c:v>Wet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BOATERS!$Y$12:$Y$23</c15:sqref>
                  </c15:fullRef>
                </c:ext>
              </c:extLst>
              <c:f>BOATERS!$Y$15:$Y$20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BOATERS!$AD$12:$AD$23</c15:sqref>
                  </c15:fullRef>
                </c:ext>
              </c:extLst>
              <c:f>BOATERS!$AD$15:$AD$20</c:f>
              <c:numCache>
                <c:formatCode>General</c:formatCode>
                <c:ptCount val="6"/>
                <c:pt idx="0">
                  <c:v>631</c:v>
                </c:pt>
                <c:pt idx="1">
                  <c:v>1073.25</c:v>
                </c:pt>
                <c:pt idx="2">
                  <c:v>1449.75</c:v>
                </c:pt>
                <c:pt idx="3">
                  <c:v>1992.25</c:v>
                </c:pt>
                <c:pt idx="4">
                  <c:v>1645.25</c:v>
                </c:pt>
                <c:pt idx="5">
                  <c:v>898.25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3C8-4915-9A42-55E26A8BF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2574544"/>
        <c:axId val="1672581744"/>
      </c:lineChart>
      <c:catAx>
        <c:axId val="167257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581744"/>
        <c:crosses val="autoZero"/>
        <c:auto val="1"/>
        <c:lblAlgn val="ctr"/>
        <c:lblOffset val="100"/>
        <c:noMultiLvlLbl val="0"/>
      </c:catAx>
      <c:valAx>
        <c:axId val="1672581744"/>
        <c:scaling>
          <c:orientation val="minMax"/>
          <c:max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Boaters</a:t>
                </a:r>
                <a:r>
                  <a:rPr lang="en-US" sz="1200" baseline="0"/>
                  <a:t> per month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574544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Brannan Island SRA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BOATERS!$AP$11</c:f>
              <c:strCache>
                <c:ptCount val="1"/>
                <c:pt idx="0">
                  <c:v>Above normal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BOATERS!$AO$12:$AO$23</c15:sqref>
                  </c15:fullRef>
                </c:ext>
              </c:extLst>
              <c:f>BOATERS!$AO$15:$AO$20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BOATERS!$AP$12:$AP$23</c15:sqref>
                  </c15:fullRef>
                </c:ext>
              </c:extLst>
              <c:f>BOATERS!$AP$15:$AP$20</c:f>
              <c:numCache>
                <c:formatCode>General</c:formatCode>
                <c:ptCount val="6"/>
                <c:pt idx="0">
                  <c:v>1342</c:v>
                </c:pt>
                <c:pt idx="1">
                  <c:v>691</c:v>
                </c:pt>
                <c:pt idx="2">
                  <c:v>403</c:v>
                </c:pt>
                <c:pt idx="3">
                  <c:v>566</c:v>
                </c:pt>
                <c:pt idx="4">
                  <c:v>604</c:v>
                </c:pt>
                <c:pt idx="5">
                  <c:v>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47-4298-971D-FEE69025017C}"/>
            </c:ext>
          </c:extLst>
        </c:ser>
        <c:ser>
          <c:idx val="1"/>
          <c:order val="1"/>
          <c:tx>
            <c:strRef>
              <c:f>BOATERS!$AQ$11</c:f>
              <c:strCache>
                <c:ptCount val="1"/>
                <c:pt idx="0">
                  <c:v>Below Normal</c:v>
                </c:pt>
              </c:strCache>
            </c:strRef>
          </c:tx>
          <c:spPr>
            <a:ln w="28575" cap="rnd">
              <a:solidFill>
                <a:srgbClr val="FF9999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BOATERS!$AO$12:$AO$23</c15:sqref>
                  </c15:fullRef>
                </c:ext>
              </c:extLst>
              <c:f>BOATERS!$AO$15:$AO$20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BOATERS!$AQ$12:$AQ$23</c15:sqref>
                  </c15:fullRef>
                </c:ext>
              </c:extLst>
              <c:f>BOATERS!$AQ$15:$AQ$20</c:f>
              <c:numCache>
                <c:formatCode>General</c:formatCode>
                <c:ptCount val="6"/>
                <c:pt idx="0">
                  <c:v>750</c:v>
                </c:pt>
                <c:pt idx="1">
                  <c:v>1173</c:v>
                </c:pt>
                <c:pt idx="2">
                  <c:v>924</c:v>
                </c:pt>
                <c:pt idx="3">
                  <c:v>0</c:v>
                </c:pt>
                <c:pt idx="4">
                  <c:v>0</c:v>
                </c:pt>
                <c:pt idx="5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47-4298-971D-FEE69025017C}"/>
            </c:ext>
          </c:extLst>
        </c:ser>
        <c:ser>
          <c:idx val="2"/>
          <c:order val="2"/>
          <c:tx>
            <c:strRef>
              <c:f>BOATERS!$AR$11</c:f>
              <c:strCache>
                <c:ptCount val="1"/>
                <c:pt idx="0">
                  <c:v>Critical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BOATERS!$AO$12:$AO$23</c15:sqref>
                  </c15:fullRef>
                </c:ext>
              </c:extLst>
              <c:f>BOATERS!$AO$15:$AO$20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BOATERS!$AR$12:$AR$23</c15:sqref>
                  </c15:fullRef>
                </c:ext>
              </c:extLst>
              <c:f>BOATERS!$AR$15:$AR$20</c:f>
              <c:numCache>
                <c:formatCode>General</c:formatCode>
                <c:ptCount val="6"/>
                <c:pt idx="0">
                  <c:v>736.81818181818187</c:v>
                </c:pt>
                <c:pt idx="1">
                  <c:v>599.5454545454545</c:v>
                </c:pt>
                <c:pt idx="2">
                  <c:v>567</c:v>
                </c:pt>
                <c:pt idx="3">
                  <c:v>750.5</c:v>
                </c:pt>
                <c:pt idx="4">
                  <c:v>898.66666666666663</c:v>
                </c:pt>
                <c:pt idx="5">
                  <c:v>901.58333333333337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47-4298-971D-FEE69025017C}"/>
            </c:ext>
          </c:extLst>
        </c:ser>
        <c:ser>
          <c:idx val="3"/>
          <c:order val="3"/>
          <c:tx>
            <c:strRef>
              <c:f>BOATERS!$AS$11</c:f>
              <c:strCache>
                <c:ptCount val="1"/>
                <c:pt idx="0">
                  <c:v>Dry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BOATERS!$AO$12:$AO$23</c15:sqref>
                  </c15:fullRef>
                </c:ext>
              </c:extLst>
              <c:f>BOATERS!$AO$15:$AO$20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BOATERS!$AS$12:$AS$23</c15:sqref>
                  </c15:fullRef>
                </c:ext>
              </c:extLst>
              <c:f>BOATERS!$AS$15:$AS$20</c:f>
              <c:numCache>
                <c:formatCode>General</c:formatCode>
                <c:ptCount val="6"/>
                <c:pt idx="0">
                  <c:v>619.4</c:v>
                </c:pt>
                <c:pt idx="1">
                  <c:v>624.6</c:v>
                </c:pt>
                <c:pt idx="2">
                  <c:v>436.6</c:v>
                </c:pt>
                <c:pt idx="3">
                  <c:v>485.33333333333331</c:v>
                </c:pt>
                <c:pt idx="4">
                  <c:v>571.5</c:v>
                </c:pt>
                <c:pt idx="5">
                  <c:v>537.4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47-4298-971D-FEE69025017C}"/>
            </c:ext>
          </c:extLst>
        </c:ser>
        <c:ser>
          <c:idx val="4"/>
          <c:order val="4"/>
          <c:tx>
            <c:strRef>
              <c:f>BOATERS!$AT$11</c:f>
              <c:strCache>
                <c:ptCount val="1"/>
                <c:pt idx="0">
                  <c:v>Wet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BOATERS!$AO$12:$AO$23</c15:sqref>
                  </c15:fullRef>
                </c:ext>
              </c:extLst>
              <c:f>BOATERS!$AO$15:$AO$20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BOATERS!$AT$12:$AT$23</c15:sqref>
                  </c15:fullRef>
                </c:ext>
              </c:extLst>
              <c:f>BOATERS!$AT$15:$AT$20</c:f>
              <c:numCache>
                <c:formatCode>General</c:formatCode>
                <c:ptCount val="6"/>
                <c:pt idx="0">
                  <c:v>0</c:v>
                </c:pt>
                <c:pt idx="1">
                  <c:v>818</c:v>
                </c:pt>
                <c:pt idx="2">
                  <c:v>515</c:v>
                </c:pt>
                <c:pt idx="3">
                  <c:v>849</c:v>
                </c:pt>
                <c:pt idx="4">
                  <c:v>671</c:v>
                </c:pt>
                <c:pt idx="5">
                  <c:v>1254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47-4298-971D-FEE690250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2574544"/>
        <c:axId val="1672581744"/>
      </c:lineChart>
      <c:catAx>
        <c:axId val="167257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581744"/>
        <c:crosses val="autoZero"/>
        <c:auto val="1"/>
        <c:lblAlgn val="ctr"/>
        <c:lblOffset val="100"/>
        <c:noMultiLvlLbl val="0"/>
      </c:catAx>
      <c:valAx>
        <c:axId val="167258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57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Franks Tract</a:t>
            </a:r>
            <a:r>
              <a:rPr lang="en-US" baseline="0"/>
              <a:t> SRA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BOATERS!$AH$11</c:f>
              <c:strCache>
                <c:ptCount val="1"/>
                <c:pt idx="0">
                  <c:v>Above normal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BOATERS!$AG$12:$AG$23</c15:sqref>
                  </c15:fullRef>
                </c:ext>
              </c:extLst>
              <c:f>BOATERS!$AG$15:$AG$20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BOATERS!$AH$12:$AH$23</c15:sqref>
                  </c15:fullRef>
                </c:ext>
              </c:extLst>
              <c:f>BOATERS!$AH$15:$AH$20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3E-42C6-88B4-71B5993CE3F6}"/>
            </c:ext>
          </c:extLst>
        </c:ser>
        <c:ser>
          <c:idx val="1"/>
          <c:order val="1"/>
          <c:tx>
            <c:strRef>
              <c:f>BOATERS!$AI$11</c:f>
              <c:strCache>
                <c:ptCount val="1"/>
                <c:pt idx="0">
                  <c:v>Below Normal</c:v>
                </c:pt>
              </c:strCache>
            </c:strRef>
          </c:tx>
          <c:spPr>
            <a:ln w="28575" cap="rnd">
              <a:solidFill>
                <a:srgbClr val="FF9999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BOATERS!$AG$12:$AG$23</c15:sqref>
                  </c15:fullRef>
                </c:ext>
              </c:extLst>
              <c:f>BOATERS!$AG$15:$AG$20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BOATERS!$AI$12:$AI$23</c15:sqref>
                  </c15:fullRef>
                </c:ext>
              </c:extLst>
              <c:f>BOATERS!$AI$15:$AI$20</c:f>
              <c:numCache>
                <c:formatCode>General</c:formatCode>
                <c:ptCount val="6"/>
                <c:pt idx="0">
                  <c:v>1003</c:v>
                </c:pt>
                <c:pt idx="1">
                  <c:v>1812</c:v>
                </c:pt>
                <c:pt idx="2">
                  <c:v>2092</c:v>
                </c:pt>
                <c:pt idx="3">
                  <c:v>1212</c:v>
                </c:pt>
                <c:pt idx="4">
                  <c:v>1335</c:v>
                </c:pt>
                <c:pt idx="5">
                  <c:v>1350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3E-42C6-88B4-71B5993CE3F6}"/>
            </c:ext>
          </c:extLst>
        </c:ser>
        <c:ser>
          <c:idx val="2"/>
          <c:order val="2"/>
          <c:tx>
            <c:strRef>
              <c:f>BOATERS!$AJ$11</c:f>
              <c:strCache>
                <c:ptCount val="1"/>
                <c:pt idx="0">
                  <c:v>Critical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BOATERS!$AG$12:$AG$23</c15:sqref>
                  </c15:fullRef>
                </c:ext>
              </c:extLst>
              <c:f>BOATERS!$AG$15:$AG$20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BOATERS!$AJ$12:$AJ$23</c15:sqref>
                  </c15:fullRef>
                </c:ext>
              </c:extLst>
              <c:f>BOATERS!$AJ$15:$AJ$20</c:f>
              <c:numCache>
                <c:formatCode>General</c:formatCode>
                <c:ptCount val="6"/>
                <c:pt idx="0">
                  <c:v>858.5454545454545</c:v>
                </c:pt>
                <c:pt idx="1">
                  <c:v>1298.6363636363637</c:v>
                </c:pt>
                <c:pt idx="2">
                  <c:v>1206</c:v>
                </c:pt>
                <c:pt idx="3">
                  <c:v>1415.25</c:v>
                </c:pt>
                <c:pt idx="4">
                  <c:v>1265.5</c:v>
                </c:pt>
                <c:pt idx="5">
                  <c:v>1029.4166666666667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3E-42C6-88B4-71B5993CE3F6}"/>
            </c:ext>
          </c:extLst>
        </c:ser>
        <c:ser>
          <c:idx val="3"/>
          <c:order val="3"/>
          <c:tx>
            <c:strRef>
              <c:f>BOATERS!$AK$11</c:f>
              <c:strCache>
                <c:ptCount val="1"/>
                <c:pt idx="0">
                  <c:v>Dry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BOATERS!$AG$12:$AG$23</c15:sqref>
                  </c15:fullRef>
                </c:ext>
              </c:extLst>
              <c:f>BOATERS!$AG$15:$AG$20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BOATERS!$AK$12:$AK$23</c15:sqref>
                  </c15:fullRef>
                </c:ext>
              </c:extLst>
              <c:f>BOATERS!$AK$15:$AK$20</c:f>
              <c:numCache>
                <c:formatCode>General</c:formatCode>
                <c:ptCount val="6"/>
                <c:pt idx="0">
                  <c:v>1108.2</c:v>
                </c:pt>
                <c:pt idx="1">
                  <c:v>1093.8</c:v>
                </c:pt>
                <c:pt idx="2">
                  <c:v>842.8</c:v>
                </c:pt>
                <c:pt idx="3">
                  <c:v>637.5</c:v>
                </c:pt>
                <c:pt idx="4">
                  <c:v>684.83333333333337</c:v>
                </c:pt>
                <c:pt idx="5">
                  <c:v>590.4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3E-42C6-88B4-71B5993CE3F6}"/>
            </c:ext>
          </c:extLst>
        </c:ser>
        <c:ser>
          <c:idx val="4"/>
          <c:order val="4"/>
          <c:tx>
            <c:strRef>
              <c:f>BOATERS!$AL$11</c:f>
              <c:strCache>
                <c:ptCount val="1"/>
                <c:pt idx="0">
                  <c:v>Wet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BOATERS!$AG$12:$AG$23</c15:sqref>
                  </c15:fullRef>
                </c:ext>
              </c:extLst>
              <c:f>BOATERS!$AG$15:$AG$20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BOATERS!$AL$12:$AL$23</c15:sqref>
                  </c15:fullRef>
                </c:ext>
              </c:extLst>
              <c:f>BOATERS!$AL$15:$AL$20</c:f>
              <c:numCache>
                <c:formatCode>General</c:formatCode>
                <c:ptCount val="6"/>
                <c:pt idx="0">
                  <c:v>2511</c:v>
                </c:pt>
                <c:pt idx="1">
                  <c:v>3461</c:v>
                </c:pt>
                <c:pt idx="2">
                  <c:v>5266</c:v>
                </c:pt>
                <c:pt idx="3">
                  <c:v>7100</c:v>
                </c:pt>
                <c:pt idx="4">
                  <c:v>5890</c:v>
                </c:pt>
                <c:pt idx="5">
                  <c:v>2302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13E-42C6-88B4-71B5993CE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2574544"/>
        <c:axId val="1672581744"/>
      </c:lineChart>
      <c:catAx>
        <c:axId val="167257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581744"/>
        <c:crosses val="autoZero"/>
        <c:auto val="1"/>
        <c:lblAlgn val="ctr"/>
        <c:lblOffset val="100"/>
        <c:noMultiLvlLbl val="0"/>
      </c:catAx>
      <c:valAx>
        <c:axId val="167258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57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Delta Meadows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BOATERS!$AX$11</c:f>
              <c:strCache>
                <c:ptCount val="1"/>
                <c:pt idx="0">
                  <c:v>Above normal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BOATERS!$AW$12:$AW$23</c15:sqref>
                  </c15:fullRef>
                </c:ext>
              </c:extLst>
              <c:f>BOATERS!$AW$15:$AW$20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BOATERS!$AX$12:$AX$23</c15:sqref>
                  </c15:fullRef>
                </c:ext>
              </c:extLst>
              <c:f>BOATERS!$AX$15:$AX$20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D4-4C46-9850-AEB4DBB97B7D}"/>
            </c:ext>
          </c:extLst>
        </c:ser>
        <c:ser>
          <c:idx val="1"/>
          <c:order val="1"/>
          <c:tx>
            <c:strRef>
              <c:f>BOATERS!$AY$11</c:f>
              <c:strCache>
                <c:ptCount val="1"/>
                <c:pt idx="0">
                  <c:v>Below Normal</c:v>
                </c:pt>
              </c:strCache>
            </c:strRef>
          </c:tx>
          <c:spPr>
            <a:ln w="28575" cap="rnd">
              <a:solidFill>
                <a:srgbClr val="FF9999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BOATERS!$AW$12:$AW$23</c15:sqref>
                  </c15:fullRef>
                </c:ext>
              </c:extLst>
              <c:f>BOATERS!$AW$15:$AW$20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BOATERS!$AY$12:$AY$23</c15:sqref>
                  </c15:fullRef>
                </c:ext>
              </c:extLst>
              <c:f>BOATERS!$AY$15:$AY$20</c:f>
              <c:numCache>
                <c:formatCode>General</c:formatCode>
                <c:ptCount val="6"/>
                <c:pt idx="0">
                  <c:v>143</c:v>
                </c:pt>
                <c:pt idx="1">
                  <c:v>305</c:v>
                </c:pt>
                <c:pt idx="2">
                  <c:v>210</c:v>
                </c:pt>
                <c:pt idx="3">
                  <c:v>266</c:v>
                </c:pt>
                <c:pt idx="4">
                  <c:v>258</c:v>
                </c:pt>
                <c:pt idx="5">
                  <c:v>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D4-4C46-9850-AEB4DBB97B7D}"/>
            </c:ext>
          </c:extLst>
        </c:ser>
        <c:ser>
          <c:idx val="2"/>
          <c:order val="2"/>
          <c:tx>
            <c:strRef>
              <c:f>BOATERS!$AZ$11</c:f>
              <c:strCache>
                <c:ptCount val="1"/>
                <c:pt idx="0">
                  <c:v>Critical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BOATERS!$AW$12:$AW$23</c15:sqref>
                  </c15:fullRef>
                </c:ext>
              </c:extLst>
              <c:f>BOATERS!$AW$15:$AW$20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BOATERS!$AZ$12:$AZ$23</c15:sqref>
                  </c15:fullRef>
                </c:ext>
              </c:extLst>
              <c:f>BOATERS!$AZ$15:$AZ$20</c:f>
              <c:numCache>
                <c:formatCode>General</c:formatCode>
                <c:ptCount val="6"/>
                <c:pt idx="0">
                  <c:v>103.36363636363636</c:v>
                </c:pt>
                <c:pt idx="1">
                  <c:v>223.72727272727272</c:v>
                </c:pt>
                <c:pt idx="2">
                  <c:v>166.81818181818181</c:v>
                </c:pt>
                <c:pt idx="3">
                  <c:v>178.16666666666666</c:v>
                </c:pt>
                <c:pt idx="4">
                  <c:v>154.08333333333334</c:v>
                </c:pt>
                <c:pt idx="5">
                  <c:v>229.16666666666666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D4-4C46-9850-AEB4DBB97B7D}"/>
            </c:ext>
          </c:extLst>
        </c:ser>
        <c:ser>
          <c:idx val="3"/>
          <c:order val="3"/>
          <c:tx>
            <c:strRef>
              <c:f>BOATERS!$BA$11</c:f>
              <c:strCache>
                <c:ptCount val="1"/>
                <c:pt idx="0">
                  <c:v>Dry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BOATERS!$AW$12:$AW$23</c15:sqref>
                  </c15:fullRef>
                </c:ext>
              </c:extLst>
              <c:f>BOATERS!$AW$15:$AW$20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BOATERS!$BA$12:$BA$23</c15:sqref>
                  </c15:fullRef>
                </c:ext>
              </c:extLst>
              <c:f>BOATERS!$BA$15:$BA$20</c:f>
              <c:numCache>
                <c:formatCode>General</c:formatCode>
                <c:ptCount val="6"/>
                <c:pt idx="0">
                  <c:v>3.4</c:v>
                </c:pt>
                <c:pt idx="1">
                  <c:v>6.8</c:v>
                </c:pt>
                <c:pt idx="2">
                  <c:v>38.799999999999997</c:v>
                </c:pt>
                <c:pt idx="3">
                  <c:v>44.333333333333336</c:v>
                </c:pt>
                <c:pt idx="4">
                  <c:v>5.333333333333333</c:v>
                </c:pt>
                <c:pt idx="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D4-4C46-9850-AEB4DBB97B7D}"/>
            </c:ext>
          </c:extLst>
        </c:ser>
        <c:ser>
          <c:idx val="4"/>
          <c:order val="4"/>
          <c:tx>
            <c:strRef>
              <c:f>BOATERS!$BB$11</c:f>
              <c:strCache>
                <c:ptCount val="1"/>
                <c:pt idx="0">
                  <c:v>Wet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BOATERS!$AW$12:$AW$23</c15:sqref>
                  </c15:fullRef>
                </c:ext>
              </c:extLst>
              <c:f>BOATERS!$AW$15:$AW$20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BOATERS!$BB$12:$BB$23</c15:sqref>
                  </c15:fullRef>
                </c:ext>
              </c:extLst>
              <c:f>BOATERS!$BB$15:$BB$20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8D4-4C46-9850-AEB4DBB97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2574544"/>
        <c:axId val="1672581744"/>
      </c:lineChart>
      <c:catAx>
        <c:axId val="167257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581744"/>
        <c:crosses val="autoZero"/>
        <c:auto val="1"/>
        <c:lblAlgn val="ctr"/>
        <c:lblOffset val="100"/>
        <c:noMultiLvlLbl val="0"/>
      </c:catAx>
      <c:valAx>
        <c:axId val="167258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57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Bethany</a:t>
            </a:r>
            <a:r>
              <a:rPr lang="en-US" baseline="0"/>
              <a:t> Reservoir SRA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BOATERS!$BF$11</c:f>
              <c:strCache>
                <c:ptCount val="1"/>
                <c:pt idx="0">
                  <c:v>Above normal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BOATERS!$BE$12:$BE$23</c15:sqref>
                  </c15:fullRef>
                </c:ext>
              </c:extLst>
              <c:f>BOATERS!$BE$15:$BE$20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BOATERS!$BF$12:$BF$23</c15:sqref>
                  </c15:fullRef>
                </c:ext>
              </c:extLst>
              <c:f>BOATERS!$BF$15:$BF$20</c:f>
              <c:numCache>
                <c:formatCode>General</c:formatCode>
                <c:ptCount val="6"/>
                <c:pt idx="2">
                  <c:v>5</c:v>
                </c:pt>
                <c:pt idx="3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DB-49BD-8F34-D7160FA0AFCD}"/>
            </c:ext>
          </c:extLst>
        </c:ser>
        <c:ser>
          <c:idx val="1"/>
          <c:order val="1"/>
          <c:tx>
            <c:strRef>
              <c:f>BOATERS!$BG$11</c:f>
              <c:strCache>
                <c:ptCount val="1"/>
                <c:pt idx="0">
                  <c:v>Below Normal</c:v>
                </c:pt>
              </c:strCache>
            </c:strRef>
          </c:tx>
          <c:spPr>
            <a:ln w="28575" cap="rnd">
              <a:solidFill>
                <a:srgbClr val="FF9999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BOATERS!$BE$12:$BE$23</c15:sqref>
                  </c15:fullRef>
                </c:ext>
              </c:extLst>
              <c:f>BOATERS!$BE$15:$BE$20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BOATERS!$BG$12:$BG$23</c15:sqref>
                  </c15:fullRef>
                </c:ext>
              </c:extLst>
              <c:f>BOATERS!$BG$15:$BG$20</c:f>
              <c:numCache>
                <c:formatCode>General</c:formatCode>
                <c:ptCount val="6"/>
                <c:pt idx="0">
                  <c:v>16</c:v>
                </c:pt>
                <c:pt idx="1">
                  <c:v>18</c:v>
                </c:pt>
                <c:pt idx="2">
                  <c:v>16</c:v>
                </c:pt>
                <c:pt idx="3">
                  <c:v>16</c:v>
                </c:pt>
                <c:pt idx="4">
                  <c:v>20</c:v>
                </c:pt>
                <c:pt idx="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DB-49BD-8F34-D7160FA0AFCD}"/>
            </c:ext>
          </c:extLst>
        </c:ser>
        <c:ser>
          <c:idx val="2"/>
          <c:order val="2"/>
          <c:tx>
            <c:strRef>
              <c:f>BOATERS!$BH$11</c:f>
              <c:strCache>
                <c:ptCount val="1"/>
                <c:pt idx="0">
                  <c:v>Critical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BOATERS!$BE$12:$BE$23</c15:sqref>
                  </c15:fullRef>
                </c:ext>
              </c:extLst>
              <c:f>BOATERS!$BE$15:$BE$20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BOATERS!$BH$12:$BH$23</c15:sqref>
                  </c15:fullRef>
                </c:ext>
              </c:extLst>
              <c:f>BOATERS!$BH$15:$BH$20</c:f>
              <c:numCache>
                <c:formatCode>General</c:formatCode>
                <c:ptCount val="6"/>
                <c:pt idx="0">
                  <c:v>12.727272727272727</c:v>
                </c:pt>
                <c:pt idx="1">
                  <c:v>11</c:v>
                </c:pt>
                <c:pt idx="2">
                  <c:v>16.363636363636363</c:v>
                </c:pt>
                <c:pt idx="3">
                  <c:v>14.5</c:v>
                </c:pt>
                <c:pt idx="4">
                  <c:v>13.166666666666666</c:v>
                </c:pt>
                <c:pt idx="5">
                  <c:v>9.9166666666666661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DB-49BD-8F34-D7160FA0AFCD}"/>
            </c:ext>
          </c:extLst>
        </c:ser>
        <c:ser>
          <c:idx val="3"/>
          <c:order val="3"/>
          <c:tx>
            <c:strRef>
              <c:f>BOATERS!$BI$11</c:f>
              <c:strCache>
                <c:ptCount val="1"/>
                <c:pt idx="0">
                  <c:v>Dry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BOATERS!$BE$12:$BE$23</c15:sqref>
                  </c15:fullRef>
                </c:ext>
              </c:extLst>
              <c:f>BOATERS!$BE$15:$BE$20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BOATERS!$BI$12:$BI$23</c15:sqref>
                  </c15:fullRef>
                </c:ext>
              </c:extLst>
              <c:f>BOATERS!$BI$15:$BI$20</c:f>
              <c:numCache>
                <c:formatCode>General</c:formatCode>
                <c:ptCount val="6"/>
                <c:pt idx="0">
                  <c:v>16.399999999999999</c:v>
                </c:pt>
                <c:pt idx="1">
                  <c:v>14.6</c:v>
                </c:pt>
                <c:pt idx="2">
                  <c:v>22.6</c:v>
                </c:pt>
                <c:pt idx="3">
                  <c:v>23.833333333333332</c:v>
                </c:pt>
                <c:pt idx="4">
                  <c:v>18.333333333333332</c:v>
                </c:pt>
                <c:pt idx="5">
                  <c:v>14.4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DB-49BD-8F34-D7160FA0AFCD}"/>
            </c:ext>
          </c:extLst>
        </c:ser>
        <c:ser>
          <c:idx val="4"/>
          <c:order val="4"/>
          <c:tx>
            <c:strRef>
              <c:f>BOATERS!$BJ$11</c:f>
              <c:strCache>
                <c:ptCount val="1"/>
                <c:pt idx="0">
                  <c:v>Wet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BOATERS!$BE$12:$BE$23</c15:sqref>
                  </c15:fullRef>
                </c:ext>
              </c:extLst>
              <c:f>BOATERS!$BE$15:$BE$20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BOATERS!$BJ$12:$BJ$23</c15:sqref>
                  </c15:fullRef>
                </c:ext>
              </c:extLst>
              <c:f>BOATERS!$BJ$15:$BJ$20</c:f>
              <c:numCache>
                <c:formatCode>General</c:formatCode>
                <c:ptCount val="6"/>
                <c:pt idx="0">
                  <c:v>13</c:v>
                </c:pt>
                <c:pt idx="1">
                  <c:v>14</c:v>
                </c:pt>
                <c:pt idx="2">
                  <c:v>18</c:v>
                </c:pt>
                <c:pt idx="3">
                  <c:v>20</c:v>
                </c:pt>
                <c:pt idx="4">
                  <c:v>20</c:v>
                </c:pt>
                <c:pt idx="5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DB-49BD-8F34-D7160FA0A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2574544"/>
        <c:axId val="1672581744"/>
      </c:lineChart>
      <c:catAx>
        <c:axId val="167257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581744"/>
        <c:crosses val="autoZero"/>
        <c:auto val="1"/>
        <c:lblAlgn val="ctr"/>
        <c:lblOffset val="100"/>
        <c:noMultiLvlLbl val="0"/>
      </c:catAx>
      <c:valAx>
        <c:axId val="167258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57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[State Parks day use and boating.xlsx]PivotBoaters!PivotTable2</c:name>
    <c:fmtId val="0"/>
  </c:pivotSource>
  <c:chart>
    <c:autoTitleDeleted val="0"/>
    <c:pivotFmts>
      <c:pivotFmt>
        <c:idx val="0"/>
        <c:spPr>
          <a:ln w="28575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FF99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0070C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PivotBoaters!$B$3:$B$4</c:f>
              <c:strCache>
                <c:ptCount val="1"/>
                <c:pt idx="0">
                  <c:v>Above Normal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PivotBoaters!$A$5:$A$11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PivotBoaters!$B$5:$B$11</c:f>
              <c:numCache>
                <c:formatCode>_(* #,##0_);_(* \(#,##0\);_(* "-"??_);_(@_)</c:formatCode>
                <c:ptCount val="6"/>
                <c:pt idx="0">
                  <c:v>456.95238095238096</c:v>
                </c:pt>
                <c:pt idx="1">
                  <c:v>537.90476190476193</c:v>
                </c:pt>
                <c:pt idx="2">
                  <c:v>457.85714285714283</c:v>
                </c:pt>
                <c:pt idx="3">
                  <c:v>517.66666666666663</c:v>
                </c:pt>
                <c:pt idx="4">
                  <c:v>539.28571428571433</c:v>
                </c:pt>
                <c:pt idx="5">
                  <c:v>543.57142857142856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11-4A27-99AB-22E1F99F0B54}"/>
            </c:ext>
          </c:extLst>
        </c:ser>
        <c:ser>
          <c:idx val="1"/>
          <c:order val="1"/>
          <c:tx>
            <c:strRef>
              <c:f>PivotBoaters!$C$3:$C$4</c:f>
              <c:strCache>
                <c:ptCount val="1"/>
                <c:pt idx="0">
                  <c:v>Below Normal</c:v>
                </c:pt>
              </c:strCache>
            </c:strRef>
          </c:tx>
          <c:spPr>
            <a:ln w="28575" cap="rnd">
              <a:solidFill>
                <a:srgbClr val="FF9999"/>
              </a:solidFill>
              <a:round/>
            </a:ln>
            <a:effectLst/>
          </c:spPr>
          <c:marker>
            <c:symbol val="none"/>
          </c:marker>
          <c:cat>
            <c:strRef>
              <c:f>PivotBoaters!$A$5:$A$11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PivotBoaters!$C$5:$C$11</c:f>
              <c:numCache>
                <c:formatCode>_(* #,##0_);_(* \(#,##0\);_(* "-"??_);_(@_)</c:formatCode>
                <c:ptCount val="6"/>
                <c:pt idx="0">
                  <c:v>283</c:v>
                </c:pt>
                <c:pt idx="1">
                  <c:v>318.42857142857144</c:v>
                </c:pt>
                <c:pt idx="2">
                  <c:v>325.66666666666669</c:v>
                </c:pt>
                <c:pt idx="3">
                  <c:v>263.46428571428572</c:v>
                </c:pt>
                <c:pt idx="4">
                  <c:v>317.46428571428572</c:v>
                </c:pt>
                <c:pt idx="5">
                  <c:v>382.14285714285717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11-4A27-99AB-22E1F99F0B54}"/>
            </c:ext>
          </c:extLst>
        </c:ser>
        <c:ser>
          <c:idx val="2"/>
          <c:order val="2"/>
          <c:tx>
            <c:strRef>
              <c:f>PivotBoaters!$D$3:$D$4</c:f>
              <c:strCache>
                <c:ptCount val="1"/>
                <c:pt idx="0">
                  <c:v>Critical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PivotBoaters!$A$5:$A$11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PivotBoaters!$D$5:$D$11</c:f>
              <c:numCache>
                <c:formatCode>_(* #,##0_);_(* \(#,##0\);_(* "-"??_);_(@_)</c:formatCode>
                <c:ptCount val="6"/>
                <c:pt idx="0">
                  <c:v>102.5</c:v>
                </c:pt>
                <c:pt idx="1">
                  <c:v>86.785714285714292</c:v>
                </c:pt>
                <c:pt idx="2">
                  <c:v>62.285714285714285</c:v>
                </c:pt>
                <c:pt idx="3">
                  <c:v>82.357142857142861</c:v>
                </c:pt>
                <c:pt idx="4">
                  <c:v>92.428571428571431</c:v>
                </c:pt>
                <c:pt idx="5">
                  <c:v>54.357142857142854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11-4A27-99AB-22E1F99F0B54}"/>
            </c:ext>
          </c:extLst>
        </c:ser>
        <c:ser>
          <c:idx val="3"/>
          <c:order val="3"/>
          <c:tx>
            <c:strRef>
              <c:f>PivotBoaters!$E$3:$E$4</c:f>
              <c:strCache>
                <c:ptCount val="1"/>
                <c:pt idx="0">
                  <c:v>Dry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PivotBoaters!$A$5:$A$11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PivotBoaters!$E$5:$E$11</c:f>
              <c:numCache>
                <c:formatCode>_(* #,##0_);_(* \(#,##0\);_(* "-"??_);_(@_)</c:formatCode>
                <c:ptCount val="6"/>
                <c:pt idx="0">
                  <c:v>98.857142857142861</c:v>
                </c:pt>
                <c:pt idx="1">
                  <c:v>58.714285714285715</c:v>
                </c:pt>
                <c:pt idx="2">
                  <c:v>59.285714285714285</c:v>
                </c:pt>
                <c:pt idx="3">
                  <c:v>70.142857142857139</c:v>
                </c:pt>
                <c:pt idx="4">
                  <c:v>89.857142857142861</c:v>
                </c:pt>
                <c:pt idx="5">
                  <c:v>89.285714285714292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11-4A27-99AB-22E1F99F0B54}"/>
            </c:ext>
          </c:extLst>
        </c:ser>
        <c:ser>
          <c:idx val="4"/>
          <c:order val="4"/>
          <c:tx>
            <c:strRef>
              <c:f>PivotBoaters!$F$3:$F$4</c:f>
              <c:strCache>
                <c:ptCount val="1"/>
                <c:pt idx="0">
                  <c:v>Wet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PivotBoaters!$A$5:$A$11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PivotBoaters!$F$5:$F$11</c:f>
              <c:numCache>
                <c:formatCode>_(* #,##0_);_(* \(#,##0\);_(* "-"??_);_(@_)</c:formatCode>
                <c:ptCount val="6"/>
                <c:pt idx="0">
                  <c:v>223.92857142857142</c:v>
                </c:pt>
                <c:pt idx="1">
                  <c:v>297.77142857142854</c:v>
                </c:pt>
                <c:pt idx="2">
                  <c:v>284.71428571428572</c:v>
                </c:pt>
                <c:pt idx="3">
                  <c:v>333.15584415584414</c:v>
                </c:pt>
                <c:pt idx="4">
                  <c:v>289.84415584415586</c:v>
                </c:pt>
                <c:pt idx="5">
                  <c:v>230.11428571428573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11-4A27-99AB-22E1F99F0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768895"/>
        <c:axId val="168769375"/>
      </c:lineChart>
      <c:catAx>
        <c:axId val="16876889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69375"/>
        <c:crossesAt val="0"/>
        <c:auto val="1"/>
        <c:lblAlgn val="ctr"/>
        <c:lblOffset val="100"/>
        <c:noMultiLvlLbl val="0"/>
      </c:catAx>
      <c:valAx>
        <c:axId val="16876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Boaters</a:t>
                </a:r>
                <a:r>
                  <a:rPr lang="en-US" baseline="0"/>
                  <a:t> per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6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[State Parks day use and boating.xlsx]Pivot Day Use!PivotTable3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FF99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0070C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0070C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FF99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Day Use'!$B$3:$B$4</c:f>
              <c:strCache>
                <c:ptCount val="1"/>
                <c:pt idx="0">
                  <c:v>Above Normal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'Pivot Day Use'!$A$5:$A$11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'Pivot Day Use'!$B$5:$B$11</c:f>
              <c:numCache>
                <c:formatCode>_(* #,##0_);_(* \(#,##0\);_(* "-"??_);_(@_)</c:formatCode>
                <c:ptCount val="6"/>
                <c:pt idx="0">
                  <c:v>7094.666666666667</c:v>
                </c:pt>
                <c:pt idx="1">
                  <c:v>7945.4285714285716</c:v>
                </c:pt>
                <c:pt idx="2">
                  <c:v>8068</c:v>
                </c:pt>
                <c:pt idx="3">
                  <c:v>8497.3809523809523</c:v>
                </c:pt>
                <c:pt idx="4">
                  <c:v>8393.1904761904771</c:v>
                </c:pt>
                <c:pt idx="5">
                  <c:v>10276.142857142857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24-4B29-99E1-D1F98CF30E78}"/>
            </c:ext>
          </c:extLst>
        </c:ser>
        <c:ser>
          <c:idx val="1"/>
          <c:order val="1"/>
          <c:tx>
            <c:strRef>
              <c:f>'Pivot Day Use'!$C$3:$C$4</c:f>
              <c:strCache>
                <c:ptCount val="1"/>
                <c:pt idx="0">
                  <c:v>Below Normal</c:v>
                </c:pt>
              </c:strCache>
            </c:strRef>
          </c:tx>
          <c:spPr>
            <a:ln w="28575" cap="rnd">
              <a:solidFill>
                <a:srgbClr val="FF9999"/>
              </a:solidFill>
              <a:round/>
            </a:ln>
            <a:effectLst/>
          </c:spPr>
          <c:marker>
            <c:symbol val="none"/>
          </c:marker>
          <c:cat>
            <c:strRef>
              <c:f>'Pivot Day Use'!$A$5:$A$11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'Pivot Day Use'!$C$5:$C$11</c:f>
              <c:numCache>
                <c:formatCode>_(* #,##0_);_(* \(#,##0\);_(* "-"??_);_(@_)</c:formatCode>
                <c:ptCount val="6"/>
                <c:pt idx="0">
                  <c:v>6838.8571428571431</c:v>
                </c:pt>
                <c:pt idx="1">
                  <c:v>7758.9523809523807</c:v>
                </c:pt>
                <c:pt idx="2">
                  <c:v>7505.7619047619046</c:v>
                </c:pt>
                <c:pt idx="3">
                  <c:v>7771.3214285714284</c:v>
                </c:pt>
                <c:pt idx="4">
                  <c:v>8466.7142857142862</c:v>
                </c:pt>
                <c:pt idx="5">
                  <c:v>7773.3928571428569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24-4B29-99E1-D1F98CF30E78}"/>
            </c:ext>
          </c:extLst>
        </c:ser>
        <c:ser>
          <c:idx val="2"/>
          <c:order val="2"/>
          <c:tx>
            <c:strRef>
              <c:f>'Pivot Day Use'!$D$3:$D$4</c:f>
              <c:strCache>
                <c:ptCount val="1"/>
                <c:pt idx="0">
                  <c:v>Critical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'Pivot Day Use'!$A$5:$A$11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'Pivot Day Use'!$D$5:$D$11</c:f>
              <c:numCache>
                <c:formatCode>_(* #,##0_);_(* \(#,##0\);_(* "-"??_);_(@_)</c:formatCode>
                <c:ptCount val="6"/>
                <c:pt idx="0">
                  <c:v>6177</c:v>
                </c:pt>
                <c:pt idx="1">
                  <c:v>6625.7142857142853</c:v>
                </c:pt>
                <c:pt idx="2">
                  <c:v>6155.2857142857147</c:v>
                </c:pt>
                <c:pt idx="3">
                  <c:v>7369.3571428571431</c:v>
                </c:pt>
                <c:pt idx="4">
                  <c:v>7941.9285714285716</c:v>
                </c:pt>
                <c:pt idx="5">
                  <c:v>11865.857142857143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24-4B29-99E1-D1F98CF30E78}"/>
            </c:ext>
          </c:extLst>
        </c:ser>
        <c:ser>
          <c:idx val="3"/>
          <c:order val="3"/>
          <c:tx>
            <c:strRef>
              <c:f>'Pivot Day Use'!$E$3:$E$4</c:f>
              <c:strCache>
                <c:ptCount val="1"/>
                <c:pt idx="0">
                  <c:v>Dry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'Pivot Day Use'!$A$5:$A$11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'Pivot Day Use'!$E$5:$E$11</c:f>
              <c:numCache>
                <c:formatCode>_(* #,##0_);_(* \(#,##0\);_(* "-"??_);_(@_)</c:formatCode>
                <c:ptCount val="6"/>
                <c:pt idx="0">
                  <c:v>5814.4285714285716</c:v>
                </c:pt>
                <c:pt idx="1">
                  <c:v>12305.142857142857</c:v>
                </c:pt>
                <c:pt idx="2">
                  <c:v>8182.7142857142853</c:v>
                </c:pt>
                <c:pt idx="3">
                  <c:v>7899.1428571428569</c:v>
                </c:pt>
                <c:pt idx="4">
                  <c:v>8518.1428571428569</c:v>
                </c:pt>
                <c:pt idx="5">
                  <c:v>7816.8571428571431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24-4B29-99E1-D1F98CF30E78}"/>
            </c:ext>
          </c:extLst>
        </c:ser>
        <c:ser>
          <c:idx val="4"/>
          <c:order val="4"/>
          <c:tx>
            <c:strRef>
              <c:f>'Pivot Day Use'!$F$3:$F$4</c:f>
              <c:strCache>
                <c:ptCount val="1"/>
                <c:pt idx="0">
                  <c:v>Wet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'Pivot Day Use'!$A$5:$A$11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'Pivot Day Use'!$F$5:$F$11</c:f>
              <c:numCache>
                <c:formatCode>_(* #,##0_);_(* \(#,##0\);_(* "-"??_);_(@_)</c:formatCode>
                <c:ptCount val="6"/>
                <c:pt idx="0">
                  <c:v>5034.6571428571433</c:v>
                </c:pt>
                <c:pt idx="1">
                  <c:v>7535.3428571428567</c:v>
                </c:pt>
                <c:pt idx="2">
                  <c:v>6842.471428571429</c:v>
                </c:pt>
                <c:pt idx="3">
                  <c:v>6989.2857142857147</c:v>
                </c:pt>
                <c:pt idx="4">
                  <c:v>6599.8441558441555</c:v>
                </c:pt>
                <c:pt idx="5">
                  <c:v>8818.7714285714283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024-4B29-99E1-D1F98CF30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1066079"/>
        <c:axId val="391059359"/>
      </c:lineChart>
      <c:catAx>
        <c:axId val="39106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059359"/>
        <c:crosses val="autoZero"/>
        <c:auto val="1"/>
        <c:lblAlgn val="ctr"/>
        <c:lblOffset val="100"/>
        <c:noMultiLvlLbl val="0"/>
      </c:catAx>
      <c:valAx>
        <c:axId val="39105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066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2">
                    <a:lumMod val="25000"/>
                  </a:schemeClr>
                </a:solidFill>
              </a:rPr>
              <a:t>a) Boaters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'Scribble Sheet'!$E$6</c:f>
              <c:strCache>
                <c:ptCount val="1"/>
                <c:pt idx="0">
                  <c:v>Critical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'Scribble Sheet'!$B$7:$B$13</c15:sqref>
                  </c15:fullRef>
                </c:ext>
              </c:extLst>
              <c:f>'Scribble Sheet'!$B$7:$B$12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'Scribble Sheet'!$E$7:$E$13</c15:sqref>
                  </c15:fullRef>
                </c:ext>
              </c:extLst>
              <c:f>'Scribble Sheet'!$E$7:$E$12</c:f>
              <c:numCache>
                <c:formatCode>General</c:formatCode>
                <c:ptCount val="6"/>
                <c:pt idx="0">
                  <c:v>102.5</c:v>
                </c:pt>
                <c:pt idx="1">
                  <c:v>86.785714285714292</c:v>
                </c:pt>
                <c:pt idx="2">
                  <c:v>62.285714285714285</c:v>
                </c:pt>
                <c:pt idx="3">
                  <c:v>82.357142857142861</c:v>
                </c:pt>
                <c:pt idx="4">
                  <c:v>92.428571428571431</c:v>
                </c:pt>
                <c:pt idx="5">
                  <c:v>54.357142857142854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B2-4A08-B17A-A97F4D177EB7}"/>
            </c:ext>
          </c:extLst>
        </c:ser>
        <c:ser>
          <c:idx val="3"/>
          <c:order val="1"/>
          <c:tx>
            <c:strRef>
              <c:f>'Scribble Sheet'!$F$6</c:f>
              <c:strCache>
                <c:ptCount val="1"/>
                <c:pt idx="0">
                  <c:v>Dry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'Scribble Sheet'!$B$7:$B$13</c15:sqref>
                  </c15:fullRef>
                </c:ext>
              </c:extLst>
              <c:f>'Scribble Sheet'!$B$7:$B$12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'Scribble Sheet'!$F$7:$F$13</c15:sqref>
                  </c15:fullRef>
                </c:ext>
              </c:extLst>
              <c:f>'Scribble Sheet'!$F$7:$F$12</c:f>
              <c:numCache>
                <c:formatCode>General</c:formatCode>
                <c:ptCount val="6"/>
                <c:pt idx="0">
                  <c:v>98.857142857142861</c:v>
                </c:pt>
                <c:pt idx="1">
                  <c:v>58.714285714285715</c:v>
                </c:pt>
                <c:pt idx="2">
                  <c:v>59.285714285714285</c:v>
                </c:pt>
                <c:pt idx="3">
                  <c:v>70.142857142857139</c:v>
                </c:pt>
                <c:pt idx="4">
                  <c:v>89.857142857142861</c:v>
                </c:pt>
                <c:pt idx="5">
                  <c:v>89.285714285714292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B2-4A08-B17A-A97F4D177EB7}"/>
            </c:ext>
          </c:extLst>
        </c:ser>
        <c:ser>
          <c:idx val="1"/>
          <c:order val="2"/>
          <c:tx>
            <c:strRef>
              <c:f>'Scribble Sheet'!$D$6</c:f>
              <c:strCache>
                <c:ptCount val="1"/>
                <c:pt idx="0">
                  <c:v>Below Normal</c:v>
                </c:pt>
              </c:strCache>
            </c:strRef>
          </c:tx>
          <c:spPr>
            <a:ln w="28575" cap="rnd">
              <a:solidFill>
                <a:srgbClr val="FF9999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'Scribble Sheet'!$B$7:$B$13</c15:sqref>
                  </c15:fullRef>
                </c:ext>
              </c:extLst>
              <c:f>'Scribble Sheet'!$B$7:$B$12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'Scribble Sheet'!$D$7:$D$13</c15:sqref>
                  </c15:fullRef>
                </c:ext>
              </c:extLst>
              <c:f>'Scribble Sheet'!$D$7:$D$12</c:f>
              <c:numCache>
                <c:formatCode>General</c:formatCode>
                <c:ptCount val="6"/>
                <c:pt idx="0">
                  <c:v>283</c:v>
                </c:pt>
                <c:pt idx="1">
                  <c:v>318.42857142857144</c:v>
                </c:pt>
                <c:pt idx="2">
                  <c:v>325.66666666666669</c:v>
                </c:pt>
                <c:pt idx="3">
                  <c:v>263.46428571428572</c:v>
                </c:pt>
                <c:pt idx="4">
                  <c:v>317.46428571428572</c:v>
                </c:pt>
                <c:pt idx="5">
                  <c:v>382.14285714285717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B2-4A08-B17A-A97F4D177EB7}"/>
            </c:ext>
          </c:extLst>
        </c:ser>
        <c:ser>
          <c:idx val="0"/>
          <c:order val="3"/>
          <c:tx>
            <c:strRef>
              <c:f>'Scribble Sheet'!$C$6</c:f>
              <c:strCache>
                <c:ptCount val="1"/>
                <c:pt idx="0">
                  <c:v>Above Normal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'Scribble Sheet'!$B$7:$B$13</c15:sqref>
                  </c15:fullRef>
                </c:ext>
              </c:extLst>
              <c:f>'Scribble Sheet'!$B$7:$B$12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'Scribble Sheet'!$C$7:$C$13</c15:sqref>
                  </c15:fullRef>
                </c:ext>
              </c:extLst>
              <c:f>'Scribble Sheet'!$C$7:$C$12</c:f>
              <c:numCache>
                <c:formatCode>General</c:formatCode>
                <c:ptCount val="6"/>
                <c:pt idx="0">
                  <c:v>456.95238095238096</c:v>
                </c:pt>
                <c:pt idx="1">
                  <c:v>537.90476190476193</c:v>
                </c:pt>
                <c:pt idx="2">
                  <c:v>457.85714285714283</c:v>
                </c:pt>
                <c:pt idx="3">
                  <c:v>517.66666666666663</c:v>
                </c:pt>
                <c:pt idx="4">
                  <c:v>539.28571428571433</c:v>
                </c:pt>
                <c:pt idx="5">
                  <c:v>543.57142857142856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B2-4A08-B17A-A97F4D177EB7}"/>
            </c:ext>
          </c:extLst>
        </c:ser>
        <c:ser>
          <c:idx val="4"/>
          <c:order val="4"/>
          <c:tx>
            <c:strRef>
              <c:f>'Scribble Sheet'!$G$6</c:f>
              <c:strCache>
                <c:ptCount val="1"/>
                <c:pt idx="0">
                  <c:v>Wet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'Scribble Sheet'!$B$7:$B$13</c15:sqref>
                  </c15:fullRef>
                </c:ext>
              </c:extLst>
              <c:f>'Scribble Sheet'!$B$7:$B$12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'Scribble Sheet'!$G$7:$G$13</c15:sqref>
                  </c15:fullRef>
                </c:ext>
              </c:extLst>
              <c:f>'Scribble Sheet'!$G$7:$G$12</c:f>
              <c:numCache>
                <c:formatCode>General</c:formatCode>
                <c:ptCount val="6"/>
                <c:pt idx="0">
                  <c:v>223.92857142857142</c:v>
                </c:pt>
                <c:pt idx="1">
                  <c:v>297.77142857142854</c:v>
                </c:pt>
                <c:pt idx="2">
                  <c:v>284.71428571428572</c:v>
                </c:pt>
                <c:pt idx="3">
                  <c:v>333.15584415584414</c:v>
                </c:pt>
                <c:pt idx="4">
                  <c:v>289.84415584415586</c:v>
                </c:pt>
                <c:pt idx="5">
                  <c:v>230.11428571428573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BB2-4A08-B17A-A97F4D177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5213647"/>
        <c:axId val="1925213167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'Scribble Sheet'!$H$6</c15:sqref>
                        </c15:formulaRef>
                      </c:ext>
                    </c:extLst>
                    <c:strCache>
                      <c:ptCount val="1"/>
                      <c:pt idx="0">
                        <c:v>Grand Total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'Scribble Sheet'!$B$7:$B$13</c15:sqref>
                        </c15:fullRef>
                        <c15:formulaRef>
                          <c15:sqref>'Scribble Sheet'!$B$7:$B$12</c15:sqref>
                        </c15:formulaRef>
                      </c:ext>
                    </c:extLst>
                    <c:strCache>
                      <c:ptCount val="6"/>
                      <c:pt idx="0">
                        <c:v>Apr</c:v>
                      </c:pt>
                      <c:pt idx="1">
                        <c:v>May</c:v>
                      </c:pt>
                      <c:pt idx="2">
                        <c:v>Jun</c:v>
                      </c:pt>
                      <c:pt idx="3">
                        <c:v>Jul</c:v>
                      </c:pt>
                      <c:pt idx="4">
                        <c:v>Aug</c:v>
                      </c:pt>
                      <c:pt idx="5">
                        <c:v>Sep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'Scribble Sheet'!$H$7:$H$13</c15:sqref>
                        </c15:fullRef>
                        <c15:formulaRef>
                          <c15:sqref>'Scribble Sheet'!$H$7:$H$12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250.68421052631578</c:v>
                      </c:pt>
                      <c:pt idx="1">
                        <c:v>304.15789473684208</c:v>
                      </c:pt>
                      <c:pt idx="2">
                        <c:v>283.24060150375942</c:v>
                      </c:pt>
                      <c:pt idx="3">
                        <c:v>309.8299319727891</c:v>
                      </c:pt>
                      <c:pt idx="4">
                        <c:v>302.41496598639458</c:v>
                      </c:pt>
                      <c:pt idx="5">
                        <c:v>282.92142857142858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CBB2-4A08-B17A-A97F4D177EB7}"/>
                  </c:ext>
                </c:extLst>
              </c15:ser>
            </c15:filteredLineSeries>
          </c:ext>
        </c:extLst>
      </c:lineChart>
      <c:catAx>
        <c:axId val="1925213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213167"/>
        <c:crosses val="autoZero"/>
        <c:auto val="1"/>
        <c:lblAlgn val="ctr"/>
        <c:lblOffset val="100"/>
        <c:noMultiLvlLbl val="0"/>
      </c:catAx>
      <c:valAx>
        <c:axId val="192521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2">
                        <a:lumMod val="25000"/>
                      </a:schemeClr>
                    </a:solidFill>
                  </a:rPr>
                  <a:t>Boaters per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213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b)</a:t>
            </a:r>
            <a:r>
              <a:rPr lang="en-US" b="1" baseline="0"/>
              <a:t> Day 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'Scribble Sheet'!$E$35</c:f>
              <c:strCache>
                <c:ptCount val="1"/>
                <c:pt idx="0">
                  <c:v>Critical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'Scribble Sheet'!$B$36:$B$42</c15:sqref>
                  </c15:fullRef>
                </c:ext>
              </c:extLst>
              <c:f>'Scribble Sheet'!$B$36:$B$41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'Scribble Sheet'!$E$36:$E$42</c15:sqref>
                  </c15:fullRef>
                </c:ext>
              </c:extLst>
              <c:f>'Scribble Sheet'!$E$36:$E$41</c:f>
              <c:numCache>
                <c:formatCode>General</c:formatCode>
                <c:ptCount val="6"/>
                <c:pt idx="0">
                  <c:v>6177</c:v>
                </c:pt>
                <c:pt idx="1">
                  <c:v>6625.7142857142853</c:v>
                </c:pt>
                <c:pt idx="2">
                  <c:v>6155.2857142857147</c:v>
                </c:pt>
                <c:pt idx="3">
                  <c:v>7369.3571428571431</c:v>
                </c:pt>
                <c:pt idx="4">
                  <c:v>7941.9285714285716</c:v>
                </c:pt>
                <c:pt idx="5">
                  <c:v>11865.857142857143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83-46C1-BBD4-1C8D90A368AA}"/>
            </c:ext>
          </c:extLst>
        </c:ser>
        <c:ser>
          <c:idx val="3"/>
          <c:order val="1"/>
          <c:tx>
            <c:strRef>
              <c:f>'Scribble Sheet'!$F$35</c:f>
              <c:strCache>
                <c:ptCount val="1"/>
                <c:pt idx="0">
                  <c:v>Dry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'Scribble Sheet'!$B$36:$B$42</c15:sqref>
                  </c15:fullRef>
                </c:ext>
              </c:extLst>
              <c:f>'Scribble Sheet'!$B$36:$B$41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'Scribble Sheet'!$F$36:$F$42</c15:sqref>
                  </c15:fullRef>
                </c:ext>
              </c:extLst>
              <c:f>'Scribble Sheet'!$F$36:$F$41</c:f>
              <c:numCache>
                <c:formatCode>General</c:formatCode>
                <c:ptCount val="6"/>
                <c:pt idx="0">
                  <c:v>5814.4285714285716</c:v>
                </c:pt>
                <c:pt idx="1">
                  <c:v>12305.142857142857</c:v>
                </c:pt>
                <c:pt idx="2">
                  <c:v>8182.7142857142853</c:v>
                </c:pt>
                <c:pt idx="3">
                  <c:v>7899.1428571428569</c:v>
                </c:pt>
                <c:pt idx="4">
                  <c:v>8518.1428571428569</c:v>
                </c:pt>
                <c:pt idx="5">
                  <c:v>7816.8571428571431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83-46C1-BBD4-1C8D90A368AA}"/>
            </c:ext>
          </c:extLst>
        </c:ser>
        <c:ser>
          <c:idx val="1"/>
          <c:order val="2"/>
          <c:tx>
            <c:strRef>
              <c:f>'Scribble Sheet'!$D$35</c:f>
              <c:strCache>
                <c:ptCount val="1"/>
                <c:pt idx="0">
                  <c:v>Below Normal</c:v>
                </c:pt>
              </c:strCache>
            </c:strRef>
          </c:tx>
          <c:spPr>
            <a:ln w="28575" cap="rnd">
              <a:solidFill>
                <a:srgbClr val="FF9999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'Scribble Sheet'!$B$36:$B$42</c15:sqref>
                  </c15:fullRef>
                </c:ext>
              </c:extLst>
              <c:f>'Scribble Sheet'!$B$36:$B$41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'Scribble Sheet'!$D$36:$D$42</c15:sqref>
                  </c15:fullRef>
                </c:ext>
              </c:extLst>
              <c:f>'Scribble Sheet'!$D$36:$D$41</c:f>
              <c:numCache>
                <c:formatCode>General</c:formatCode>
                <c:ptCount val="6"/>
                <c:pt idx="0">
                  <c:v>6838.8571428571431</c:v>
                </c:pt>
                <c:pt idx="1">
                  <c:v>7758.9523809523807</c:v>
                </c:pt>
                <c:pt idx="2">
                  <c:v>7505.7619047619046</c:v>
                </c:pt>
                <c:pt idx="3">
                  <c:v>7771.3214285714284</c:v>
                </c:pt>
                <c:pt idx="4">
                  <c:v>8466.7142857142862</c:v>
                </c:pt>
                <c:pt idx="5">
                  <c:v>7773.3928571428569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83-46C1-BBD4-1C8D90A368AA}"/>
            </c:ext>
          </c:extLst>
        </c:ser>
        <c:ser>
          <c:idx val="0"/>
          <c:order val="3"/>
          <c:tx>
            <c:strRef>
              <c:f>'Scribble Sheet'!$C$35</c:f>
              <c:strCache>
                <c:ptCount val="1"/>
                <c:pt idx="0">
                  <c:v>Above Normal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'Scribble Sheet'!$B$36:$B$42</c15:sqref>
                  </c15:fullRef>
                </c:ext>
              </c:extLst>
              <c:f>'Scribble Sheet'!$B$36:$B$41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'Scribble Sheet'!$C$36:$C$42</c15:sqref>
                  </c15:fullRef>
                </c:ext>
              </c:extLst>
              <c:f>'Scribble Sheet'!$C$36:$C$41</c:f>
              <c:numCache>
                <c:formatCode>General</c:formatCode>
                <c:ptCount val="6"/>
                <c:pt idx="0">
                  <c:v>7094.666666666667</c:v>
                </c:pt>
                <c:pt idx="1">
                  <c:v>7945.4285714285716</c:v>
                </c:pt>
                <c:pt idx="2">
                  <c:v>8068</c:v>
                </c:pt>
                <c:pt idx="3">
                  <c:v>8497.3809523809523</c:v>
                </c:pt>
                <c:pt idx="4">
                  <c:v>8393.1904761904771</c:v>
                </c:pt>
                <c:pt idx="5">
                  <c:v>10276.142857142857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83-46C1-BBD4-1C8D90A368AA}"/>
            </c:ext>
          </c:extLst>
        </c:ser>
        <c:ser>
          <c:idx val="4"/>
          <c:order val="4"/>
          <c:tx>
            <c:strRef>
              <c:f>'Scribble Sheet'!$G$35</c:f>
              <c:strCache>
                <c:ptCount val="1"/>
                <c:pt idx="0">
                  <c:v>Wet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'Scribble Sheet'!$B$36:$B$42</c15:sqref>
                  </c15:fullRef>
                </c:ext>
              </c:extLst>
              <c:f>'Scribble Sheet'!$B$36:$B$41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'Scribble Sheet'!$G$36:$G$42</c15:sqref>
                  </c15:fullRef>
                </c:ext>
              </c:extLst>
              <c:f>'Scribble Sheet'!$G$36:$G$41</c:f>
              <c:numCache>
                <c:formatCode>General</c:formatCode>
                <c:ptCount val="6"/>
                <c:pt idx="0">
                  <c:v>5034.6571428571433</c:v>
                </c:pt>
                <c:pt idx="1">
                  <c:v>7535.3428571428567</c:v>
                </c:pt>
                <c:pt idx="2">
                  <c:v>6842.471428571429</c:v>
                </c:pt>
                <c:pt idx="3">
                  <c:v>6989.2857142857147</c:v>
                </c:pt>
                <c:pt idx="4">
                  <c:v>6599.8441558441555</c:v>
                </c:pt>
                <c:pt idx="5">
                  <c:v>8818.7714285714283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983-46C1-BBD4-1C8D90A36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4113519"/>
        <c:axId val="1864114959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'Scribble Sheet'!$H$35</c15:sqref>
                        </c15:formulaRef>
                      </c:ext>
                    </c:extLst>
                    <c:strCache>
                      <c:ptCount val="1"/>
                      <c:pt idx="0">
                        <c:v>Grand Total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'Scribble Sheet'!$B$36:$B$42</c15:sqref>
                        </c15:fullRef>
                        <c15:formulaRef>
                          <c15:sqref>'Scribble Sheet'!$B$36:$B$41</c15:sqref>
                        </c15:formulaRef>
                      </c:ext>
                    </c:extLst>
                    <c:strCache>
                      <c:ptCount val="6"/>
                      <c:pt idx="0">
                        <c:v>Apr</c:v>
                      </c:pt>
                      <c:pt idx="1">
                        <c:v>May</c:v>
                      </c:pt>
                      <c:pt idx="2">
                        <c:v>Jun</c:v>
                      </c:pt>
                      <c:pt idx="3">
                        <c:v>Jul</c:v>
                      </c:pt>
                      <c:pt idx="4">
                        <c:v>Aug</c:v>
                      </c:pt>
                      <c:pt idx="5">
                        <c:v>Sep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'Scribble Sheet'!$H$36:$H$42</c15:sqref>
                        </c15:fullRef>
                        <c15:formulaRef>
                          <c15:sqref>'Scribble Sheet'!$H$36:$H$41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5806.082706766917</c:v>
                      </c:pt>
                      <c:pt idx="1">
                        <c:v>7790.6917293233082</c:v>
                      </c:pt>
                      <c:pt idx="2">
                        <c:v>7138.9097744360906</c:v>
                      </c:pt>
                      <c:pt idx="3">
                        <c:v>7433.2108843537417</c:v>
                      </c:pt>
                      <c:pt idx="4">
                        <c:v>7430.7959183673465</c:v>
                      </c:pt>
                      <c:pt idx="5">
                        <c:v>9082.9142857142851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8983-46C1-BBD4-1C8D90A368AA}"/>
                  </c:ext>
                </c:extLst>
              </c15:ser>
            </c15:filteredLineSeries>
          </c:ext>
        </c:extLst>
      </c:lineChart>
      <c:catAx>
        <c:axId val="186411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114959"/>
        <c:crosses val="autoZero"/>
        <c:auto val="1"/>
        <c:lblAlgn val="ctr"/>
        <c:lblOffset val="100"/>
        <c:noMultiLvlLbl val="0"/>
      </c:catAx>
      <c:valAx>
        <c:axId val="186411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2">
                        <a:lumMod val="25000"/>
                      </a:schemeClr>
                    </a:solidFill>
                  </a:rPr>
                  <a:t>Users</a:t>
                </a:r>
                <a:r>
                  <a:rPr lang="en-US" baseline="0">
                    <a:solidFill>
                      <a:schemeClr val="bg2">
                        <a:lumMod val="25000"/>
                      </a:schemeClr>
                    </a:solidFill>
                  </a:rPr>
                  <a:t> per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113519"/>
        <c:crosses val="autoZero"/>
        <c:crossBetween val="between"/>
        <c:majorUnit val="2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911679</xdr:colOff>
      <xdr:row>21</xdr:row>
      <xdr:rowOff>17608</xdr:rowOff>
    </xdr:from>
    <xdr:to>
      <xdr:col>29</xdr:col>
      <xdr:colOff>285750</xdr:colOff>
      <xdr:row>40</xdr:row>
      <xdr:rowOff>43996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42425C-971A-F1ED-1A47-380273B2F3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221796</xdr:colOff>
      <xdr:row>21</xdr:row>
      <xdr:rowOff>34886</xdr:rowOff>
    </xdr:from>
    <xdr:to>
      <xdr:col>36</xdr:col>
      <xdr:colOff>938893</xdr:colOff>
      <xdr:row>41</xdr:row>
      <xdr:rowOff>136197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D01F4C-4C77-4554-0615-3B79A75581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0</xdr:colOff>
      <xdr:row>21</xdr:row>
      <xdr:rowOff>0</xdr:rowOff>
    </xdr:from>
    <xdr:to>
      <xdr:col>44</xdr:col>
      <xdr:colOff>632280</xdr:colOff>
      <xdr:row>41</xdr:row>
      <xdr:rowOff>104486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D96DCA-C7A4-4DEE-96EB-5531AB0DD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0</xdr:colOff>
      <xdr:row>21</xdr:row>
      <xdr:rowOff>1</xdr:rowOff>
    </xdr:from>
    <xdr:to>
      <xdr:col>53</xdr:col>
      <xdr:colOff>958851</xdr:colOff>
      <xdr:row>40</xdr:row>
      <xdr:rowOff>136072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FCAF5AB-050C-4CDB-85C5-DEBC30FB33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55</xdr:col>
      <xdr:colOff>0</xdr:colOff>
      <xdr:row>21</xdr:row>
      <xdr:rowOff>0</xdr:rowOff>
    </xdr:from>
    <xdr:to>
      <xdr:col>60</xdr:col>
      <xdr:colOff>798740</xdr:colOff>
      <xdr:row>40</xdr:row>
      <xdr:rowOff>136071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8535859-F258-44ED-A080-AFD7550DBA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63</xdr:col>
      <xdr:colOff>0</xdr:colOff>
      <xdr:row>21</xdr:row>
      <xdr:rowOff>0</xdr:rowOff>
    </xdr:from>
    <xdr:to>
      <xdr:col>69</xdr:col>
      <xdr:colOff>689883</xdr:colOff>
      <xdr:row>40</xdr:row>
      <xdr:rowOff>136071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141FAA2-088A-4BD7-BB6A-999D7253C4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71</xdr:col>
      <xdr:colOff>0</xdr:colOff>
      <xdr:row>21</xdr:row>
      <xdr:rowOff>0</xdr:rowOff>
    </xdr:from>
    <xdr:to>
      <xdr:col>77</xdr:col>
      <xdr:colOff>325665</xdr:colOff>
      <xdr:row>40</xdr:row>
      <xdr:rowOff>136071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5D0FA21-E34C-4B76-AB46-43BB640736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79</xdr:col>
      <xdr:colOff>0</xdr:colOff>
      <xdr:row>21</xdr:row>
      <xdr:rowOff>0</xdr:rowOff>
    </xdr:from>
    <xdr:to>
      <xdr:col>85</xdr:col>
      <xdr:colOff>720272</xdr:colOff>
      <xdr:row>40</xdr:row>
      <xdr:rowOff>136071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096D254-16E1-4655-AD11-D58341F3F2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27</xdr:row>
      <xdr:rowOff>82952</xdr:rowOff>
    </xdr:from>
    <xdr:to>
      <xdr:col>22</xdr:col>
      <xdr:colOff>10420</xdr:colOff>
      <xdr:row>42</xdr:row>
      <xdr:rowOff>45719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88AF4B-685E-9761-F164-5BEA7735FE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316139</xdr:colOff>
      <xdr:row>26</xdr:row>
      <xdr:rowOff>107948</xdr:rowOff>
    </xdr:from>
    <xdr:to>
      <xdr:col>30</xdr:col>
      <xdr:colOff>488084</xdr:colOff>
      <xdr:row>43</xdr:row>
      <xdr:rowOff>155862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F05BA1-3E8E-3065-30A1-ADE2D6C3AA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299358</xdr:colOff>
      <xdr:row>26</xdr:row>
      <xdr:rowOff>136071</xdr:rowOff>
    </xdr:from>
    <xdr:to>
      <xdr:col>46</xdr:col>
      <xdr:colOff>813254</xdr:colOff>
      <xdr:row>44</xdr:row>
      <xdr:rowOff>13442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C22BF1-05EB-4471-9B6E-96EB47727B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0</xdr:colOff>
      <xdr:row>27</xdr:row>
      <xdr:rowOff>0</xdr:rowOff>
    </xdr:from>
    <xdr:to>
      <xdr:col>38</xdr:col>
      <xdr:colOff>418646</xdr:colOff>
      <xdr:row>44</xdr:row>
      <xdr:rowOff>51088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E135C61-686E-4776-AEC2-61F7139E9B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47</xdr:col>
      <xdr:colOff>231320</xdr:colOff>
      <xdr:row>26</xdr:row>
      <xdr:rowOff>105681</xdr:rowOff>
    </xdr:from>
    <xdr:to>
      <xdr:col>54</xdr:col>
      <xdr:colOff>898070</xdr:colOff>
      <xdr:row>43</xdr:row>
      <xdr:rowOff>150419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8390795-A4BD-48ED-8AB5-F75E7268E2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56</xdr:col>
      <xdr:colOff>0</xdr:colOff>
      <xdr:row>26</xdr:row>
      <xdr:rowOff>0</xdr:rowOff>
    </xdr:from>
    <xdr:to>
      <xdr:col>62</xdr:col>
      <xdr:colOff>881290</xdr:colOff>
      <xdr:row>43</xdr:row>
      <xdr:rowOff>47914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A441FB6-C9B9-488C-82B4-190936442E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1238249</xdr:colOff>
      <xdr:row>6</xdr:row>
      <xdr:rowOff>76200</xdr:rowOff>
    </xdr:from>
    <xdr:to>
      <xdr:col>13</xdr:col>
      <xdr:colOff>333374</xdr:colOff>
      <xdr:row>31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341F9C-B0E7-CB8C-4083-A5C852DF0C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590550</xdr:colOff>
      <xdr:row>2</xdr:row>
      <xdr:rowOff>76200</xdr:rowOff>
    </xdr:from>
    <xdr:to>
      <xdr:col>21</xdr:col>
      <xdr:colOff>571500</xdr:colOff>
      <xdr:row>31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148AE4-E669-C2D7-BC3B-3BCEDE6327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42861</xdr:colOff>
      <xdr:row>3</xdr:row>
      <xdr:rowOff>52387</xdr:rowOff>
    </xdr:from>
    <xdr:to>
      <xdr:col>19</xdr:col>
      <xdr:colOff>47624</xdr:colOff>
      <xdr:row>24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9B9112-2681-ECE6-F759-266F402C7B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566736</xdr:colOff>
      <xdr:row>28</xdr:row>
      <xdr:rowOff>128586</xdr:rowOff>
    </xdr:from>
    <xdr:to>
      <xdr:col>18</xdr:col>
      <xdr:colOff>590549</xdr:colOff>
      <xdr:row>49</xdr:row>
      <xdr:rowOff>95249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3C21D5-989D-C710-B088-80D3A59E8F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SMOCRATOR" refreshedDate="46163.633370138887" createdVersion="8" refreshedVersion="8" minRefreshableVersion="3" recordCount="1652" xr:uid="{CC0260EC-686C-401A-909F-151E6E4F4E1E}">
  <cacheSource type="worksheet">
    <worksheetSource ref="A1:V1653" sheet="DAY USE"/>
  </cacheSource>
  <cacheFields count="25">
    <cacheField name="Park Name" numFmtId="0">
      <sharedItems count="7">
        <s v="Brannan Island SRA"/>
        <s v="Franks Tract SRA"/>
        <s v="Delta Meadows"/>
        <s v="Bethany Reservoir SRA"/>
        <s v="Caswell Memorial SP"/>
        <s v="Benicia SRA"/>
        <s v="Old Sacramento SHP"/>
      </sharedItems>
    </cacheField>
    <cacheField name="Closed" numFmtId="0">
      <sharedItems/>
    </cacheField>
    <cacheField name="Inactive" numFmtId="0">
      <sharedItems/>
    </cacheField>
    <cacheField name="PDUVeh" numFmtId="164">
      <sharedItems containsSemiMixedTypes="0" containsString="0" containsNumber="1" containsInteger="1" minValue="0" maxValue="11457"/>
    </cacheField>
    <cacheField name="PDUNonVeh" numFmtId="164">
      <sharedItems containsSemiMixedTypes="0" containsString="0" containsNumber="1" containsInteger="1" minValue="0" maxValue="38489"/>
    </cacheField>
    <cacheField name="PDU_group" numFmtId="164">
      <sharedItems containsSemiMixedTypes="0" containsString="0" containsNumber="1" containsInteger="1" minValue="0" maxValue="14306"/>
    </cacheField>
    <cacheField name="FDUVeh" numFmtId="164">
      <sharedItems containsString="0" containsBlank="1" containsNumber="1" containsInteger="1" minValue="0" maxValue="23000"/>
    </cacheField>
    <cacheField name="FDUNonVeh" numFmtId="164">
      <sharedItems containsSemiMixedTypes="0" containsString="0" containsNumber="1" containsInteger="1" minValue="0" maxValue="349180"/>
    </cacheField>
    <cacheField name="FDU_group" numFmtId="164">
      <sharedItems containsSemiMixedTypes="0" containsString="0" containsNumber="1" containsInteger="1" minValue="0" maxValue="27895"/>
    </cacheField>
    <cacheField name="DU_Total " numFmtId="164">
      <sharedItems containsSemiMixedTypes="0" containsString="0" containsNumber="1" containsInteger="1" minValue="0" maxValue="349180"/>
    </cacheField>
    <cacheField name="OCSites" numFmtId="164">
      <sharedItems containsSemiMixedTypes="0" containsString="0" containsNumber="1" containsInteger="1" minValue="0" maxValue="8959" count="472">
        <n v="6047"/>
        <n v="6053"/>
        <n v="5095"/>
        <n v="5014"/>
        <n v="2681"/>
        <n v="499"/>
        <n v="873"/>
        <n v="1480"/>
        <n v="3232"/>
        <n v="4386"/>
        <n v="5055"/>
        <n v="5253"/>
        <n v="6132"/>
        <n v="4827"/>
        <n v="4692"/>
        <n v="2610"/>
        <n v="613"/>
        <n v="896"/>
        <n v="753"/>
        <n v="1965"/>
        <n v="2937"/>
        <n v="4301"/>
        <n v="4844"/>
        <n v="5505"/>
        <n v="5905"/>
        <n v="3787"/>
        <n v="3484"/>
        <n v="1694"/>
        <n v="464"/>
        <n v="616"/>
        <n v="677"/>
        <n v="1396"/>
        <n v="3157"/>
        <n v="4424"/>
        <n v="4334"/>
        <n v="5732"/>
        <n v="4922"/>
        <n v="4073"/>
        <n v="0"/>
        <n v="1883"/>
        <n v="566"/>
        <n v="374"/>
        <n v="666"/>
        <n v="1597"/>
        <n v="2140"/>
        <n v="3604"/>
        <n v="5853"/>
        <n v="4463"/>
        <n v="4108"/>
        <n v="2248"/>
        <n v="1104"/>
        <n v="3063"/>
        <n v="4091"/>
        <n v="5404"/>
        <n v="4393"/>
        <n v="3665"/>
        <n v="2412"/>
        <n v="2085"/>
        <n v="2012"/>
        <n v="2632"/>
        <n v="3945"/>
        <n v="5379"/>
        <n v="4794"/>
        <n v="3300"/>
        <n v="2700"/>
        <n v="1435"/>
        <n v="401"/>
        <n v="312"/>
        <n v="531"/>
        <n v="1895"/>
        <n v="1984"/>
        <n v="3635"/>
        <n v="4202"/>
        <n v="5015"/>
        <n v="5205"/>
        <n v="3164"/>
        <n v="3438"/>
        <n v="2060"/>
        <n v="440"/>
        <n v="759"/>
        <n v="362"/>
        <n v="1003"/>
        <n v="3481"/>
        <n v="3579"/>
        <n v="5152"/>
        <n v="5721"/>
        <n v="3124"/>
        <n v="2667"/>
        <n v="1170"/>
        <n v="213"/>
        <n v="169"/>
        <n v="303"/>
        <n v="534"/>
        <n v="1001"/>
        <n v="2494"/>
        <n v="2501"/>
        <n v="5284"/>
        <n v="3498"/>
        <n v="2297"/>
        <n v="1668"/>
        <n v="594"/>
        <n v="174"/>
        <n v="171"/>
        <n v="246"/>
        <n v="224"/>
        <n v="840"/>
        <n v="1738"/>
        <n v="1383"/>
        <n v="3262"/>
        <n v="2041"/>
        <n v="1789"/>
        <n v="988"/>
        <n v="208"/>
        <n v="70"/>
        <n v="140"/>
        <n v="218"/>
        <n v="196"/>
        <n v="493"/>
        <n v="1285"/>
        <n v="1347"/>
        <n v="2503"/>
        <n v="2520"/>
        <n v="1282"/>
        <n v="860"/>
        <n v="249"/>
        <n v="48"/>
        <n v="81"/>
        <n v="342"/>
        <n v="490"/>
        <n v="538"/>
        <n v="641"/>
        <n v="590"/>
        <n v="1439"/>
        <n v="1884"/>
        <n v="649"/>
        <n v="803"/>
        <n v="535"/>
        <n v="143"/>
        <n v="254"/>
        <n v="235"/>
        <n v="636"/>
        <n v="1683"/>
        <n v="2582"/>
        <n v="3903"/>
        <n v="5561"/>
        <n v="6378"/>
        <n v="601"/>
        <n v="1372"/>
        <n v="812"/>
        <n v="269"/>
        <n v="899"/>
        <n v="1064"/>
        <n v="2094"/>
        <n v="2736"/>
        <n v="2979"/>
        <n v="4746"/>
        <n v="3839"/>
        <n v="2369"/>
        <n v="1848"/>
        <n v="1022"/>
        <n v="708"/>
        <n v="706"/>
        <n v="907"/>
        <n v="2290"/>
        <n v="2587"/>
        <n v="3410"/>
        <n v="4964"/>
        <n v="3562"/>
        <n v="3158"/>
        <n v="2145"/>
        <n v="1632"/>
        <n v="426"/>
        <n v="414"/>
        <n v="588"/>
        <n v="3310"/>
        <n v="3618"/>
        <n v="4945"/>
        <n v="3576"/>
        <n v="2344"/>
        <n v="1876"/>
        <n v="1036"/>
        <n v="366"/>
        <n v="652"/>
        <n v="750"/>
        <n v="846"/>
        <n v="1246"/>
        <n v="2262"/>
        <n v="2652"/>
        <n v="2368"/>
        <n v="2873"/>
        <n v="1570"/>
        <n v="1245"/>
        <n v="910"/>
        <n v="471"/>
        <n v="197"/>
        <n v="202"/>
        <n v="690"/>
        <n v="715"/>
        <n v="948"/>
        <n v="1775"/>
        <n v="950"/>
        <n v="1546"/>
        <n v="1159"/>
        <n v="660"/>
        <n v="405"/>
        <n v="327"/>
        <n v="325"/>
        <n v="286"/>
        <n v="339"/>
        <n v="526"/>
        <n v="78"/>
        <n v="194"/>
        <n v="126"/>
        <n v="73"/>
        <n v="55"/>
        <n v="185"/>
        <n v="96"/>
        <n v="423"/>
        <n v="219"/>
        <n v="181"/>
        <n v="228"/>
        <n v="12"/>
        <n v="161"/>
        <n v="305"/>
        <n v="210"/>
        <n v="266"/>
        <n v="258"/>
        <n v="429"/>
        <n v="310"/>
        <n v="134"/>
        <n v="204"/>
        <n v="252"/>
        <n v="311"/>
        <n v="491"/>
        <n v="388"/>
        <n v="248"/>
        <n v="435"/>
        <n v="336"/>
        <n v="400"/>
        <n v="506"/>
        <n v="298"/>
        <n v="524"/>
        <n v="308"/>
        <n v="297"/>
        <n v="238"/>
        <n v="277"/>
        <n v="468"/>
        <n v="370"/>
        <n v="384"/>
        <n v="365"/>
        <n v="267"/>
        <n v="578"/>
        <n v="473"/>
        <n v="552"/>
        <n v="409"/>
        <n v="434"/>
        <n v="378"/>
        <n v="53"/>
        <n v="28"/>
        <n v="39"/>
        <n v="17"/>
        <n v="34"/>
        <n v="32"/>
        <n v="40"/>
        <n v="90"/>
        <n v="3991"/>
        <n v="4444"/>
        <n v="2824"/>
        <n v="999"/>
        <n v="239"/>
        <n v="392"/>
        <n v="383"/>
        <n v="738"/>
        <n v="1364"/>
        <n v="2270"/>
        <n v="3709"/>
        <n v="3824"/>
        <n v="4123"/>
        <n v="2259"/>
        <n v="1391"/>
        <n v="270"/>
        <n v="333"/>
        <n v="338"/>
        <n v="914"/>
        <n v="1148"/>
        <n v="2574"/>
        <n v="3111"/>
        <n v="3740"/>
        <n v="4070"/>
        <n v="1935"/>
        <n v="1571"/>
        <n v="725"/>
        <n v="621"/>
        <n v="702"/>
        <n v="887"/>
        <n v="1575"/>
        <n v="2319"/>
        <n v="2922"/>
        <n v="3758"/>
        <n v="3190"/>
        <n v="1913"/>
        <n v="765"/>
        <n v="536"/>
        <n v="153"/>
        <n v="599"/>
        <n v="576"/>
        <n v="918"/>
        <n v="805"/>
        <n v="924"/>
        <n v="1729"/>
        <n v="2891"/>
        <n v="2037"/>
        <n v="977"/>
        <n v="167"/>
        <n v="180"/>
        <n v="329"/>
        <n v="302"/>
        <n v="651"/>
        <n v="510"/>
        <n v="2301"/>
        <n v="3467"/>
        <n v="3216"/>
        <n v="2399"/>
        <n v="945"/>
        <n v="567"/>
        <n v="229"/>
        <n v="282"/>
        <n v="686"/>
        <n v="1021"/>
        <n v="1888"/>
        <n v="2548"/>
        <n v="3441"/>
        <n v="1580"/>
        <n v="484"/>
        <n v="761"/>
        <n v="361"/>
        <n v="141"/>
        <n v="783"/>
        <n v="1087"/>
        <n v="2385"/>
        <n v="3208"/>
        <n v="3656"/>
        <n v="3986"/>
        <n v="1927"/>
        <n v="1017"/>
        <n v="459"/>
        <n v="279"/>
        <n v="657"/>
        <n v="941"/>
        <n v="2183"/>
        <n v="3150"/>
        <n v="4230"/>
        <n v="3708"/>
        <n v="1643"/>
        <n v="428"/>
        <n v="117"/>
        <n v="68"/>
        <n v="1368"/>
        <n v="2363"/>
        <n v="3128"/>
        <n v="2142"/>
        <n v="72"/>
        <n v="50"/>
        <n v="149"/>
        <n v="1301"/>
        <n v="2273"/>
        <n v="851"/>
        <n v="2646"/>
        <n v="1854"/>
        <n v="59"/>
        <n v="14"/>
        <n v="18"/>
        <n v="144"/>
        <n v="518"/>
        <n v="1224"/>
        <n v="2781"/>
        <n v="3285"/>
        <n v="2961"/>
        <n v="1422"/>
        <n v="720"/>
        <n v="135"/>
        <n v="41"/>
        <n v="113"/>
        <n v="419"/>
        <n v="2052"/>
        <n v="8959"/>
        <n v="1777"/>
        <n v="1515"/>
        <n v="162"/>
        <n v="275"/>
        <n v="324"/>
        <n v="1521"/>
        <n v="1508"/>
        <n v="247"/>
        <n v="189"/>
        <n v="1602"/>
        <n v="2277"/>
        <n v="3528"/>
        <n v="2912"/>
        <n v="1859"/>
        <n v="612"/>
        <n v="396"/>
        <n v="1377"/>
        <n v="1646"/>
        <n v="2924"/>
        <n v="1466"/>
        <n v="656"/>
        <n v="265"/>
        <n v="49"/>
        <n v="24"/>
        <n v="256"/>
        <n v="681"/>
        <n v="2269"/>
        <n v="1690"/>
        <n v="2969"/>
        <n v="1481"/>
        <n v="54"/>
        <n v="198"/>
        <n v="309"/>
        <n v="348"/>
        <n v="516"/>
        <n v="1128"/>
        <n v="1845"/>
        <n v="2352"/>
        <n v="2247"/>
        <n v="1782"/>
        <n v="852"/>
        <n v="234"/>
        <n v="69"/>
        <n v="300"/>
        <n v="387"/>
        <n v="3408"/>
        <n v="3651"/>
        <n v="3768"/>
        <n v="2751"/>
        <n v="156"/>
        <n v="1192"/>
        <n v="883"/>
        <n v="3"/>
        <n v="57"/>
        <n v="30"/>
        <n v="75"/>
        <n v="36"/>
        <n v="27"/>
        <n v="33"/>
        <n v="21"/>
        <n v="177"/>
        <n v="105"/>
        <n v="114"/>
        <n v="4"/>
        <n v="112"/>
        <n v="71"/>
        <n v="26"/>
        <n v="51"/>
        <n v="87"/>
        <n v="132"/>
        <n v="159"/>
        <n v="74"/>
        <n v="147"/>
        <n v="129"/>
        <n v="184"/>
        <n v="88"/>
        <n v="148"/>
        <n v="200"/>
        <n v="100"/>
        <n v="80"/>
        <n v="64"/>
        <n v="56"/>
        <n v="16"/>
        <n v="120"/>
        <n v="116"/>
        <n v="84"/>
      </sharedItems>
    </cacheField>
    <cacheField name="OCOther" numFmtId="164">
      <sharedItems containsSemiMixedTypes="0" containsString="0" containsNumber="1" containsInteger="1" minValue="0" maxValue="1840"/>
    </cacheField>
    <cacheField name="OC_Group" numFmtId="164">
      <sharedItems containsSemiMixedTypes="0" containsString="0" containsNumber="1" containsInteger="1" minValue="0" maxValue="3008"/>
    </cacheField>
    <cacheField name="OC_Total" numFmtId="0">
      <sharedItems containsString="0" containsBlank="1" containsNumber="1" containsInteger="1" minValue="0" maxValue="9082"/>
    </cacheField>
    <cacheField name="BoatsL" numFmtId="164">
      <sharedItems containsSemiMixedTypes="0" containsString="0" containsNumber="1" containsInteger="1" minValue="0" maxValue="7100"/>
    </cacheField>
    <cacheField name="Non-boaters" numFmtId="164">
      <sharedItems containsString="0" containsBlank="1" containsNumber="1" containsInteger="1" minValue="0" maxValue="349180"/>
    </cacheField>
    <cacheField name="OldPasses" numFmtId="164">
      <sharedItems containsSemiMixedTypes="0" containsString="0" containsNumber="1" containsInteger="1" minValue="0" maxValue="667"/>
    </cacheField>
    <cacheField name="NewPasses" numFmtId="164">
      <sharedItems containsSemiMixedTypes="0" containsString="0" containsNumber="1" containsInteger="1" minValue="0" maxValue="27"/>
    </cacheField>
    <cacheField name="Month/Year" numFmtId="14">
      <sharedItems containsSemiMixedTypes="0" containsNonDate="0" containsDate="1" containsString="0" minDate="2001-07-01T00:00:00" maxDate="2020-12-02T00:00:00" count="234"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</sharedItems>
      <fieldGroup par="24"/>
    </cacheField>
    <cacheField name="Total Visitors" numFmtId="164">
      <sharedItems containsSemiMixedTypes="0" containsString="0" containsNumber="1" containsInteger="1" minValue="0" maxValue="380645"/>
    </cacheField>
    <cacheField name="DayUse_Total" numFmtId="164">
      <sharedItems containsSemiMixedTypes="0" containsString="0" containsNumber="1" containsInteger="1" minValue="0" maxValue="349180"/>
    </cacheField>
    <cacheField name="Weighted summer discharge class" numFmtId="164">
      <sharedItems count="5">
        <s v="Below Normal"/>
        <s v="Wet"/>
        <s v="Above Normal"/>
        <s v="Dry"/>
        <s v="Critical"/>
      </sharedItems>
    </cacheField>
    <cacheField name="Months (Month/Year)" numFmtId="0" databaseField="0">
      <fieldGroup base="18">
        <rangePr groupBy="months" startDate="2001-07-01T00:00:00" endDate="2020-12-02T00:00:00"/>
        <groupItems count="14">
          <s v="&lt;7/1/20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20"/>
        </groupItems>
      </fieldGroup>
    </cacheField>
    <cacheField name="Quarters (Month/Year)" numFmtId="0" databaseField="0">
      <fieldGroup base="18">
        <rangePr groupBy="quarters" startDate="2001-07-01T00:00:00" endDate="2020-12-02T00:00:00"/>
        <groupItems count="6">
          <s v="&lt;7/1/2001"/>
          <s v="Qtr1"/>
          <s v="Qtr2"/>
          <s v="Qtr3"/>
          <s v="Qtr4"/>
          <s v="&gt;12/2/2020"/>
        </groupItems>
      </fieldGroup>
    </cacheField>
    <cacheField name="Years (Month/Year)" numFmtId="0" databaseField="0">
      <fieldGroup base="18">
        <rangePr groupBy="years" startDate="2001-07-01T00:00:00" endDate="2020-12-02T00:00:00"/>
        <groupItems count="22">
          <s v="&lt;7/1/2001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&gt;12/2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2">
  <r>
    <x v="0"/>
    <b v="0"/>
    <b v="0"/>
    <n v="9455"/>
    <n v="0"/>
    <n v="458"/>
    <n v="2445"/>
    <n v="0"/>
    <n v="0"/>
    <n v="12358"/>
    <x v="0"/>
    <n v="0"/>
    <n v="2792"/>
    <n v="8839"/>
    <n v="86"/>
    <n v="21197"/>
    <n v="0"/>
    <n v="0"/>
    <x v="0"/>
    <n v="21283"/>
    <n v="12358"/>
    <x v="0"/>
  </r>
  <r>
    <x v="0"/>
    <b v="0"/>
    <b v="0"/>
    <n v="8113"/>
    <n v="0"/>
    <n v="279"/>
    <n v="2445"/>
    <n v="0"/>
    <n v="0"/>
    <n v="10837"/>
    <x v="1"/>
    <n v="0"/>
    <n v="1917"/>
    <n v="7970"/>
    <n v="911"/>
    <n v="18807"/>
    <n v="0"/>
    <n v="0"/>
    <x v="1"/>
    <n v="19718"/>
    <n v="10837"/>
    <x v="0"/>
  </r>
  <r>
    <x v="0"/>
    <b v="0"/>
    <b v="0"/>
    <n v="8761"/>
    <n v="0"/>
    <n v="251"/>
    <n v="2258"/>
    <n v="0"/>
    <n v="0"/>
    <n v="11270"/>
    <x v="2"/>
    <n v="0"/>
    <n v="1082"/>
    <n v="6177"/>
    <n v="1364"/>
    <n v="17447"/>
    <n v="0"/>
    <n v="0"/>
    <x v="2"/>
    <n v="18811"/>
    <n v="11270"/>
    <x v="0"/>
  </r>
  <r>
    <x v="0"/>
    <b v="0"/>
    <b v="0"/>
    <n v="5712"/>
    <n v="0"/>
    <n v="190"/>
    <n v="2204"/>
    <n v="0"/>
    <n v="0"/>
    <n v="8106"/>
    <x v="3"/>
    <n v="0"/>
    <n v="532"/>
    <n v="5546"/>
    <n v="1241"/>
    <n v="13652"/>
    <n v="0"/>
    <n v="0"/>
    <x v="3"/>
    <n v="14893"/>
    <n v="8106"/>
    <x v="0"/>
  </r>
  <r>
    <x v="0"/>
    <b v="0"/>
    <b v="0"/>
    <n v="3508"/>
    <n v="0"/>
    <n v="0"/>
    <n v="122"/>
    <n v="0"/>
    <n v="0"/>
    <n v="3630"/>
    <x v="4"/>
    <n v="0"/>
    <n v="300"/>
    <n v="2981"/>
    <n v="564"/>
    <n v="6611"/>
    <n v="0"/>
    <n v="0"/>
    <x v="4"/>
    <n v="7175"/>
    <n v="3630"/>
    <x v="0"/>
  </r>
  <r>
    <x v="0"/>
    <b v="0"/>
    <b v="0"/>
    <n v="1439"/>
    <n v="0"/>
    <n v="0"/>
    <n v="281"/>
    <n v="0"/>
    <n v="0"/>
    <n v="1720"/>
    <x v="5"/>
    <n v="0"/>
    <n v="0"/>
    <n v="499"/>
    <n v="668"/>
    <n v="2219"/>
    <n v="0"/>
    <n v="0"/>
    <x v="5"/>
    <n v="2887"/>
    <n v="1720"/>
    <x v="0"/>
  </r>
  <r>
    <x v="0"/>
    <b v="0"/>
    <b v="0"/>
    <n v="2883"/>
    <n v="0"/>
    <n v="0"/>
    <n v="530"/>
    <n v="0"/>
    <n v="0"/>
    <n v="3413"/>
    <x v="6"/>
    <n v="0"/>
    <n v="0"/>
    <n v="873"/>
    <n v="913"/>
    <n v="4286"/>
    <n v="0"/>
    <n v="0"/>
    <x v="6"/>
    <n v="5199"/>
    <n v="3413"/>
    <x v="0"/>
  </r>
  <r>
    <x v="0"/>
    <b v="0"/>
    <b v="0"/>
    <n v="928"/>
    <n v="0"/>
    <n v="0"/>
    <n v="997"/>
    <n v="0"/>
    <n v="0"/>
    <n v="1925"/>
    <x v="7"/>
    <n v="0"/>
    <n v="0"/>
    <n v="1480"/>
    <n v="1389"/>
    <n v="3405"/>
    <n v="0"/>
    <n v="0"/>
    <x v="7"/>
    <n v="4794"/>
    <n v="1925"/>
    <x v="0"/>
  </r>
  <r>
    <x v="0"/>
    <b v="0"/>
    <b v="0"/>
    <n v="3044"/>
    <n v="0"/>
    <n v="50"/>
    <n v="1870"/>
    <n v="0"/>
    <n v="0"/>
    <n v="4964"/>
    <x v="8"/>
    <n v="0"/>
    <n v="462"/>
    <n v="3694"/>
    <n v="1182"/>
    <n v="8658"/>
    <n v="0"/>
    <n v="0"/>
    <x v="8"/>
    <n v="9840"/>
    <n v="4964"/>
    <x v="0"/>
  </r>
  <r>
    <x v="0"/>
    <b v="0"/>
    <b v="0"/>
    <n v="4403"/>
    <n v="0"/>
    <n v="152"/>
    <n v="2026"/>
    <n v="0"/>
    <n v="58"/>
    <n v="6639"/>
    <x v="9"/>
    <n v="0"/>
    <n v="768"/>
    <n v="5154"/>
    <n v="1170"/>
    <n v="11793"/>
    <n v="0"/>
    <n v="0"/>
    <x v="9"/>
    <n v="12963"/>
    <n v="6639"/>
    <x v="0"/>
  </r>
  <r>
    <x v="0"/>
    <b v="0"/>
    <b v="0"/>
    <n v="7019"/>
    <n v="0"/>
    <n v="215"/>
    <n v="1955"/>
    <n v="0"/>
    <n v="63"/>
    <n v="9252"/>
    <x v="10"/>
    <n v="0"/>
    <n v="1583"/>
    <n v="6638"/>
    <n v="0"/>
    <n v="15890"/>
    <n v="0"/>
    <n v="0"/>
    <x v="10"/>
    <n v="15890"/>
    <n v="9252"/>
    <x v="0"/>
  </r>
  <r>
    <x v="0"/>
    <b v="0"/>
    <b v="0"/>
    <n v="7434"/>
    <n v="0"/>
    <n v="399"/>
    <n v="2591"/>
    <n v="0"/>
    <n v="100"/>
    <n v="10524"/>
    <x v="11"/>
    <n v="0"/>
    <n v="1645"/>
    <n v="6898"/>
    <n v="0"/>
    <n v="17422"/>
    <n v="0"/>
    <n v="0"/>
    <x v="11"/>
    <n v="17422"/>
    <n v="10524"/>
    <x v="0"/>
  </r>
  <r>
    <x v="0"/>
    <b v="0"/>
    <b v="0"/>
    <n v="11265"/>
    <n v="0"/>
    <n v="479"/>
    <n v="2385"/>
    <n v="0"/>
    <n v="0"/>
    <n v="14129"/>
    <x v="1"/>
    <n v="0"/>
    <n v="2363"/>
    <n v="8416"/>
    <n v="1028"/>
    <n v="22545"/>
    <n v="0"/>
    <n v="0"/>
    <x v="12"/>
    <n v="23573"/>
    <n v="14129"/>
    <x v="0"/>
  </r>
  <r>
    <x v="0"/>
    <b v="0"/>
    <b v="0"/>
    <n v="10996"/>
    <n v="0"/>
    <n v="242"/>
    <n v="2298"/>
    <n v="0"/>
    <n v="0"/>
    <n v="13536"/>
    <x v="12"/>
    <n v="0"/>
    <n v="2950"/>
    <n v="9082"/>
    <n v="1422"/>
    <n v="22618"/>
    <n v="0"/>
    <n v="0"/>
    <x v="13"/>
    <n v="24040"/>
    <n v="13536"/>
    <x v="0"/>
  </r>
  <r>
    <x v="0"/>
    <b v="0"/>
    <b v="0"/>
    <n v="9190"/>
    <n v="0"/>
    <n v="232"/>
    <n v="1965"/>
    <n v="0"/>
    <n v="25"/>
    <n v="11412"/>
    <x v="13"/>
    <n v="0"/>
    <n v="1408"/>
    <n v="6235"/>
    <n v="1629"/>
    <n v="17647"/>
    <n v="0"/>
    <n v="0"/>
    <x v="14"/>
    <n v="19276"/>
    <n v="11412"/>
    <x v="0"/>
  </r>
  <r>
    <x v="0"/>
    <b v="0"/>
    <b v="0"/>
    <n v="7274"/>
    <n v="0"/>
    <n v="154"/>
    <n v="1793"/>
    <n v="0"/>
    <n v="0"/>
    <n v="9221"/>
    <x v="14"/>
    <n v="0"/>
    <n v="894"/>
    <n v="5586"/>
    <n v="1630"/>
    <n v="14807"/>
    <n v="0"/>
    <n v="0"/>
    <x v="15"/>
    <n v="16437"/>
    <n v="9221"/>
    <x v="0"/>
  </r>
  <r>
    <x v="0"/>
    <b v="0"/>
    <b v="0"/>
    <n v="5988"/>
    <n v="0"/>
    <n v="0"/>
    <n v="1519"/>
    <n v="0"/>
    <n v="0"/>
    <n v="7507"/>
    <x v="15"/>
    <n v="0"/>
    <n v="328"/>
    <n v="2938"/>
    <n v="1800"/>
    <n v="10445"/>
    <n v="0"/>
    <n v="0"/>
    <x v="16"/>
    <n v="12245"/>
    <n v="7507"/>
    <x v="0"/>
  </r>
  <r>
    <x v="0"/>
    <b v="0"/>
    <b v="0"/>
    <n v="2303"/>
    <n v="0"/>
    <n v="0"/>
    <n v="986"/>
    <n v="0"/>
    <n v="40"/>
    <n v="3329"/>
    <x v="16"/>
    <n v="0"/>
    <n v="0"/>
    <n v="613"/>
    <n v="806"/>
    <n v="3942"/>
    <n v="0"/>
    <n v="0"/>
    <x v="17"/>
    <n v="4748"/>
    <n v="3329"/>
    <x v="0"/>
  </r>
  <r>
    <x v="0"/>
    <b v="0"/>
    <b v="0"/>
    <n v="2400"/>
    <n v="0"/>
    <n v="0"/>
    <n v="939"/>
    <n v="0"/>
    <n v="0"/>
    <n v="3339"/>
    <x v="17"/>
    <n v="0"/>
    <n v="0"/>
    <n v="896"/>
    <n v="791"/>
    <n v="4235"/>
    <n v="0"/>
    <n v="0"/>
    <x v="18"/>
    <n v="5026"/>
    <n v="3339"/>
    <x v="1"/>
  </r>
  <r>
    <x v="0"/>
    <b v="0"/>
    <b v="0"/>
    <n v="3808"/>
    <n v="0"/>
    <n v="0"/>
    <n v="437"/>
    <n v="0"/>
    <n v="0"/>
    <n v="4245"/>
    <x v="18"/>
    <n v="0"/>
    <n v="30"/>
    <n v="783"/>
    <n v="1402"/>
    <n v="5028"/>
    <n v="0"/>
    <n v="0"/>
    <x v="19"/>
    <n v="6430"/>
    <n v="4245"/>
    <x v="1"/>
  </r>
  <r>
    <x v="0"/>
    <b v="0"/>
    <b v="0"/>
    <n v="4510"/>
    <n v="0"/>
    <n v="0"/>
    <n v="1425"/>
    <n v="0"/>
    <n v="75"/>
    <n v="6010"/>
    <x v="19"/>
    <n v="0"/>
    <n v="63"/>
    <n v="2028"/>
    <n v="1167"/>
    <n v="8038"/>
    <n v="0"/>
    <n v="0"/>
    <x v="20"/>
    <n v="9205"/>
    <n v="6010"/>
    <x v="1"/>
  </r>
  <r>
    <x v="0"/>
    <b v="0"/>
    <b v="0"/>
    <n v="3806"/>
    <n v="0"/>
    <n v="41"/>
    <n v="1260"/>
    <n v="0"/>
    <n v="43"/>
    <n v="5150"/>
    <x v="20"/>
    <n v="0"/>
    <n v="630"/>
    <n v="3567"/>
    <n v="750"/>
    <n v="8717"/>
    <n v="0"/>
    <n v="0"/>
    <x v="21"/>
    <n v="9467"/>
    <n v="5150"/>
    <x v="1"/>
  </r>
  <r>
    <x v="0"/>
    <b v="0"/>
    <b v="0"/>
    <n v="7407"/>
    <n v="0"/>
    <n v="147"/>
    <n v="1863"/>
    <n v="0"/>
    <n v="166"/>
    <n v="9583"/>
    <x v="21"/>
    <n v="0"/>
    <n v="1329"/>
    <n v="5630"/>
    <n v="1173"/>
    <n v="15213"/>
    <n v="0"/>
    <n v="0"/>
    <x v="22"/>
    <n v="16386"/>
    <n v="9583"/>
    <x v="1"/>
  </r>
  <r>
    <x v="0"/>
    <b v="0"/>
    <b v="0"/>
    <n v="8227"/>
    <n v="0"/>
    <n v="190"/>
    <n v="1918"/>
    <n v="0"/>
    <n v="0"/>
    <n v="10335"/>
    <x v="22"/>
    <n v="0"/>
    <n v="1370"/>
    <n v="6214"/>
    <n v="924"/>
    <n v="16549"/>
    <n v="0"/>
    <n v="0"/>
    <x v="23"/>
    <n v="17473"/>
    <n v="10335"/>
    <x v="1"/>
  </r>
  <r>
    <x v="0"/>
    <b v="0"/>
    <b v="0"/>
    <n v="9681"/>
    <n v="0"/>
    <n v="538"/>
    <n v="2015"/>
    <n v="0"/>
    <n v="35"/>
    <n v="12269"/>
    <x v="23"/>
    <n v="0"/>
    <n v="2801"/>
    <n v="8306"/>
    <n v="0"/>
    <n v="20575"/>
    <n v="0"/>
    <n v="0"/>
    <x v="24"/>
    <n v="20575"/>
    <n v="12269"/>
    <x v="1"/>
  </r>
  <r>
    <x v="0"/>
    <b v="0"/>
    <b v="0"/>
    <n v="9617"/>
    <n v="0"/>
    <n v="191"/>
    <n v="2205"/>
    <n v="0"/>
    <n v="23"/>
    <n v="12036"/>
    <x v="24"/>
    <n v="0"/>
    <n v="2654"/>
    <n v="8559"/>
    <n v="0"/>
    <n v="20595"/>
    <n v="0"/>
    <n v="0"/>
    <x v="25"/>
    <n v="20595"/>
    <n v="12036"/>
    <x v="1"/>
  </r>
  <r>
    <x v="0"/>
    <b v="0"/>
    <b v="0"/>
    <n v="5690"/>
    <n v="0"/>
    <n v="389"/>
    <n v="1643"/>
    <n v="0"/>
    <n v="0"/>
    <n v="7722"/>
    <x v="25"/>
    <n v="0"/>
    <n v="1055"/>
    <n v="4842"/>
    <n v="1000"/>
    <n v="12564"/>
    <n v="0"/>
    <n v="0"/>
    <x v="26"/>
    <n v="13564"/>
    <n v="7722"/>
    <x v="1"/>
  </r>
  <r>
    <x v="0"/>
    <b v="0"/>
    <b v="0"/>
    <n v="3596"/>
    <n v="0"/>
    <n v="62"/>
    <n v="1300"/>
    <n v="0"/>
    <n v="0"/>
    <n v="4958"/>
    <x v="26"/>
    <n v="0"/>
    <n v="963"/>
    <n v="4447"/>
    <n v="1364"/>
    <n v="9405"/>
    <n v="0"/>
    <n v="0"/>
    <x v="27"/>
    <n v="10769"/>
    <n v="4958"/>
    <x v="1"/>
  </r>
  <r>
    <x v="0"/>
    <b v="0"/>
    <b v="0"/>
    <n v="1515"/>
    <n v="0"/>
    <n v="0"/>
    <n v="0"/>
    <n v="0"/>
    <n v="0"/>
    <n v="1515"/>
    <x v="27"/>
    <n v="0"/>
    <n v="0"/>
    <n v="1694"/>
    <n v="2762"/>
    <n v="3209"/>
    <n v="0"/>
    <n v="0"/>
    <x v="28"/>
    <n v="5971"/>
    <n v="1515"/>
    <x v="1"/>
  </r>
  <r>
    <x v="0"/>
    <b v="0"/>
    <b v="0"/>
    <n v="1246"/>
    <n v="0"/>
    <n v="0"/>
    <n v="0"/>
    <n v="0"/>
    <n v="0"/>
    <n v="1246"/>
    <x v="28"/>
    <n v="0"/>
    <n v="0"/>
    <n v="464"/>
    <n v="1484"/>
    <n v="1710"/>
    <n v="0"/>
    <n v="0"/>
    <x v="29"/>
    <n v="3194"/>
    <n v="1246"/>
    <x v="1"/>
  </r>
  <r>
    <x v="0"/>
    <b v="0"/>
    <b v="0"/>
    <n v="2585"/>
    <n v="0"/>
    <n v="0"/>
    <n v="0"/>
    <n v="0"/>
    <n v="0"/>
    <n v="2585"/>
    <x v="29"/>
    <n v="0"/>
    <n v="0"/>
    <n v="616"/>
    <n v="1933"/>
    <n v="3201"/>
    <n v="0"/>
    <n v="0"/>
    <x v="30"/>
    <n v="5134"/>
    <n v="2585"/>
    <x v="2"/>
  </r>
  <r>
    <x v="0"/>
    <b v="0"/>
    <b v="0"/>
    <n v="626"/>
    <n v="0"/>
    <n v="0"/>
    <n v="0"/>
    <n v="0"/>
    <n v="0"/>
    <n v="626"/>
    <x v="30"/>
    <n v="0"/>
    <n v="0"/>
    <n v="677"/>
    <n v="1200"/>
    <n v="1303"/>
    <n v="0"/>
    <n v="0"/>
    <x v="31"/>
    <n v="2503"/>
    <n v="626"/>
    <x v="2"/>
  </r>
  <r>
    <x v="0"/>
    <b v="0"/>
    <b v="0"/>
    <n v="3590"/>
    <n v="0"/>
    <n v="0"/>
    <n v="1059"/>
    <n v="0"/>
    <n v="0"/>
    <n v="4649"/>
    <x v="31"/>
    <n v="0"/>
    <n v="0"/>
    <n v="1396"/>
    <n v="1238"/>
    <n v="6045"/>
    <n v="0"/>
    <n v="0"/>
    <x v="32"/>
    <n v="7283"/>
    <n v="4649"/>
    <x v="2"/>
  </r>
  <r>
    <x v="0"/>
    <b v="0"/>
    <b v="0"/>
    <n v="5749"/>
    <n v="0"/>
    <n v="182"/>
    <n v="1158"/>
    <n v="0"/>
    <n v="0"/>
    <n v="7089"/>
    <x v="32"/>
    <n v="0"/>
    <n v="1149"/>
    <n v="4306"/>
    <n v="1000"/>
    <n v="11395"/>
    <n v="0"/>
    <n v="0"/>
    <x v="33"/>
    <n v="12395"/>
    <n v="7089"/>
    <x v="2"/>
  </r>
  <r>
    <x v="0"/>
    <b v="0"/>
    <b v="0"/>
    <n v="7500"/>
    <n v="0"/>
    <n v="259"/>
    <n v="1509"/>
    <n v="0"/>
    <n v="0"/>
    <n v="9268"/>
    <x v="33"/>
    <n v="0"/>
    <n v="1656"/>
    <n v="6080"/>
    <n v="1013"/>
    <n v="15348"/>
    <n v="0"/>
    <n v="0"/>
    <x v="34"/>
    <n v="16361"/>
    <n v="9268"/>
    <x v="2"/>
  </r>
  <r>
    <x v="0"/>
    <b v="0"/>
    <b v="0"/>
    <n v="5704"/>
    <n v="0"/>
    <n v="121"/>
    <n v="1371"/>
    <n v="0"/>
    <n v="16"/>
    <n v="7212"/>
    <x v="34"/>
    <n v="0"/>
    <n v="1771"/>
    <n v="6105"/>
    <n v="887"/>
    <n v="13317"/>
    <n v="0"/>
    <n v="0"/>
    <x v="35"/>
    <n v="14204"/>
    <n v="7212"/>
    <x v="2"/>
  </r>
  <r>
    <x v="0"/>
    <b v="0"/>
    <b v="0"/>
    <n v="9194"/>
    <n v="0"/>
    <n v="447"/>
    <n v="1309"/>
    <n v="0"/>
    <n v="53"/>
    <n v="11003"/>
    <x v="35"/>
    <n v="0"/>
    <n v="2732"/>
    <n v="8464"/>
    <n v="931"/>
    <n v="19467"/>
    <n v="0"/>
    <n v="0"/>
    <x v="36"/>
    <n v="20398"/>
    <n v="11003"/>
    <x v="2"/>
  </r>
  <r>
    <x v="0"/>
    <b v="0"/>
    <b v="0"/>
    <n v="7116"/>
    <n v="0"/>
    <n v="252"/>
    <n v="1125"/>
    <n v="0"/>
    <n v="0"/>
    <n v="8493"/>
    <x v="36"/>
    <n v="0"/>
    <n v="1446"/>
    <n v="6368"/>
    <n v="1101"/>
    <n v="14861"/>
    <n v="0"/>
    <n v="0"/>
    <x v="37"/>
    <n v="15962"/>
    <n v="8493"/>
    <x v="2"/>
  </r>
  <r>
    <x v="0"/>
    <b v="0"/>
    <b v="0"/>
    <n v="7925"/>
    <n v="0"/>
    <n v="240"/>
    <n v="961"/>
    <n v="2"/>
    <n v="62"/>
    <n v="9190"/>
    <x v="37"/>
    <n v="0"/>
    <n v="1160"/>
    <n v="5233"/>
    <n v="1049"/>
    <n v="14423"/>
    <n v="0"/>
    <n v="0"/>
    <x v="38"/>
    <n v="15472"/>
    <n v="9190"/>
    <x v="2"/>
  </r>
  <r>
    <x v="0"/>
    <b v="0"/>
    <b v="0"/>
    <n v="0"/>
    <n v="0"/>
    <n v="0"/>
    <n v="0"/>
    <n v="0"/>
    <n v="0"/>
    <n v="0"/>
    <x v="38"/>
    <n v="0"/>
    <n v="0"/>
    <n v="0"/>
    <n v="0"/>
    <n v="0"/>
    <n v="0"/>
    <n v="0"/>
    <x v="39"/>
    <n v="0"/>
    <n v="0"/>
    <x v="2"/>
  </r>
  <r>
    <x v="0"/>
    <b v="0"/>
    <b v="0"/>
    <n v="7080"/>
    <n v="0"/>
    <n v="0"/>
    <n v="936"/>
    <n v="0"/>
    <n v="0"/>
    <n v="8016"/>
    <x v="39"/>
    <n v="0"/>
    <n v="585"/>
    <n v="2468"/>
    <n v="1824"/>
    <n v="10484"/>
    <n v="0"/>
    <n v="0"/>
    <x v="40"/>
    <n v="12308"/>
    <n v="8016"/>
    <x v="2"/>
  </r>
  <r>
    <x v="0"/>
    <b v="0"/>
    <b v="0"/>
    <n v="3859"/>
    <n v="0"/>
    <n v="0"/>
    <n v="463"/>
    <n v="0"/>
    <n v="0"/>
    <n v="4322"/>
    <x v="40"/>
    <n v="0"/>
    <n v="39"/>
    <n v="605"/>
    <n v="1232"/>
    <n v="4927"/>
    <n v="0"/>
    <n v="0"/>
    <x v="41"/>
    <n v="6159"/>
    <n v="4322"/>
    <x v="2"/>
  </r>
  <r>
    <x v="0"/>
    <b v="0"/>
    <b v="0"/>
    <n v="1020"/>
    <n v="0"/>
    <n v="0"/>
    <n v="269"/>
    <n v="0"/>
    <n v="0"/>
    <n v="1289"/>
    <x v="41"/>
    <n v="0"/>
    <n v="0"/>
    <n v="374"/>
    <n v="468"/>
    <n v="1663"/>
    <n v="0"/>
    <n v="0"/>
    <x v="42"/>
    <n v="2131"/>
    <n v="1289"/>
    <x v="1"/>
  </r>
  <r>
    <x v="0"/>
    <b v="0"/>
    <b v="0"/>
    <n v="2282"/>
    <n v="0"/>
    <n v="0"/>
    <n v="286"/>
    <n v="0"/>
    <n v="0"/>
    <n v="2568"/>
    <x v="42"/>
    <n v="0"/>
    <n v="0"/>
    <n v="666"/>
    <n v="0"/>
    <n v="3234"/>
    <n v="0"/>
    <n v="0"/>
    <x v="43"/>
    <n v="3234"/>
    <n v="2568"/>
    <x v="1"/>
  </r>
  <r>
    <x v="0"/>
    <b v="0"/>
    <b v="0"/>
    <n v="4373"/>
    <n v="0"/>
    <n v="90"/>
    <n v="869"/>
    <n v="0"/>
    <n v="0"/>
    <n v="5332"/>
    <x v="43"/>
    <n v="0"/>
    <n v="120"/>
    <n v="1717"/>
    <n v="1030"/>
    <n v="7049"/>
    <n v="0"/>
    <n v="0"/>
    <x v="44"/>
    <n v="8079"/>
    <n v="5332"/>
    <x v="1"/>
  </r>
  <r>
    <x v="0"/>
    <b v="0"/>
    <b v="0"/>
    <n v="3593"/>
    <n v="0"/>
    <n v="60"/>
    <n v="1299"/>
    <n v="0"/>
    <n v="0"/>
    <n v="4952"/>
    <x v="44"/>
    <n v="0"/>
    <n v="1157"/>
    <n v="3297"/>
    <n v="0"/>
    <n v="8249"/>
    <n v="0"/>
    <n v="0"/>
    <x v="45"/>
    <n v="8249"/>
    <n v="4952"/>
    <x v="1"/>
  </r>
  <r>
    <x v="0"/>
    <b v="0"/>
    <b v="0"/>
    <n v="5086"/>
    <n v="0"/>
    <n v="180"/>
    <n v="1335"/>
    <n v="0"/>
    <n v="3002"/>
    <n v="9603"/>
    <x v="38"/>
    <n v="1310"/>
    <n v="0"/>
    <n v="1310"/>
    <n v="0"/>
    <n v="10913"/>
    <n v="0"/>
    <n v="0"/>
    <x v="46"/>
    <n v="10913"/>
    <n v="9603"/>
    <x v="1"/>
  </r>
  <r>
    <x v="0"/>
    <b v="0"/>
    <b v="0"/>
    <n v="4704"/>
    <n v="0"/>
    <n v="418"/>
    <n v="1673"/>
    <n v="0"/>
    <n v="0"/>
    <n v="6795"/>
    <x v="45"/>
    <n v="0"/>
    <n v="1947"/>
    <n v="5551"/>
    <n v="670"/>
    <n v="12346"/>
    <n v="0"/>
    <n v="0"/>
    <x v="47"/>
    <n v="13015"/>
    <n v="6795"/>
    <x v="1"/>
  </r>
  <r>
    <x v="0"/>
    <b v="0"/>
    <b v="0"/>
    <n v="11457"/>
    <n v="0"/>
    <n v="469"/>
    <n v="1617"/>
    <n v="0"/>
    <n v="0"/>
    <n v="13543"/>
    <x v="46"/>
    <n v="0"/>
    <n v="2549"/>
    <n v="8402"/>
    <n v="1226"/>
    <n v="21945"/>
    <n v="0"/>
    <n v="0"/>
    <x v="48"/>
    <n v="23171"/>
    <n v="13543"/>
    <x v="1"/>
  </r>
  <r>
    <x v="0"/>
    <b v="0"/>
    <b v="0"/>
    <n v="7834"/>
    <n v="0"/>
    <n v="135"/>
    <n v="1400"/>
    <n v="0"/>
    <n v="100"/>
    <n v="9469"/>
    <x v="47"/>
    <n v="0"/>
    <n v="2201"/>
    <n v="6664"/>
    <n v="1107"/>
    <n v="16133"/>
    <n v="0"/>
    <n v="0"/>
    <x v="49"/>
    <n v="17240"/>
    <n v="9469"/>
    <x v="1"/>
  </r>
  <r>
    <x v="0"/>
    <b v="0"/>
    <b v="0"/>
    <n v="6579"/>
    <n v="0"/>
    <n v="351"/>
    <n v="1200"/>
    <n v="0"/>
    <n v="0"/>
    <n v="8130"/>
    <x v="48"/>
    <n v="0"/>
    <n v="1379"/>
    <n v="5487"/>
    <n v="947"/>
    <n v="13617"/>
    <n v="0"/>
    <n v="0"/>
    <x v="50"/>
    <n v="14564"/>
    <n v="8130"/>
    <x v="1"/>
  </r>
  <r>
    <x v="0"/>
    <b v="0"/>
    <b v="0"/>
    <n v="3265"/>
    <n v="0"/>
    <n v="0"/>
    <n v="339"/>
    <n v="0"/>
    <n v="0"/>
    <n v="3604"/>
    <x v="49"/>
    <n v="0"/>
    <n v="450"/>
    <n v="2698"/>
    <n v="633"/>
    <n v="6302"/>
    <n v="0"/>
    <n v="0"/>
    <x v="51"/>
    <n v="6935"/>
    <n v="3604"/>
    <x v="1"/>
  </r>
  <r>
    <x v="0"/>
    <b v="0"/>
    <b v="0"/>
    <n v="1020"/>
    <n v="0"/>
    <n v="0"/>
    <n v="32"/>
    <n v="0"/>
    <n v="0"/>
    <n v="1052"/>
    <x v="50"/>
    <n v="0"/>
    <n v="0"/>
    <n v="1104"/>
    <n v="754"/>
    <n v="2156"/>
    <n v="0"/>
    <n v="0"/>
    <x v="52"/>
    <n v="2910"/>
    <n v="1052"/>
    <x v="1"/>
  </r>
  <r>
    <x v="0"/>
    <b v="0"/>
    <b v="0"/>
    <n v="1020"/>
    <n v="0"/>
    <n v="0"/>
    <n v="32"/>
    <n v="0"/>
    <n v="0"/>
    <n v="1052"/>
    <x v="50"/>
    <n v="0"/>
    <n v="0"/>
    <n v="1104"/>
    <n v="754"/>
    <n v="2156"/>
    <n v="0"/>
    <n v="0"/>
    <x v="53"/>
    <n v="2910"/>
    <n v="1052"/>
    <x v="1"/>
  </r>
  <r>
    <x v="0"/>
    <b v="0"/>
    <b v="0"/>
    <n v="1020"/>
    <n v="0"/>
    <n v="0"/>
    <n v="32"/>
    <n v="0"/>
    <n v="0"/>
    <n v="1052"/>
    <x v="50"/>
    <n v="0"/>
    <n v="0"/>
    <n v="1104"/>
    <n v="754"/>
    <n v="2156"/>
    <n v="0"/>
    <n v="0"/>
    <x v="54"/>
    <n v="2910"/>
    <n v="1052"/>
    <x v="1"/>
  </r>
  <r>
    <x v="0"/>
    <b v="0"/>
    <b v="0"/>
    <n v="1020"/>
    <n v="0"/>
    <n v="0"/>
    <n v="32"/>
    <n v="0"/>
    <n v="0"/>
    <n v="1052"/>
    <x v="50"/>
    <n v="0"/>
    <n v="0"/>
    <n v="1104"/>
    <n v="754"/>
    <n v="2156"/>
    <n v="0"/>
    <n v="0"/>
    <x v="55"/>
    <n v="2910"/>
    <n v="1052"/>
    <x v="1"/>
  </r>
  <r>
    <x v="0"/>
    <b v="0"/>
    <b v="0"/>
    <n v="1020"/>
    <n v="0"/>
    <n v="0"/>
    <n v="32"/>
    <n v="0"/>
    <n v="0"/>
    <n v="1052"/>
    <x v="50"/>
    <n v="0"/>
    <n v="0"/>
    <n v="1104"/>
    <n v="754"/>
    <n v="2156"/>
    <n v="0"/>
    <n v="0"/>
    <x v="56"/>
    <n v="2910"/>
    <n v="1052"/>
    <x v="1"/>
  </r>
  <r>
    <x v="0"/>
    <b v="0"/>
    <b v="0"/>
    <n v="1020"/>
    <n v="0"/>
    <n v="0"/>
    <n v="32"/>
    <n v="0"/>
    <n v="0"/>
    <n v="1052"/>
    <x v="50"/>
    <n v="0"/>
    <n v="0"/>
    <n v="1104"/>
    <n v="754"/>
    <n v="2156"/>
    <n v="0"/>
    <n v="0"/>
    <x v="57"/>
    <n v="2910"/>
    <n v="1052"/>
    <x v="1"/>
  </r>
  <r>
    <x v="0"/>
    <b v="0"/>
    <b v="0"/>
    <n v="5560"/>
    <n v="0"/>
    <n v="120"/>
    <n v="1350"/>
    <n v="0"/>
    <n v="60"/>
    <n v="7090"/>
    <x v="51"/>
    <n v="0"/>
    <n v="1565"/>
    <n v="4628"/>
    <n v="963"/>
    <n v="11718"/>
    <n v="0"/>
    <n v="0"/>
    <x v="58"/>
    <n v="12681"/>
    <n v="7090"/>
    <x v="1"/>
  </r>
  <r>
    <x v="0"/>
    <b v="0"/>
    <b v="0"/>
    <n v="5355"/>
    <n v="0"/>
    <n v="252"/>
    <n v="1338"/>
    <n v="0"/>
    <n v="77"/>
    <n v="7022"/>
    <x v="52"/>
    <n v="0"/>
    <n v="1343"/>
    <n v="5434"/>
    <n v="839"/>
    <n v="12456"/>
    <n v="0"/>
    <n v="0"/>
    <x v="59"/>
    <n v="13295"/>
    <n v="7022"/>
    <x v="1"/>
  </r>
  <r>
    <x v="0"/>
    <b v="0"/>
    <b v="0"/>
    <n v="10684"/>
    <n v="0"/>
    <n v="380"/>
    <n v="1453"/>
    <n v="0"/>
    <n v="0"/>
    <n v="12517"/>
    <x v="53"/>
    <n v="0"/>
    <n v="1989"/>
    <n v="7393"/>
    <n v="1005"/>
    <n v="19910"/>
    <n v="0"/>
    <n v="0"/>
    <x v="60"/>
    <n v="20915"/>
    <n v="12517"/>
    <x v="1"/>
  </r>
  <r>
    <x v="0"/>
    <b v="0"/>
    <b v="0"/>
    <n v="5631"/>
    <n v="0"/>
    <n v="91"/>
    <n v="1150"/>
    <n v="0"/>
    <n v="43"/>
    <n v="6915"/>
    <x v="54"/>
    <n v="0"/>
    <n v="2270"/>
    <n v="6663"/>
    <n v="951"/>
    <n v="13578"/>
    <n v="0"/>
    <n v="0"/>
    <x v="61"/>
    <n v="14529"/>
    <n v="6915"/>
    <x v="1"/>
  </r>
  <r>
    <x v="0"/>
    <b v="0"/>
    <b v="0"/>
    <n v="7618"/>
    <n v="0"/>
    <n v="392"/>
    <n v="1031"/>
    <n v="0"/>
    <n v="25"/>
    <n v="9066"/>
    <x v="55"/>
    <n v="0"/>
    <n v="1604"/>
    <n v="5269"/>
    <n v="1154"/>
    <n v="14335"/>
    <n v="0"/>
    <n v="0"/>
    <x v="62"/>
    <n v="15489"/>
    <n v="9066"/>
    <x v="1"/>
  </r>
  <r>
    <x v="0"/>
    <b v="0"/>
    <b v="0"/>
    <n v="4019"/>
    <n v="0"/>
    <n v="60"/>
    <n v="560"/>
    <n v="0"/>
    <n v="0"/>
    <n v="4639"/>
    <x v="56"/>
    <n v="0"/>
    <n v="772"/>
    <n v="3184"/>
    <n v="1047"/>
    <n v="7823"/>
    <n v="0"/>
    <n v="0"/>
    <x v="63"/>
    <n v="8870"/>
    <n v="4639"/>
    <x v="1"/>
  </r>
  <r>
    <x v="0"/>
    <b v="0"/>
    <b v="0"/>
    <n v="1020"/>
    <n v="0"/>
    <n v="0"/>
    <n v="32"/>
    <n v="0"/>
    <n v="0"/>
    <n v="1052"/>
    <x v="50"/>
    <n v="0"/>
    <n v="0"/>
    <n v="1104"/>
    <n v="754"/>
    <n v="2156"/>
    <n v="0"/>
    <n v="0"/>
    <x v="64"/>
    <n v="2910"/>
    <n v="1052"/>
    <x v="1"/>
  </r>
  <r>
    <x v="0"/>
    <b v="0"/>
    <b v="0"/>
    <n v="1020"/>
    <n v="0"/>
    <n v="0"/>
    <n v="32"/>
    <n v="0"/>
    <n v="0"/>
    <n v="1052"/>
    <x v="50"/>
    <n v="0"/>
    <n v="0"/>
    <n v="1104"/>
    <n v="754"/>
    <n v="2156"/>
    <n v="0"/>
    <n v="0"/>
    <x v="65"/>
    <n v="2910"/>
    <n v="1052"/>
    <x v="1"/>
  </r>
  <r>
    <x v="0"/>
    <b v="0"/>
    <b v="0"/>
    <n v="1020"/>
    <n v="0"/>
    <n v="0"/>
    <n v="32"/>
    <n v="0"/>
    <n v="0"/>
    <n v="1052"/>
    <x v="50"/>
    <n v="0"/>
    <n v="0"/>
    <n v="1104"/>
    <n v="754"/>
    <n v="2156"/>
    <n v="0"/>
    <n v="0"/>
    <x v="66"/>
    <n v="2910"/>
    <n v="1052"/>
    <x v="2"/>
  </r>
  <r>
    <x v="0"/>
    <b v="0"/>
    <b v="0"/>
    <n v="1020"/>
    <n v="0"/>
    <n v="0"/>
    <n v="32"/>
    <n v="0"/>
    <n v="0"/>
    <n v="1052"/>
    <x v="50"/>
    <n v="0"/>
    <n v="0"/>
    <n v="1104"/>
    <n v="754"/>
    <n v="2156"/>
    <n v="0"/>
    <n v="0"/>
    <x v="67"/>
    <n v="2910"/>
    <n v="1052"/>
    <x v="2"/>
  </r>
  <r>
    <x v="0"/>
    <b v="0"/>
    <b v="0"/>
    <n v="5609"/>
    <n v="0"/>
    <n v="15"/>
    <n v="1123"/>
    <n v="0"/>
    <n v="0"/>
    <n v="6747"/>
    <x v="57"/>
    <n v="0"/>
    <n v="382"/>
    <n v="2467"/>
    <n v="1313"/>
    <n v="9214"/>
    <n v="0"/>
    <n v="0"/>
    <x v="68"/>
    <n v="10527"/>
    <n v="6747"/>
    <x v="2"/>
  </r>
  <r>
    <x v="0"/>
    <b v="0"/>
    <b v="0"/>
    <n v="4032"/>
    <n v="0"/>
    <n v="182"/>
    <n v="1463"/>
    <n v="0"/>
    <n v="0"/>
    <n v="5677"/>
    <x v="58"/>
    <n v="0"/>
    <n v="983"/>
    <n v="2995"/>
    <n v="872"/>
    <n v="8672"/>
    <n v="0"/>
    <n v="0"/>
    <x v="69"/>
    <n v="9544"/>
    <n v="5677"/>
    <x v="2"/>
  </r>
  <r>
    <x v="0"/>
    <b v="0"/>
    <b v="0"/>
    <n v="4651"/>
    <n v="0"/>
    <n v="111"/>
    <n v="1215"/>
    <n v="0"/>
    <n v="53"/>
    <n v="6030"/>
    <x v="59"/>
    <n v="0"/>
    <n v="1500"/>
    <n v="4132"/>
    <n v="909"/>
    <n v="10162"/>
    <n v="0"/>
    <n v="0"/>
    <x v="70"/>
    <n v="11071"/>
    <n v="6030"/>
    <x v="2"/>
  </r>
  <r>
    <x v="0"/>
    <b v="0"/>
    <b v="0"/>
    <n v="6461"/>
    <n v="0"/>
    <n v="325"/>
    <n v="1087"/>
    <n v="0"/>
    <n v="0"/>
    <n v="7873"/>
    <x v="60"/>
    <n v="0"/>
    <n v="1713"/>
    <n v="5658"/>
    <n v="976"/>
    <n v="13531"/>
    <n v="0"/>
    <n v="0"/>
    <x v="71"/>
    <n v="14507"/>
    <n v="7873"/>
    <x v="2"/>
  </r>
  <r>
    <x v="0"/>
    <b v="0"/>
    <b v="0"/>
    <n v="8191"/>
    <n v="0"/>
    <n v="290"/>
    <n v="1410"/>
    <n v="0"/>
    <n v="0"/>
    <n v="9891"/>
    <x v="61"/>
    <n v="0"/>
    <n v="3008"/>
    <n v="8387"/>
    <n v="1040"/>
    <n v="18278"/>
    <n v="0"/>
    <n v="0"/>
    <x v="72"/>
    <n v="19318"/>
    <n v="9891"/>
    <x v="2"/>
  </r>
  <r>
    <x v="0"/>
    <b v="0"/>
    <b v="0"/>
    <n v="6512"/>
    <n v="0"/>
    <n v="170"/>
    <n v="1369"/>
    <n v="0"/>
    <n v="0"/>
    <n v="8051"/>
    <x v="62"/>
    <n v="0"/>
    <n v="2320"/>
    <n v="7114"/>
    <n v="1213"/>
    <n v="15165"/>
    <n v="0"/>
    <n v="0"/>
    <x v="73"/>
    <n v="16378"/>
    <n v="8051"/>
    <x v="2"/>
  </r>
  <r>
    <x v="0"/>
    <b v="0"/>
    <b v="0"/>
    <n v="7764"/>
    <n v="0"/>
    <n v="275"/>
    <n v="1168"/>
    <n v="0"/>
    <n v="0"/>
    <n v="9207"/>
    <x v="63"/>
    <n v="0"/>
    <n v="1269"/>
    <n v="4569"/>
    <n v="1200"/>
    <n v="13776"/>
    <n v="0"/>
    <n v="0"/>
    <x v="74"/>
    <n v="14976"/>
    <n v="9207"/>
    <x v="2"/>
  </r>
  <r>
    <x v="0"/>
    <b v="0"/>
    <b v="0"/>
    <n v="5564"/>
    <n v="0"/>
    <n v="255"/>
    <n v="982"/>
    <n v="0"/>
    <n v="107"/>
    <n v="6908"/>
    <x v="64"/>
    <n v="0"/>
    <n v="875"/>
    <n v="3575"/>
    <n v="2021"/>
    <n v="10483"/>
    <n v="0"/>
    <n v="0"/>
    <x v="75"/>
    <n v="12504"/>
    <n v="6908"/>
    <x v="2"/>
  </r>
  <r>
    <x v="0"/>
    <b v="0"/>
    <b v="0"/>
    <n v="5751"/>
    <n v="0"/>
    <n v="0"/>
    <n v="774"/>
    <n v="0"/>
    <n v="0"/>
    <n v="6525"/>
    <x v="65"/>
    <n v="0"/>
    <n v="0"/>
    <n v="1435"/>
    <n v="2301"/>
    <n v="7960"/>
    <n v="0"/>
    <n v="0"/>
    <x v="76"/>
    <n v="10261"/>
    <n v="6525"/>
    <x v="2"/>
  </r>
  <r>
    <x v="0"/>
    <b v="0"/>
    <b v="0"/>
    <n v="2187"/>
    <n v="0"/>
    <n v="0"/>
    <n v="230"/>
    <n v="0"/>
    <n v="0"/>
    <n v="2417"/>
    <x v="66"/>
    <n v="0"/>
    <n v="0"/>
    <n v="401"/>
    <n v="748"/>
    <n v="2818"/>
    <n v="0"/>
    <n v="0"/>
    <x v="77"/>
    <n v="3566"/>
    <n v="2417"/>
    <x v="2"/>
  </r>
  <r>
    <x v="0"/>
    <b v="0"/>
    <b v="0"/>
    <n v="794"/>
    <n v="0"/>
    <n v="0"/>
    <n v="212"/>
    <n v="0"/>
    <n v="0"/>
    <n v="1006"/>
    <x v="67"/>
    <n v="0"/>
    <n v="0"/>
    <n v="312"/>
    <n v="353"/>
    <n v="1318"/>
    <n v="0"/>
    <n v="0"/>
    <x v="78"/>
    <n v="1671"/>
    <n v="1006"/>
    <x v="0"/>
  </r>
  <r>
    <x v="0"/>
    <b v="0"/>
    <b v="0"/>
    <n v="1526"/>
    <n v="0"/>
    <n v="0"/>
    <n v="370"/>
    <n v="0"/>
    <n v="0"/>
    <n v="1896"/>
    <x v="68"/>
    <n v="0"/>
    <n v="0"/>
    <n v="531"/>
    <n v="463"/>
    <n v="2427"/>
    <n v="0"/>
    <n v="0"/>
    <x v="79"/>
    <n v="2890"/>
    <n v="1896"/>
    <x v="0"/>
  </r>
  <r>
    <x v="0"/>
    <b v="0"/>
    <b v="0"/>
    <n v="4664"/>
    <n v="0"/>
    <n v="60"/>
    <n v="1066"/>
    <n v="2"/>
    <n v="80"/>
    <n v="5872"/>
    <x v="69"/>
    <n v="0"/>
    <n v="544"/>
    <n v="2439"/>
    <n v="976"/>
    <n v="8311"/>
    <n v="0"/>
    <n v="0"/>
    <x v="80"/>
    <n v="9287"/>
    <n v="5872"/>
    <x v="0"/>
  </r>
  <r>
    <x v="0"/>
    <b v="0"/>
    <b v="0"/>
    <n v="5922"/>
    <n v="0"/>
    <n v="0"/>
    <n v="1428"/>
    <n v="0"/>
    <n v="28"/>
    <n v="7378"/>
    <x v="70"/>
    <n v="0"/>
    <n v="758"/>
    <n v="2742"/>
    <n v="1214"/>
    <n v="10120"/>
    <n v="0"/>
    <n v="0"/>
    <x v="81"/>
    <n v="11334"/>
    <n v="7378"/>
    <x v="0"/>
  </r>
  <r>
    <x v="0"/>
    <b v="0"/>
    <b v="0"/>
    <n v="8548"/>
    <n v="0"/>
    <n v="175"/>
    <n v="1452"/>
    <n v="0"/>
    <n v="0"/>
    <n v="10175"/>
    <x v="71"/>
    <n v="0"/>
    <n v="1588"/>
    <n v="5223"/>
    <n v="1193"/>
    <n v="15398"/>
    <n v="0"/>
    <n v="0"/>
    <x v="82"/>
    <n v="16591"/>
    <n v="10175"/>
    <x v="0"/>
  </r>
  <r>
    <x v="0"/>
    <b v="0"/>
    <b v="0"/>
    <n v="8129"/>
    <n v="0"/>
    <n v="240"/>
    <n v="1147"/>
    <n v="0"/>
    <n v="0"/>
    <n v="9516"/>
    <x v="72"/>
    <n v="0"/>
    <n v="1908"/>
    <n v="6110"/>
    <n v="885"/>
    <n v="15626"/>
    <n v="0"/>
    <n v="0"/>
    <x v="83"/>
    <n v="16511"/>
    <n v="9516"/>
    <x v="0"/>
  </r>
  <r>
    <x v="0"/>
    <b v="0"/>
    <b v="0"/>
    <n v="7975"/>
    <n v="0"/>
    <n v="400"/>
    <n v="1396"/>
    <n v="0"/>
    <n v="0"/>
    <n v="9771"/>
    <x v="73"/>
    <n v="0"/>
    <n v="1648"/>
    <n v="6663"/>
    <n v="868"/>
    <n v="16434"/>
    <n v="0"/>
    <n v="0"/>
    <x v="84"/>
    <n v="17302"/>
    <n v="9771"/>
    <x v="0"/>
  </r>
  <r>
    <x v="0"/>
    <b v="0"/>
    <b v="0"/>
    <n v="7809"/>
    <n v="0"/>
    <n v="414"/>
    <n v="1569"/>
    <n v="0"/>
    <n v="0"/>
    <n v="9792"/>
    <x v="74"/>
    <n v="0"/>
    <n v="2451"/>
    <n v="7656"/>
    <n v="1179"/>
    <n v="17448"/>
    <n v="0"/>
    <n v="0"/>
    <x v="85"/>
    <n v="18627"/>
    <n v="9792"/>
    <x v="0"/>
  </r>
  <r>
    <x v="0"/>
    <b v="0"/>
    <b v="0"/>
    <n v="7327"/>
    <n v="0"/>
    <n v="33"/>
    <n v="1207"/>
    <n v="0"/>
    <n v="128"/>
    <n v="8695"/>
    <x v="75"/>
    <n v="0"/>
    <n v="43"/>
    <n v="3207"/>
    <n v="1501"/>
    <n v="11902"/>
    <n v="0"/>
    <n v="0"/>
    <x v="86"/>
    <n v="13403"/>
    <n v="8695"/>
    <x v="0"/>
  </r>
  <r>
    <x v="0"/>
    <b v="0"/>
    <b v="0"/>
    <n v="6933"/>
    <n v="30"/>
    <n v="90"/>
    <n v="1164"/>
    <n v="35"/>
    <n v="102"/>
    <n v="8354"/>
    <x v="76"/>
    <n v="0"/>
    <n v="923"/>
    <n v="4361"/>
    <n v="2007"/>
    <n v="12715"/>
    <n v="0"/>
    <n v="0"/>
    <x v="87"/>
    <n v="14722"/>
    <n v="8354"/>
    <x v="0"/>
  </r>
  <r>
    <x v="0"/>
    <b v="0"/>
    <b v="0"/>
    <n v="8321"/>
    <n v="0"/>
    <n v="0"/>
    <n v="875"/>
    <n v="0"/>
    <n v="0"/>
    <n v="9196"/>
    <x v="77"/>
    <n v="16"/>
    <n v="493"/>
    <n v="2569"/>
    <n v="2524"/>
    <n v="11765"/>
    <n v="0"/>
    <n v="0"/>
    <x v="88"/>
    <n v="14289"/>
    <n v="9196"/>
    <x v="0"/>
  </r>
  <r>
    <x v="0"/>
    <b v="0"/>
    <b v="0"/>
    <n v="3075"/>
    <n v="0"/>
    <n v="0"/>
    <n v="959"/>
    <n v="0"/>
    <n v="0"/>
    <n v="4034"/>
    <x v="78"/>
    <n v="0"/>
    <n v="5"/>
    <n v="445"/>
    <n v="988"/>
    <n v="4479"/>
    <n v="0"/>
    <n v="0"/>
    <x v="89"/>
    <n v="5467"/>
    <n v="4034"/>
    <x v="0"/>
  </r>
  <r>
    <x v="0"/>
    <b v="0"/>
    <b v="0"/>
    <n v="4241"/>
    <n v="0"/>
    <n v="0"/>
    <n v="1133"/>
    <n v="0"/>
    <n v="0"/>
    <n v="5374"/>
    <x v="79"/>
    <n v="0"/>
    <n v="0"/>
    <n v="759"/>
    <n v="1208"/>
    <n v="6133"/>
    <n v="0"/>
    <n v="0"/>
    <x v="90"/>
    <n v="7341"/>
    <n v="5374"/>
    <x v="2"/>
  </r>
  <r>
    <x v="0"/>
    <b v="0"/>
    <b v="0"/>
    <n v="1865"/>
    <n v="0"/>
    <n v="0"/>
    <n v="543"/>
    <n v="0"/>
    <n v="0"/>
    <n v="2408"/>
    <x v="80"/>
    <n v="0"/>
    <n v="6"/>
    <n v="368"/>
    <n v="508"/>
    <n v="2776"/>
    <n v="4"/>
    <n v="0"/>
    <x v="91"/>
    <n v="3288"/>
    <n v="2408"/>
    <x v="2"/>
  </r>
  <r>
    <x v="0"/>
    <b v="0"/>
    <b v="0"/>
    <n v="3621"/>
    <n v="0"/>
    <n v="0"/>
    <n v="2746"/>
    <n v="0"/>
    <n v="0"/>
    <n v="6367"/>
    <x v="81"/>
    <n v="0"/>
    <n v="14"/>
    <n v="1017"/>
    <n v="1038"/>
    <n v="7384"/>
    <n v="0"/>
    <n v="0"/>
    <x v="92"/>
    <n v="8422"/>
    <n v="6367"/>
    <x v="2"/>
  </r>
  <r>
    <x v="0"/>
    <b v="0"/>
    <b v="0"/>
    <n v="5300"/>
    <n v="0"/>
    <n v="3"/>
    <n v="991"/>
    <n v="0"/>
    <n v="0"/>
    <n v="6294"/>
    <x v="38"/>
    <n v="1840"/>
    <n v="25"/>
    <n v="1865"/>
    <n v="1115"/>
    <n v="8159"/>
    <n v="24"/>
    <n v="0"/>
    <x v="93"/>
    <n v="9298"/>
    <n v="6294"/>
    <x v="2"/>
  </r>
  <r>
    <x v="0"/>
    <b v="0"/>
    <b v="0"/>
    <n v="8607"/>
    <n v="0"/>
    <n v="9"/>
    <n v="1743"/>
    <n v="0"/>
    <n v="0"/>
    <n v="10359"/>
    <x v="82"/>
    <n v="0"/>
    <n v="43"/>
    <n v="3524"/>
    <n v="1259"/>
    <n v="13883"/>
    <n v="5"/>
    <n v="0"/>
    <x v="94"/>
    <n v="15147"/>
    <n v="10359"/>
    <x v="2"/>
  </r>
  <r>
    <x v="0"/>
    <b v="0"/>
    <b v="0"/>
    <n v="6189"/>
    <n v="0"/>
    <n v="13"/>
    <n v="1613"/>
    <n v="0"/>
    <n v="0"/>
    <n v="7815"/>
    <x v="83"/>
    <n v="0"/>
    <n v="56"/>
    <n v="3635"/>
    <n v="681"/>
    <n v="11450"/>
    <n v="8"/>
    <n v="0"/>
    <x v="95"/>
    <n v="12139"/>
    <n v="7815"/>
    <x v="2"/>
  </r>
  <r>
    <x v="0"/>
    <b v="0"/>
    <b v="0"/>
    <n v="8155"/>
    <n v="3"/>
    <n v="18"/>
    <n v="1767"/>
    <n v="0"/>
    <n v="0"/>
    <n v="9943"/>
    <x v="84"/>
    <n v="0"/>
    <n v="70"/>
    <n v="5222"/>
    <n v="870"/>
    <n v="15165"/>
    <n v="10"/>
    <n v="0"/>
    <x v="96"/>
    <n v="16045"/>
    <n v="9943"/>
    <x v="2"/>
  </r>
  <r>
    <x v="0"/>
    <b v="0"/>
    <b v="0"/>
    <n v="10486"/>
    <n v="3"/>
    <n v="8"/>
    <n v="9615"/>
    <n v="0"/>
    <n v="0"/>
    <n v="20112"/>
    <x v="85"/>
    <n v="0"/>
    <n v="58"/>
    <n v="5779"/>
    <n v="1150"/>
    <n v="25891"/>
    <n v="16"/>
    <n v="0"/>
    <x v="97"/>
    <n v="27057"/>
    <n v="20112"/>
    <x v="2"/>
  </r>
  <r>
    <x v="0"/>
    <b v="0"/>
    <b v="0"/>
    <n v="9577"/>
    <n v="0"/>
    <n v="6"/>
    <n v="6642"/>
    <n v="0"/>
    <n v="0"/>
    <n v="16225"/>
    <x v="86"/>
    <n v="0"/>
    <n v="45"/>
    <n v="3169"/>
    <n v="1297"/>
    <n v="19394"/>
    <n v="8"/>
    <n v="0"/>
    <x v="98"/>
    <n v="20699"/>
    <n v="16225"/>
    <x v="2"/>
  </r>
  <r>
    <x v="0"/>
    <b v="0"/>
    <b v="0"/>
    <n v="7321"/>
    <n v="0"/>
    <n v="0"/>
    <n v="1341"/>
    <n v="0"/>
    <n v="0"/>
    <n v="8662"/>
    <x v="87"/>
    <n v="0"/>
    <n v="40"/>
    <n v="2707"/>
    <n v="1592"/>
    <n v="11369"/>
    <n v="11"/>
    <n v="0"/>
    <x v="99"/>
    <n v="12972"/>
    <n v="8662"/>
    <x v="2"/>
  </r>
  <r>
    <x v="0"/>
    <b v="0"/>
    <b v="0"/>
    <n v="6308"/>
    <n v="0"/>
    <n v="0"/>
    <n v="1613"/>
    <n v="0"/>
    <n v="0"/>
    <n v="7921"/>
    <x v="88"/>
    <n v="0"/>
    <n v="4"/>
    <n v="1174"/>
    <n v="1450"/>
    <n v="9095"/>
    <n v="2"/>
    <n v="0"/>
    <x v="100"/>
    <n v="10547"/>
    <n v="7921"/>
    <x v="2"/>
  </r>
  <r>
    <x v="0"/>
    <b v="0"/>
    <b v="0"/>
    <n v="2674"/>
    <n v="0"/>
    <n v="0"/>
    <n v="806"/>
    <n v="0"/>
    <n v="0"/>
    <n v="3480"/>
    <x v="89"/>
    <n v="0"/>
    <n v="0"/>
    <n v="213"/>
    <n v="642"/>
    <n v="3693"/>
    <n v="0"/>
    <n v="0"/>
    <x v="101"/>
    <n v="4335"/>
    <n v="3480"/>
    <x v="2"/>
  </r>
  <r>
    <x v="0"/>
    <b v="0"/>
    <b v="0"/>
    <n v="1983"/>
    <n v="0"/>
    <n v="0"/>
    <n v="574"/>
    <n v="0"/>
    <n v="0"/>
    <n v="2557"/>
    <x v="90"/>
    <n v="0"/>
    <n v="0"/>
    <n v="169"/>
    <n v="464"/>
    <n v="2726"/>
    <n v="0"/>
    <n v="0"/>
    <x v="102"/>
    <n v="3190"/>
    <n v="2557"/>
    <x v="1"/>
  </r>
  <r>
    <x v="0"/>
    <b v="0"/>
    <b v="0"/>
    <n v="1514"/>
    <n v="0"/>
    <n v="0"/>
    <n v="255"/>
    <n v="0"/>
    <n v="0"/>
    <n v="1769"/>
    <x v="91"/>
    <n v="0"/>
    <n v="0"/>
    <n v="303"/>
    <n v="336"/>
    <n v="2072"/>
    <n v="0"/>
    <n v="0"/>
    <x v="103"/>
    <n v="2408"/>
    <n v="1769"/>
    <x v="1"/>
  </r>
  <r>
    <x v="0"/>
    <b v="0"/>
    <b v="0"/>
    <n v="2717"/>
    <n v="0"/>
    <n v="0"/>
    <n v="56"/>
    <n v="0"/>
    <n v="0"/>
    <n v="2773"/>
    <x v="92"/>
    <n v="0"/>
    <n v="0"/>
    <n v="534"/>
    <n v="483"/>
    <n v="3307"/>
    <n v="0"/>
    <n v="0"/>
    <x v="104"/>
    <n v="3790"/>
    <n v="2773"/>
    <x v="1"/>
  </r>
  <r>
    <x v="0"/>
    <b v="0"/>
    <b v="0"/>
    <n v="3927"/>
    <n v="0"/>
    <n v="0"/>
    <n v="941"/>
    <n v="0"/>
    <n v="0"/>
    <n v="4868"/>
    <x v="93"/>
    <n v="0"/>
    <n v="0"/>
    <n v="1001"/>
    <n v="0"/>
    <n v="5869"/>
    <n v="0"/>
    <n v="0"/>
    <x v="105"/>
    <n v="5869"/>
    <n v="4868"/>
    <x v="1"/>
  </r>
  <r>
    <x v="0"/>
    <b v="0"/>
    <b v="0"/>
    <n v="6365"/>
    <n v="0"/>
    <n v="5"/>
    <n v="1322"/>
    <n v="0"/>
    <n v="2"/>
    <n v="7694"/>
    <x v="94"/>
    <n v="0"/>
    <n v="3"/>
    <n v="2497"/>
    <n v="818"/>
    <n v="10191"/>
    <n v="3"/>
    <n v="0"/>
    <x v="106"/>
    <n v="11012"/>
    <n v="7694"/>
    <x v="1"/>
  </r>
  <r>
    <x v="0"/>
    <b v="0"/>
    <b v="0"/>
    <n v="5835"/>
    <n v="0"/>
    <n v="1"/>
    <n v="1294"/>
    <n v="0"/>
    <n v="3"/>
    <n v="7133"/>
    <x v="95"/>
    <n v="0"/>
    <n v="39"/>
    <n v="2540"/>
    <n v="515"/>
    <n v="9673"/>
    <n v="16"/>
    <n v="0"/>
    <x v="107"/>
    <n v="10204"/>
    <n v="7133"/>
    <x v="1"/>
  </r>
  <r>
    <x v="0"/>
    <b v="0"/>
    <b v="0"/>
    <n v="10199"/>
    <n v="0"/>
    <n v="6"/>
    <n v="1800"/>
    <n v="0"/>
    <n v="0"/>
    <n v="12005"/>
    <x v="96"/>
    <n v="0"/>
    <n v="73"/>
    <n v="5357"/>
    <n v="849"/>
    <n v="17362"/>
    <n v="8"/>
    <n v="0"/>
    <x v="108"/>
    <n v="18219"/>
    <n v="12005"/>
    <x v="1"/>
  </r>
  <r>
    <x v="0"/>
    <b v="0"/>
    <b v="0"/>
    <n v="5806"/>
    <n v="0"/>
    <n v="4"/>
    <n v="1644"/>
    <n v="0"/>
    <n v="0"/>
    <n v="7454"/>
    <x v="97"/>
    <n v="0"/>
    <n v="52"/>
    <n v="3550"/>
    <n v="671"/>
    <n v="11004"/>
    <n v="13"/>
    <n v="0"/>
    <x v="109"/>
    <n v="11688"/>
    <n v="7454"/>
    <x v="1"/>
  </r>
  <r>
    <x v="0"/>
    <b v="0"/>
    <b v="0"/>
    <n v="7698"/>
    <n v="0"/>
    <n v="14"/>
    <n v="1051"/>
    <n v="0"/>
    <n v="2"/>
    <n v="8765"/>
    <x v="98"/>
    <n v="0"/>
    <n v="49"/>
    <n v="2346"/>
    <n v="1254"/>
    <n v="11111"/>
    <n v="27"/>
    <n v="0"/>
    <x v="110"/>
    <n v="12392"/>
    <n v="8765"/>
    <x v="1"/>
  </r>
  <r>
    <x v="0"/>
    <b v="0"/>
    <b v="0"/>
    <n v="4667"/>
    <n v="0"/>
    <n v="0"/>
    <n v="865"/>
    <n v="0"/>
    <n v="0"/>
    <n v="5532"/>
    <x v="99"/>
    <n v="0"/>
    <n v="9"/>
    <n v="1677"/>
    <n v="1282"/>
    <n v="7209"/>
    <n v="3"/>
    <n v="0"/>
    <x v="111"/>
    <n v="8494"/>
    <n v="5532"/>
    <x v="1"/>
  </r>
  <r>
    <x v="0"/>
    <b v="0"/>
    <b v="0"/>
    <n v="3958"/>
    <n v="0"/>
    <n v="0"/>
    <n v="603"/>
    <n v="0"/>
    <n v="0"/>
    <n v="4561"/>
    <x v="100"/>
    <n v="0"/>
    <n v="0"/>
    <n v="594"/>
    <n v="1275"/>
    <n v="5155"/>
    <n v="5"/>
    <n v="0"/>
    <x v="112"/>
    <n v="6435"/>
    <n v="4561"/>
    <x v="1"/>
  </r>
  <r>
    <x v="0"/>
    <b v="0"/>
    <b v="0"/>
    <n v="1598"/>
    <n v="0"/>
    <n v="0"/>
    <n v="455"/>
    <n v="0"/>
    <n v="0"/>
    <n v="2053"/>
    <x v="101"/>
    <n v="0"/>
    <n v="0"/>
    <n v="174"/>
    <n v="507"/>
    <n v="2227"/>
    <n v="1"/>
    <n v="0"/>
    <x v="113"/>
    <n v="2735"/>
    <n v="2053"/>
    <x v="1"/>
  </r>
  <r>
    <x v="0"/>
    <b v="0"/>
    <b v="0"/>
    <n v="1388"/>
    <n v="0"/>
    <n v="0"/>
    <n v="458"/>
    <n v="0"/>
    <n v="0"/>
    <n v="1846"/>
    <x v="102"/>
    <n v="0"/>
    <n v="0"/>
    <n v="171"/>
    <n v="414"/>
    <n v="2017"/>
    <n v="0"/>
    <n v="0"/>
    <x v="114"/>
    <n v="2431"/>
    <n v="1846"/>
    <x v="1"/>
  </r>
  <r>
    <x v="0"/>
    <b v="0"/>
    <b v="0"/>
    <n v="1457"/>
    <n v="0"/>
    <n v="0"/>
    <n v="562"/>
    <n v="0"/>
    <n v="0"/>
    <n v="2019"/>
    <x v="103"/>
    <n v="0"/>
    <n v="0"/>
    <n v="246"/>
    <n v="403"/>
    <n v="2265"/>
    <n v="3"/>
    <n v="0"/>
    <x v="115"/>
    <n v="2671"/>
    <n v="2019"/>
    <x v="1"/>
  </r>
  <r>
    <x v="0"/>
    <b v="0"/>
    <b v="0"/>
    <n v="784"/>
    <n v="0"/>
    <n v="0"/>
    <n v="453"/>
    <n v="0"/>
    <n v="0"/>
    <n v="1237"/>
    <x v="104"/>
    <n v="0"/>
    <n v="1"/>
    <n v="225"/>
    <n v="193"/>
    <n v="1462"/>
    <n v="0"/>
    <n v="0"/>
    <x v="116"/>
    <n v="1655"/>
    <n v="1237"/>
    <x v="1"/>
  </r>
  <r>
    <x v="0"/>
    <b v="0"/>
    <b v="0"/>
    <n v="1907"/>
    <n v="0"/>
    <n v="2"/>
    <n v="928"/>
    <n v="11"/>
    <n v="0"/>
    <n v="2848"/>
    <x v="105"/>
    <n v="0"/>
    <n v="20"/>
    <n v="860"/>
    <n v="383"/>
    <n v="3708"/>
    <n v="0"/>
    <n v="0"/>
    <x v="117"/>
    <n v="4091"/>
    <n v="2848"/>
    <x v="1"/>
  </r>
  <r>
    <x v="0"/>
    <b v="0"/>
    <b v="0"/>
    <n v="3027"/>
    <n v="0"/>
    <n v="0"/>
    <n v="1130"/>
    <n v="0"/>
    <n v="4"/>
    <n v="4161"/>
    <x v="106"/>
    <n v="0"/>
    <n v="41"/>
    <n v="1779"/>
    <n v="474"/>
    <n v="5940"/>
    <n v="1"/>
    <n v="0"/>
    <x v="118"/>
    <n v="6415"/>
    <n v="4161"/>
    <x v="1"/>
  </r>
  <r>
    <x v="0"/>
    <b v="0"/>
    <b v="0"/>
    <n v="3895"/>
    <n v="0"/>
    <n v="0"/>
    <n v="995"/>
    <n v="0"/>
    <n v="0"/>
    <n v="4890"/>
    <x v="107"/>
    <n v="0"/>
    <n v="35"/>
    <n v="1418"/>
    <n v="443"/>
    <n v="6308"/>
    <n v="3"/>
    <n v="0"/>
    <x v="119"/>
    <n v="6754"/>
    <n v="4890"/>
    <x v="1"/>
  </r>
  <r>
    <x v="0"/>
    <b v="0"/>
    <b v="0"/>
    <n v="6816"/>
    <n v="0"/>
    <n v="9"/>
    <n v="2593"/>
    <n v="0"/>
    <n v="0"/>
    <n v="9418"/>
    <x v="108"/>
    <n v="0"/>
    <n v="61"/>
    <n v="3323"/>
    <n v="720"/>
    <n v="12741"/>
    <n v="6"/>
    <n v="0"/>
    <x v="120"/>
    <n v="13467"/>
    <n v="9418"/>
    <x v="1"/>
  </r>
  <r>
    <x v="0"/>
    <b v="0"/>
    <b v="0"/>
    <n v="3662"/>
    <n v="0"/>
    <n v="11"/>
    <n v="998"/>
    <n v="0"/>
    <n v="0"/>
    <n v="4671"/>
    <x v="109"/>
    <n v="0"/>
    <n v="49"/>
    <n v="2090"/>
    <n v="508"/>
    <n v="6761"/>
    <n v="5"/>
    <n v="0"/>
    <x v="121"/>
    <n v="7274"/>
    <n v="4671"/>
    <x v="1"/>
  </r>
  <r>
    <x v="0"/>
    <b v="0"/>
    <b v="0"/>
    <n v="4448"/>
    <n v="0"/>
    <n v="8"/>
    <n v="725"/>
    <n v="0"/>
    <n v="1"/>
    <n v="5182"/>
    <x v="110"/>
    <n v="0"/>
    <n v="102"/>
    <n v="1891"/>
    <n v="8"/>
    <n v="7073"/>
    <n v="1"/>
    <n v="0"/>
    <x v="122"/>
    <n v="7082"/>
    <n v="5182"/>
    <x v="1"/>
  </r>
  <r>
    <x v="0"/>
    <b v="0"/>
    <b v="0"/>
    <n v="3978"/>
    <n v="0"/>
    <n v="0"/>
    <n v="832"/>
    <n v="0"/>
    <n v="0"/>
    <n v="4810"/>
    <x v="111"/>
    <n v="0"/>
    <n v="0"/>
    <n v="988"/>
    <n v="1018"/>
    <n v="5798"/>
    <n v="5"/>
    <n v="0"/>
    <x v="123"/>
    <n v="6821"/>
    <n v="4810"/>
    <x v="1"/>
  </r>
  <r>
    <x v="0"/>
    <b v="0"/>
    <b v="0"/>
    <n v="3247"/>
    <n v="0"/>
    <n v="0"/>
    <n v="673"/>
    <n v="0"/>
    <n v="2"/>
    <n v="3922"/>
    <x v="112"/>
    <n v="0"/>
    <n v="0"/>
    <n v="208"/>
    <n v="912"/>
    <n v="4130"/>
    <n v="1"/>
    <n v="0"/>
    <x v="124"/>
    <n v="5043"/>
    <n v="3922"/>
    <x v="1"/>
  </r>
  <r>
    <x v="0"/>
    <b v="0"/>
    <b v="0"/>
    <n v="2659"/>
    <n v="0"/>
    <n v="0"/>
    <n v="687"/>
    <n v="0"/>
    <n v="0"/>
    <n v="3346"/>
    <x v="113"/>
    <n v="0"/>
    <n v="0"/>
    <n v="70"/>
    <n v="863"/>
    <n v="3416"/>
    <n v="0"/>
    <n v="0"/>
    <x v="125"/>
    <n v="4279"/>
    <n v="3346"/>
    <x v="1"/>
  </r>
  <r>
    <x v="0"/>
    <b v="0"/>
    <b v="0"/>
    <n v="1524"/>
    <n v="0"/>
    <n v="0"/>
    <n v="656"/>
    <n v="0"/>
    <n v="0"/>
    <n v="2180"/>
    <x v="114"/>
    <n v="0"/>
    <n v="0"/>
    <n v="140"/>
    <n v="434"/>
    <n v="2320"/>
    <n v="1"/>
    <n v="0"/>
    <x v="126"/>
    <n v="2755"/>
    <n v="2180"/>
    <x v="1"/>
  </r>
  <r>
    <x v="0"/>
    <b v="0"/>
    <b v="0"/>
    <n v="1471"/>
    <n v="0"/>
    <n v="0"/>
    <n v="776"/>
    <n v="0"/>
    <n v="0"/>
    <n v="2247"/>
    <x v="115"/>
    <n v="0"/>
    <n v="0"/>
    <n v="218"/>
    <n v="379"/>
    <n v="2465"/>
    <n v="5"/>
    <n v="0"/>
    <x v="127"/>
    <n v="2849"/>
    <n v="2247"/>
    <x v="1"/>
  </r>
  <r>
    <x v="0"/>
    <b v="0"/>
    <b v="0"/>
    <n v="1150"/>
    <n v="0"/>
    <n v="0"/>
    <n v="829"/>
    <n v="0"/>
    <n v="0"/>
    <n v="1979"/>
    <x v="116"/>
    <n v="0"/>
    <n v="0"/>
    <n v="196"/>
    <n v="288"/>
    <n v="2175"/>
    <n v="1"/>
    <n v="0"/>
    <x v="128"/>
    <n v="2464"/>
    <n v="1979"/>
    <x v="1"/>
  </r>
  <r>
    <x v="0"/>
    <b v="0"/>
    <b v="0"/>
    <n v="3094"/>
    <n v="0"/>
    <n v="0"/>
    <n v="1051"/>
    <n v="0"/>
    <n v="1"/>
    <n v="4146"/>
    <x v="117"/>
    <n v="0"/>
    <n v="0"/>
    <n v="493"/>
    <n v="582"/>
    <n v="4639"/>
    <n v="4"/>
    <n v="0"/>
    <x v="129"/>
    <n v="5225"/>
    <n v="4146"/>
    <x v="1"/>
  </r>
  <r>
    <x v="0"/>
    <b v="0"/>
    <b v="0"/>
    <n v="5460"/>
    <n v="0"/>
    <n v="0"/>
    <n v="1188"/>
    <n v="0"/>
    <n v="3"/>
    <n v="6651"/>
    <x v="118"/>
    <n v="0"/>
    <n v="0"/>
    <n v="1285"/>
    <n v="994"/>
    <n v="7936"/>
    <n v="4"/>
    <n v="0"/>
    <x v="130"/>
    <n v="8934"/>
    <n v="6651"/>
    <x v="1"/>
  </r>
  <r>
    <x v="0"/>
    <b v="0"/>
    <b v="0"/>
    <n v="4461"/>
    <n v="0"/>
    <n v="3"/>
    <n v="1415"/>
    <n v="0"/>
    <n v="0"/>
    <n v="5879"/>
    <x v="119"/>
    <n v="0"/>
    <n v="0"/>
    <n v="1347"/>
    <n v="459"/>
    <n v="7226"/>
    <n v="9"/>
    <n v="0"/>
    <x v="131"/>
    <n v="7694"/>
    <n v="5879"/>
    <x v="1"/>
  </r>
  <r>
    <x v="0"/>
    <b v="0"/>
    <b v="0"/>
    <n v="5936"/>
    <n v="0"/>
    <n v="178"/>
    <n v="1400"/>
    <n v="0"/>
    <n v="0"/>
    <n v="7514"/>
    <x v="120"/>
    <n v="0"/>
    <n v="0"/>
    <n v="2503"/>
    <n v="717"/>
    <n v="10017"/>
    <n v="11"/>
    <n v="0"/>
    <x v="132"/>
    <n v="10745"/>
    <n v="7514"/>
    <x v="1"/>
  </r>
  <r>
    <x v="0"/>
    <b v="0"/>
    <b v="0"/>
    <n v="4172"/>
    <n v="0"/>
    <n v="0"/>
    <n v="113"/>
    <n v="21"/>
    <n v="0"/>
    <n v="4306"/>
    <x v="121"/>
    <n v="506"/>
    <n v="0"/>
    <n v="3026"/>
    <n v="558"/>
    <n v="7332"/>
    <n v="0"/>
    <n v="0"/>
    <x v="133"/>
    <n v="7890"/>
    <n v="4306"/>
    <x v="1"/>
  </r>
  <r>
    <x v="0"/>
    <b v="0"/>
    <b v="0"/>
    <n v="3399"/>
    <n v="0"/>
    <n v="0"/>
    <n v="198"/>
    <n v="0"/>
    <n v="0"/>
    <n v="3597"/>
    <x v="122"/>
    <n v="238"/>
    <n v="0"/>
    <n v="1520"/>
    <n v="0"/>
    <n v="5117"/>
    <n v="667"/>
    <n v="0"/>
    <x v="134"/>
    <n v="5784"/>
    <n v="3597"/>
    <x v="1"/>
  </r>
  <r>
    <x v="0"/>
    <b v="0"/>
    <b v="0"/>
    <n v="2590"/>
    <n v="0"/>
    <n v="0"/>
    <n v="193"/>
    <n v="0"/>
    <n v="0"/>
    <n v="2783"/>
    <x v="123"/>
    <n v="0"/>
    <n v="0"/>
    <n v="860"/>
    <n v="765"/>
    <n v="3643"/>
    <n v="0"/>
    <n v="0"/>
    <x v="135"/>
    <n v="4408"/>
    <n v="2783"/>
    <x v="1"/>
  </r>
  <r>
    <x v="0"/>
    <b v="0"/>
    <b v="0"/>
    <n v="3241"/>
    <n v="0"/>
    <n v="0"/>
    <n v="255"/>
    <n v="0"/>
    <n v="0"/>
    <n v="3496"/>
    <x v="124"/>
    <n v="0"/>
    <n v="0"/>
    <n v="249"/>
    <n v="1057"/>
    <n v="3745"/>
    <n v="0"/>
    <n v="0"/>
    <x v="136"/>
    <n v="4802"/>
    <n v="3496"/>
    <x v="1"/>
  </r>
  <r>
    <x v="0"/>
    <b v="0"/>
    <b v="0"/>
    <n v="920"/>
    <n v="0"/>
    <n v="0"/>
    <n v="10"/>
    <n v="0"/>
    <n v="0"/>
    <n v="930"/>
    <x v="125"/>
    <n v="0"/>
    <n v="0"/>
    <n v="48"/>
    <n v="297"/>
    <n v="978"/>
    <n v="0"/>
    <n v="0"/>
    <x v="137"/>
    <n v="1275"/>
    <n v="930"/>
    <x v="1"/>
  </r>
  <r>
    <x v="0"/>
    <b v="0"/>
    <b v="0"/>
    <n v="773"/>
    <n v="0"/>
    <n v="0"/>
    <n v="195"/>
    <n v="0"/>
    <n v="0"/>
    <n v="968"/>
    <x v="126"/>
    <n v="39"/>
    <n v="0"/>
    <n v="120"/>
    <n v="231"/>
    <n v="1088"/>
    <n v="0"/>
    <n v="0"/>
    <x v="138"/>
    <n v="1319"/>
    <n v="968"/>
    <x v="3"/>
  </r>
  <r>
    <x v="0"/>
    <b v="0"/>
    <b v="0"/>
    <n v="1249"/>
    <n v="0"/>
    <n v="0"/>
    <n v="296"/>
    <n v="0"/>
    <n v="0"/>
    <n v="1545"/>
    <x v="127"/>
    <n v="37"/>
    <n v="0"/>
    <n v="379"/>
    <n v="329"/>
    <n v="1924"/>
    <n v="0"/>
    <n v="0"/>
    <x v="139"/>
    <n v="2253"/>
    <n v="1545"/>
    <x v="3"/>
  </r>
  <r>
    <x v="0"/>
    <b v="0"/>
    <b v="0"/>
    <n v="2740"/>
    <n v="0"/>
    <n v="0"/>
    <n v="595"/>
    <n v="0"/>
    <n v="0"/>
    <n v="3335"/>
    <x v="128"/>
    <n v="69"/>
    <n v="0"/>
    <n v="559"/>
    <n v="702"/>
    <n v="3894"/>
    <n v="0"/>
    <n v="0"/>
    <x v="140"/>
    <n v="4596"/>
    <n v="3335"/>
    <x v="3"/>
  </r>
  <r>
    <x v="0"/>
    <b v="0"/>
    <b v="0"/>
    <n v="2224"/>
    <n v="0"/>
    <n v="0"/>
    <n v="569"/>
    <n v="0"/>
    <n v="0"/>
    <n v="2793"/>
    <x v="129"/>
    <n v="46"/>
    <n v="0"/>
    <n v="584"/>
    <n v="692"/>
    <n v="3377"/>
    <n v="0"/>
    <n v="0"/>
    <x v="141"/>
    <n v="4069"/>
    <n v="2793"/>
    <x v="3"/>
  </r>
  <r>
    <x v="0"/>
    <b v="0"/>
    <b v="0"/>
    <n v="2490"/>
    <n v="0"/>
    <n v="0"/>
    <n v="205"/>
    <n v="0"/>
    <n v="0"/>
    <n v="2695"/>
    <x v="130"/>
    <n v="16"/>
    <n v="0"/>
    <n v="657"/>
    <n v="401"/>
    <n v="3352"/>
    <n v="0"/>
    <n v="0"/>
    <x v="142"/>
    <n v="3753"/>
    <n v="2695"/>
    <x v="3"/>
  </r>
  <r>
    <x v="0"/>
    <b v="0"/>
    <b v="0"/>
    <n v="4714"/>
    <n v="0"/>
    <n v="0"/>
    <n v="216"/>
    <n v="0"/>
    <n v="0"/>
    <n v="4930"/>
    <x v="131"/>
    <n v="0"/>
    <n v="0"/>
    <n v="590"/>
    <n v="396"/>
    <n v="5520"/>
    <n v="0"/>
    <n v="0"/>
    <x v="143"/>
    <n v="5916"/>
    <n v="4930"/>
    <x v="3"/>
  </r>
  <r>
    <x v="0"/>
    <b v="0"/>
    <b v="0"/>
    <n v="6376"/>
    <n v="0"/>
    <n v="0"/>
    <n v="299"/>
    <n v="0"/>
    <n v="0"/>
    <n v="6675"/>
    <x v="132"/>
    <n v="0"/>
    <n v="0"/>
    <n v="1439"/>
    <n v="482"/>
    <n v="8114"/>
    <n v="0"/>
    <n v="0"/>
    <x v="144"/>
    <n v="8596"/>
    <n v="6675"/>
    <x v="3"/>
  </r>
  <r>
    <x v="0"/>
    <b v="0"/>
    <b v="0"/>
    <n v="3814"/>
    <n v="0"/>
    <n v="0"/>
    <n v="397"/>
    <n v="0"/>
    <n v="0"/>
    <n v="4211"/>
    <x v="133"/>
    <n v="0"/>
    <n v="0"/>
    <n v="1884"/>
    <n v="629"/>
    <n v="6095"/>
    <n v="0"/>
    <n v="0"/>
    <x v="145"/>
    <n v="6724"/>
    <n v="4211"/>
    <x v="3"/>
  </r>
  <r>
    <x v="0"/>
    <b v="0"/>
    <b v="0"/>
    <n v="3606"/>
    <n v="0"/>
    <n v="0"/>
    <n v="298"/>
    <n v="0"/>
    <n v="0"/>
    <n v="3904"/>
    <x v="134"/>
    <n v="0"/>
    <n v="0"/>
    <n v="649"/>
    <n v="625"/>
    <n v="4553"/>
    <n v="0"/>
    <n v="0"/>
    <x v="146"/>
    <n v="5178"/>
    <n v="3904"/>
    <x v="3"/>
  </r>
  <r>
    <x v="0"/>
    <b v="0"/>
    <b v="0"/>
    <n v="4155"/>
    <n v="0"/>
    <n v="0"/>
    <n v="275"/>
    <n v="0"/>
    <n v="0"/>
    <n v="4430"/>
    <x v="135"/>
    <n v="0"/>
    <n v="0"/>
    <n v="803"/>
    <n v="980"/>
    <n v="5233"/>
    <n v="0"/>
    <n v="0"/>
    <x v="147"/>
    <n v="6213"/>
    <n v="4430"/>
    <x v="3"/>
  </r>
  <r>
    <x v="0"/>
    <b v="0"/>
    <b v="0"/>
    <n v="5127"/>
    <n v="0"/>
    <n v="0"/>
    <n v="207"/>
    <n v="0"/>
    <n v="0"/>
    <n v="5334"/>
    <x v="136"/>
    <n v="0"/>
    <n v="0"/>
    <n v="535"/>
    <n v="1597"/>
    <n v="5869"/>
    <n v="0"/>
    <n v="0"/>
    <x v="148"/>
    <n v="7466"/>
    <n v="5334"/>
    <x v="3"/>
  </r>
  <r>
    <x v="0"/>
    <b v="0"/>
    <b v="0"/>
    <n v="1853"/>
    <n v="0"/>
    <n v="0"/>
    <n v="116"/>
    <n v="0"/>
    <n v="0"/>
    <n v="1969"/>
    <x v="137"/>
    <n v="0"/>
    <n v="0"/>
    <n v="143"/>
    <n v="599"/>
    <n v="2112"/>
    <n v="0"/>
    <n v="0"/>
    <x v="149"/>
    <n v="2711"/>
    <n v="1969"/>
    <x v="3"/>
  </r>
  <r>
    <x v="0"/>
    <b v="0"/>
    <b v="0"/>
    <n v="1304"/>
    <n v="0"/>
    <n v="0"/>
    <n v="228"/>
    <n v="0"/>
    <n v="0"/>
    <n v="1532"/>
    <x v="138"/>
    <n v="0"/>
    <n v="0"/>
    <n v="254"/>
    <n v="363"/>
    <n v="1786"/>
    <n v="0"/>
    <n v="0"/>
    <x v="150"/>
    <n v="2149"/>
    <n v="1532"/>
    <x v="4"/>
  </r>
  <r>
    <x v="0"/>
    <b v="0"/>
    <b v="0"/>
    <n v="1050"/>
    <n v="0"/>
    <n v="0"/>
    <n v="231"/>
    <n v="0"/>
    <n v="0"/>
    <n v="1281"/>
    <x v="139"/>
    <n v="0"/>
    <n v="0"/>
    <n v="235"/>
    <n v="276"/>
    <n v="1516"/>
    <n v="0"/>
    <n v="0"/>
    <x v="151"/>
    <n v="1792"/>
    <n v="1281"/>
    <x v="4"/>
  </r>
  <r>
    <x v="0"/>
    <b v="0"/>
    <b v="0"/>
    <n v="1753"/>
    <n v="0"/>
    <n v="0"/>
    <n v="554"/>
    <n v="0"/>
    <n v="0"/>
    <n v="2307"/>
    <x v="140"/>
    <n v="0"/>
    <n v="0"/>
    <n v="636"/>
    <n v="409"/>
    <n v="2943"/>
    <n v="0"/>
    <n v="0"/>
    <x v="152"/>
    <n v="3352"/>
    <n v="2307"/>
    <x v="4"/>
  </r>
  <r>
    <x v="0"/>
    <b v="0"/>
    <b v="0"/>
    <n v="2803"/>
    <n v="0"/>
    <n v="0"/>
    <n v="598"/>
    <n v="0"/>
    <n v="0"/>
    <n v="3401"/>
    <x v="141"/>
    <n v="0"/>
    <n v="0"/>
    <n v="1683"/>
    <n v="637"/>
    <n v="5084"/>
    <n v="0"/>
    <n v="0"/>
    <x v="153"/>
    <n v="5721"/>
    <n v="3401"/>
    <x v="4"/>
  </r>
  <r>
    <x v="0"/>
    <b v="0"/>
    <b v="0"/>
    <n v="4906"/>
    <n v="0"/>
    <n v="0"/>
    <n v="1232"/>
    <n v="0"/>
    <n v="0"/>
    <n v="6138"/>
    <x v="142"/>
    <n v="0"/>
    <n v="0"/>
    <n v="2582"/>
    <n v="619"/>
    <n v="8720"/>
    <n v="0"/>
    <n v="0"/>
    <x v="154"/>
    <n v="9339"/>
    <n v="6138"/>
    <x v="4"/>
  </r>
  <r>
    <x v="0"/>
    <b v="0"/>
    <b v="0"/>
    <n v="5695"/>
    <n v="0"/>
    <n v="0"/>
    <n v="675"/>
    <n v="0"/>
    <n v="0"/>
    <n v="6370"/>
    <x v="143"/>
    <n v="0"/>
    <n v="0"/>
    <n v="3903"/>
    <n v="432"/>
    <n v="10273"/>
    <n v="0"/>
    <n v="0"/>
    <x v="155"/>
    <n v="10705"/>
    <n v="6370"/>
    <x v="4"/>
  </r>
  <r>
    <x v="0"/>
    <b v="0"/>
    <b v="0"/>
    <n v="7288"/>
    <n v="0"/>
    <n v="0"/>
    <n v="523"/>
    <n v="0"/>
    <n v="0"/>
    <n v="7811"/>
    <x v="144"/>
    <n v="0"/>
    <n v="0"/>
    <n v="5561"/>
    <n v="550"/>
    <n v="13372"/>
    <n v="0"/>
    <n v="0"/>
    <x v="156"/>
    <n v="13922"/>
    <n v="7811"/>
    <x v="4"/>
  </r>
  <r>
    <x v="0"/>
    <b v="0"/>
    <b v="0"/>
    <n v="6841"/>
    <n v="0"/>
    <n v="0"/>
    <n v="614"/>
    <n v="0"/>
    <n v="0"/>
    <n v="7455"/>
    <x v="145"/>
    <n v="0"/>
    <n v="0"/>
    <n v="6378"/>
    <n v="674"/>
    <n v="13833"/>
    <n v="0"/>
    <n v="0"/>
    <x v="157"/>
    <n v="14507"/>
    <n v="7455"/>
    <x v="4"/>
  </r>
  <r>
    <x v="0"/>
    <b v="0"/>
    <b v="0"/>
    <n v="2578"/>
    <n v="0"/>
    <n v="0"/>
    <n v="809"/>
    <n v="0"/>
    <n v="0"/>
    <n v="3387"/>
    <x v="146"/>
    <n v="0"/>
    <n v="0"/>
    <n v="601"/>
    <n v="0"/>
    <n v="3988"/>
    <n v="0"/>
    <n v="0"/>
    <x v="158"/>
    <n v="3988"/>
    <n v="3387"/>
    <x v="4"/>
  </r>
  <r>
    <x v="0"/>
    <b v="0"/>
    <b v="0"/>
    <n v="3800"/>
    <n v="0"/>
    <n v="0"/>
    <n v="658"/>
    <n v="0"/>
    <n v="0"/>
    <n v="4458"/>
    <x v="147"/>
    <n v="0"/>
    <n v="0"/>
    <n v="1372"/>
    <n v="848"/>
    <n v="5830"/>
    <n v="0"/>
    <n v="0"/>
    <x v="159"/>
    <n v="6678"/>
    <n v="4458"/>
    <x v="4"/>
  </r>
  <r>
    <x v="0"/>
    <b v="0"/>
    <b v="0"/>
    <n v="3409"/>
    <n v="0"/>
    <n v="0"/>
    <n v="771"/>
    <n v="0"/>
    <n v="0"/>
    <n v="4180"/>
    <x v="148"/>
    <n v="0"/>
    <n v="0"/>
    <n v="812"/>
    <n v="1070"/>
    <n v="4992"/>
    <n v="0"/>
    <n v="0"/>
    <x v="160"/>
    <n v="6062"/>
    <n v="4180"/>
    <x v="4"/>
  </r>
  <r>
    <x v="0"/>
    <b v="0"/>
    <b v="0"/>
    <n v="1174"/>
    <n v="0"/>
    <n v="0"/>
    <n v="281"/>
    <n v="0"/>
    <n v="0"/>
    <n v="1455"/>
    <x v="115"/>
    <n v="0"/>
    <n v="0"/>
    <n v="218"/>
    <n v="396"/>
    <n v="1673"/>
    <n v="0"/>
    <n v="0"/>
    <x v="161"/>
    <n v="2069"/>
    <n v="1455"/>
    <x v="4"/>
  </r>
  <r>
    <x v="0"/>
    <b v="0"/>
    <b v="0"/>
    <n v="1274"/>
    <n v="0"/>
    <n v="0"/>
    <n v="377"/>
    <n v="0"/>
    <n v="0"/>
    <n v="1651"/>
    <x v="149"/>
    <n v="0"/>
    <n v="0"/>
    <n v="269"/>
    <n v="368"/>
    <n v="1920"/>
    <n v="0"/>
    <n v="0"/>
    <x v="162"/>
    <n v="2288"/>
    <n v="1651"/>
    <x v="4"/>
  </r>
  <r>
    <x v="0"/>
    <b v="0"/>
    <b v="0"/>
    <n v="1170"/>
    <n v="0"/>
    <n v="0"/>
    <n v="384"/>
    <n v="0"/>
    <n v="0"/>
    <n v="1554"/>
    <x v="150"/>
    <n v="0"/>
    <n v="0"/>
    <n v="899"/>
    <n v="264"/>
    <n v="2453"/>
    <n v="0"/>
    <n v="0"/>
    <x v="163"/>
    <n v="2717"/>
    <n v="1554"/>
    <x v="4"/>
  </r>
  <r>
    <x v="0"/>
    <b v="0"/>
    <b v="0"/>
    <n v="2834"/>
    <n v="0"/>
    <n v="0"/>
    <n v="802"/>
    <n v="0"/>
    <n v="0"/>
    <n v="3636"/>
    <x v="151"/>
    <n v="0"/>
    <n v="0"/>
    <n v="1064"/>
    <n v="697"/>
    <n v="4700"/>
    <n v="0"/>
    <n v="0"/>
    <x v="164"/>
    <n v="5397"/>
    <n v="3636"/>
    <x v="4"/>
  </r>
  <r>
    <x v="0"/>
    <b v="0"/>
    <b v="0"/>
    <n v="3458"/>
    <n v="0"/>
    <n v="0"/>
    <n v="838"/>
    <n v="0"/>
    <n v="0"/>
    <n v="4296"/>
    <x v="152"/>
    <n v="0"/>
    <n v="0"/>
    <n v="2094"/>
    <n v="774"/>
    <n v="6390"/>
    <n v="0"/>
    <n v="0"/>
    <x v="165"/>
    <n v="7164"/>
    <n v="4296"/>
    <x v="4"/>
  </r>
  <r>
    <x v="0"/>
    <b v="0"/>
    <b v="0"/>
    <n v="4068"/>
    <n v="0"/>
    <n v="0"/>
    <n v="802"/>
    <n v="0"/>
    <n v="0"/>
    <n v="4870"/>
    <x v="153"/>
    <n v="0"/>
    <n v="0"/>
    <n v="2736"/>
    <n v="586"/>
    <n v="7606"/>
    <n v="0"/>
    <n v="0"/>
    <x v="166"/>
    <n v="8192"/>
    <n v="4870"/>
    <x v="4"/>
  </r>
  <r>
    <x v="0"/>
    <b v="0"/>
    <b v="0"/>
    <n v="5012"/>
    <n v="0"/>
    <n v="0"/>
    <n v="353"/>
    <n v="0"/>
    <n v="0"/>
    <n v="5365"/>
    <x v="154"/>
    <n v="0"/>
    <n v="0"/>
    <n v="2979"/>
    <n v="411"/>
    <n v="8344"/>
    <n v="0"/>
    <n v="0"/>
    <x v="167"/>
    <n v="8755"/>
    <n v="5365"/>
    <x v="4"/>
  </r>
  <r>
    <x v="0"/>
    <b v="0"/>
    <b v="0"/>
    <n v="5440"/>
    <n v="0"/>
    <n v="0"/>
    <n v="370"/>
    <n v="0"/>
    <n v="0"/>
    <n v="5810"/>
    <x v="155"/>
    <n v="0"/>
    <n v="0"/>
    <n v="4746"/>
    <n v="546"/>
    <n v="10556"/>
    <n v="0"/>
    <n v="0"/>
    <x v="168"/>
    <n v="11102"/>
    <n v="5810"/>
    <x v="4"/>
  </r>
  <r>
    <x v="0"/>
    <b v="0"/>
    <b v="0"/>
    <n v="4875"/>
    <n v="0"/>
    <n v="0"/>
    <n v="485"/>
    <n v="0"/>
    <n v="0"/>
    <n v="5360"/>
    <x v="156"/>
    <n v="0"/>
    <n v="0"/>
    <n v="3839"/>
    <n v="607"/>
    <n v="9199"/>
    <n v="0"/>
    <n v="0"/>
    <x v="169"/>
    <n v="9806"/>
    <n v="5360"/>
    <x v="4"/>
  </r>
  <r>
    <x v="0"/>
    <b v="0"/>
    <b v="0"/>
    <n v="4309"/>
    <n v="0"/>
    <n v="0"/>
    <n v="766"/>
    <n v="0"/>
    <n v="0"/>
    <n v="5075"/>
    <x v="157"/>
    <n v="0"/>
    <n v="0"/>
    <n v="2369"/>
    <n v="761"/>
    <n v="7444"/>
    <n v="0"/>
    <n v="0"/>
    <x v="170"/>
    <n v="8205"/>
    <n v="5075"/>
    <x v="4"/>
  </r>
  <r>
    <x v="0"/>
    <b v="0"/>
    <b v="0"/>
    <n v="3522"/>
    <n v="0"/>
    <n v="0"/>
    <n v="806"/>
    <n v="0"/>
    <n v="0"/>
    <n v="4328"/>
    <x v="158"/>
    <n v="0"/>
    <n v="0"/>
    <n v="1848"/>
    <n v="925"/>
    <n v="6176"/>
    <n v="0"/>
    <n v="0"/>
    <x v="171"/>
    <n v="7101"/>
    <n v="4328"/>
    <x v="4"/>
  </r>
  <r>
    <x v="0"/>
    <b v="0"/>
    <b v="0"/>
    <n v="3060"/>
    <n v="0"/>
    <n v="0"/>
    <n v="852"/>
    <n v="0"/>
    <n v="0"/>
    <n v="3912"/>
    <x v="159"/>
    <n v="0"/>
    <n v="0"/>
    <n v="1022"/>
    <n v="966"/>
    <n v="4934"/>
    <n v="0"/>
    <n v="0"/>
    <x v="172"/>
    <n v="5900"/>
    <n v="3912"/>
    <x v="4"/>
  </r>
  <r>
    <x v="0"/>
    <b v="0"/>
    <b v="0"/>
    <n v="1266"/>
    <n v="0"/>
    <n v="0"/>
    <n v="422"/>
    <n v="0"/>
    <n v="0"/>
    <n v="1688"/>
    <x v="137"/>
    <n v="0"/>
    <n v="0"/>
    <n v="143"/>
    <n v="364"/>
    <n v="1831"/>
    <n v="0"/>
    <n v="0"/>
    <x v="173"/>
    <n v="2195"/>
    <n v="1688"/>
    <x v="4"/>
  </r>
  <r>
    <x v="0"/>
    <b v="0"/>
    <b v="0"/>
    <n v="1132"/>
    <n v="0"/>
    <n v="0"/>
    <n v="387"/>
    <n v="0"/>
    <n v="0"/>
    <n v="1519"/>
    <x v="160"/>
    <n v="0"/>
    <n v="0"/>
    <n v="708"/>
    <n v="290"/>
    <n v="2227"/>
    <n v="0"/>
    <n v="0"/>
    <x v="174"/>
    <n v="2517"/>
    <n v="1519"/>
    <x v="0"/>
  </r>
  <r>
    <x v="0"/>
    <b v="0"/>
    <b v="0"/>
    <n v="1638"/>
    <n v="0"/>
    <n v="0"/>
    <n v="557"/>
    <n v="0"/>
    <n v="0"/>
    <n v="2195"/>
    <x v="161"/>
    <n v="0"/>
    <n v="0"/>
    <n v="706"/>
    <n v="398"/>
    <n v="2901"/>
    <n v="0"/>
    <n v="0"/>
    <x v="175"/>
    <n v="3299"/>
    <n v="2195"/>
    <x v="0"/>
  </r>
  <r>
    <x v="0"/>
    <b v="0"/>
    <b v="0"/>
    <n v="1882"/>
    <n v="0"/>
    <n v="0"/>
    <n v="453"/>
    <n v="0"/>
    <n v="0"/>
    <n v="2335"/>
    <x v="162"/>
    <n v="0"/>
    <n v="0"/>
    <n v="907"/>
    <n v="479"/>
    <n v="3242"/>
    <n v="0"/>
    <n v="0"/>
    <x v="176"/>
    <n v="3721"/>
    <n v="2335"/>
    <x v="0"/>
  </r>
  <r>
    <x v="0"/>
    <b v="0"/>
    <b v="0"/>
    <n v="4444"/>
    <n v="0"/>
    <n v="0"/>
    <n v="984"/>
    <n v="0"/>
    <n v="0"/>
    <n v="5428"/>
    <x v="163"/>
    <n v="0"/>
    <n v="0"/>
    <n v="2290"/>
    <n v="899"/>
    <n v="7718"/>
    <n v="0"/>
    <n v="0"/>
    <x v="177"/>
    <n v="8617"/>
    <n v="5428"/>
    <x v="0"/>
  </r>
  <r>
    <x v="0"/>
    <b v="0"/>
    <b v="0"/>
    <n v="3564"/>
    <n v="0"/>
    <n v="0"/>
    <n v="691"/>
    <n v="0"/>
    <n v="0"/>
    <n v="4255"/>
    <x v="164"/>
    <n v="0"/>
    <n v="0"/>
    <n v="2587"/>
    <n v="539"/>
    <n v="6842"/>
    <n v="0"/>
    <n v="0"/>
    <x v="178"/>
    <n v="7381"/>
    <n v="4255"/>
    <x v="0"/>
  </r>
  <r>
    <x v="0"/>
    <b v="0"/>
    <b v="0"/>
    <n v="4082"/>
    <n v="0"/>
    <n v="0"/>
    <n v="439"/>
    <n v="0"/>
    <n v="0"/>
    <n v="4521"/>
    <x v="165"/>
    <n v="0"/>
    <n v="0"/>
    <n v="3410"/>
    <n v="493"/>
    <n v="7931"/>
    <n v="0"/>
    <n v="0"/>
    <x v="179"/>
    <n v="8424"/>
    <n v="4521"/>
    <x v="0"/>
  </r>
  <r>
    <x v="0"/>
    <b v="0"/>
    <b v="0"/>
    <n v="5864"/>
    <n v="0"/>
    <n v="0"/>
    <n v="590"/>
    <n v="0"/>
    <n v="0"/>
    <n v="6454"/>
    <x v="166"/>
    <n v="0"/>
    <n v="0"/>
    <n v="4964"/>
    <n v="504"/>
    <n v="11418"/>
    <n v="0"/>
    <n v="0"/>
    <x v="180"/>
    <n v="11922"/>
    <n v="6454"/>
    <x v="0"/>
  </r>
  <r>
    <x v="0"/>
    <b v="0"/>
    <b v="0"/>
    <n v="4306"/>
    <n v="0"/>
    <n v="0"/>
    <n v="559"/>
    <n v="0"/>
    <n v="0"/>
    <n v="4865"/>
    <x v="167"/>
    <n v="0"/>
    <n v="0"/>
    <n v="3562"/>
    <n v="544"/>
    <n v="8427"/>
    <n v="0"/>
    <n v="0"/>
    <x v="181"/>
    <n v="8971"/>
    <n v="4865"/>
    <x v="0"/>
  </r>
  <r>
    <x v="0"/>
    <b v="0"/>
    <b v="0"/>
    <n v="4172"/>
    <n v="0"/>
    <n v="0"/>
    <n v="617"/>
    <n v="0"/>
    <n v="0"/>
    <n v="4789"/>
    <x v="168"/>
    <n v="0"/>
    <n v="0"/>
    <n v="3158"/>
    <n v="808"/>
    <n v="7947"/>
    <n v="0"/>
    <n v="0"/>
    <x v="182"/>
    <n v="8755"/>
    <n v="4789"/>
    <x v="0"/>
  </r>
  <r>
    <x v="0"/>
    <b v="0"/>
    <b v="0"/>
    <n v="3377"/>
    <n v="0"/>
    <n v="0"/>
    <n v="706"/>
    <n v="0"/>
    <n v="0"/>
    <n v="4083"/>
    <x v="169"/>
    <n v="0"/>
    <n v="0"/>
    <n v="2145"/>
    <n v="914"/>
    <n v="6228"/>
    <n v="0"/>
    <n v="0"/>
    <x v="183"/>
    <n v="7142"/>
    <n v="4083"/>
    <x v="0"/>
  </r>
  <r>
    <x v="0"/>
    <b v="0"/>
    <b v="0"/>
    <n v="3299"/>
    <n v="0"/>
    <n v="0"/>
    <n v="615"/>
    <n v="0"/>
    <n v="0"/>
    <n v="3914"/>
    <x v="170"/>
    <n v="0"/>
    <n v="0"/>
    <n v="1632"/>
    <n v="1179"/>
    <n v="5546"/>
    <n v="0"/>
    <n v="0"/>
    <x v="184"/>
    <n v="6725"/>
    <n v="3914"/>
    <x v="0"/>
  </r>
  <r>
    <x v="0"/>
    <b v="0"/>
    <b v="0"/>
    <n v="1607"/>
    <n v="0"/>
    <n v="0"/>
    <n v="325"/>
    <n v="0"/>
    <n v="0"/>
    <n v="1932"/>
    <x v="171"/>
    <n v="0"/>
    <n v="0"/>
    <n v="426"/>
    <n v="523"/>
    <n v="2358"/>
    <n v="0"/>
    <n v="0"/>
    <x v="185"/>
    <n v="2881"/>
    <n v="1932"/>
    <x v="0"/>
  </r>
  <r>
    <x v="0"/>
    <b v="0"/>
    <b v="0"/>
    <n v="446"/>
    <n v="0"/>
    <n v="0"/>
    <n v="145"/>
    <n v="0"/>
    <n v="0"/>
    <n v="591"/>
    <x v="172"/>
    <n v="0"/>
    <n v="0"/>
    <n v="414"/>
    <n v="114"/>
    <n v="1005"/>
    <n v="0"/>
    <n v="0"/>
    <x v="186"/>
    <n v="1119"/>
    <n v="591"/>
    <x v="1"/>
  </r>
  <r>
    <x v="0"/>
    <b v="0"/>
    <b v="0"/>
    <n v="557"/>
    <n v="0"/>
    <n v="0"/>
    <n v="140"/>
    <n v="0"/>
    <n v="0"/>
    <n v="697"/>
    <x v="173"/>
    <n v="0"/>
    <n v="0"/>
    <n v="588"/>
    <n v="107"/>
    <n v="1285"/>
    <n v="0"/>
    <n v="0"/>
    <x v="187"/>
    <n v="1392"/>
    <n v="697"/>
    <x v="1"/>
  </r>
  <r>
    <x v="0"/>
    <b v="0"/>
    <b v="0"/>
    <n v="1861"/>
    <n v="0"/>
    <n v="0"/>
    <n v="4530"/>
    <n v="0"/>
    <n v="0"/>
    <n v="6391"/>
    <x v="162"/>
    <n v="0"/>
    <n v="0"/>
    <n v="907"/>
    <n v="479"/>
    <n v="7298"/>
    <n v="0"/>
    <n v="0"/>
    <x v="188"/>
    <n v="7777"/>
    <n v="6391"/>
    <x v="1"/>
  </r>
  <r>
    <x v="0"/>
    <b v="0"/>
    <b v="0"/>
    <n v="4811"/>
    <n v="0"/>
    <n v="0"/>
    <n v="1251"/>
    <n v="0"/>
    <n v="0"/>
    <n v="6062"/>
    <x v="121"/>
    <n v="0"/>
    <n v="0"/>
    <n v="2520"/>
    <n v="1342"/>
    <n v="8582"/>
    <n v="0"/>
    <n v="0"/>
    <x v="189"/>
    <n v="9924"/>
    <n v="6062"/>
    <x v="1"/>
  </r>
  <r>
    <x v="0"/>
    <b v="0"/>
    <b v="0"/>
    <n v="5806"/>
    <n v="0"/>
    <n v="0"/>
    <n v="1873"/>
    <n v="0"/>
    <n v="0"/>
    <n v="7679"/>
    <x v="174"/>
    <n v="0"/>
    <n v="0"/>
    <n v="3310"/>
    <n v="691"/>
    <n v="10989"/>
    <n v="0"/>
    <n v="0"/>
    <x v="190"/>
    <n v="11680"/>
    <n v="7679"/>
    <x v="1"/>
  </r>
  <r>
    <x v="0"/>
    <b v="0"/>
    <b v="0"/>
    <n v="4435"/>
    <n v="0"/>
    <n v="0"/>
    <n v="1007"/>
    <n v="0"/>
    <n v="0"/>
    <n v="5442"/>
    <x v="175"/>
    <n v="0"/>
    <n v="0"/>
    <n v="3618"/>
    <n v="403"/>
    <n v="9060"/>
    <n v="610"/>
    <n v="0"/>
    <x v="191"/>
    <n v="10073"/>
    <n v="5442"/>
    <x v="1"/>
  </r>
  <r>
    <x v="0"/>
    <b v="0"/>
    <b v="0"/>
    <n v="5859"/>
    <n v="0"/>
    <n v="0"/>
    <n v="544"/>
    <n v="0"/>
    <n v="0"/>
    <n v="6403"/>
    <x v="176"/>
    <n v="0"/>
    <n v="0"/>
    <n v="4945"/>
    <n v="566"/>
    <n v="11348"/>
    <n v="0"/>
    <n v="0"/>
    <x v="192"/>
    <n v="11914"/>
    <n v="6403"/>
    <x v="1"/>
  </r>
  <r>
    <x v="0"/>
    <b v="0"/>
    <b v="0"/>
    <n v="4324"/>
    <n v="0"/>
    <n v="0"/>
    <n v="564"/>
    <n v="0"/>
    <n v="0"/>
    <n v="4888"/>
    <x v="177"/>
    <n v="0"/>
    <n v="0"/>
    <n v="3576"/>
    <n v="604"/>
    <n v="8464"/>
    <n v="0"/>
    <n v="0"/>
    <x v="193"/>
    <n v="9068"/>
    <n v="4888"/>
    <x v="1"/>
  </r>
  <r>
    <x v="0"/>
    <b v="0"/>
    <b v="0"/>
    <n v="4181"/>
    <n v="0"/>
    <n v="0"/>
    <n v="666"/>
    <n v="0"/>
    <n v="0"/>
    <n v="4847"/>
    <x v="178"/>
    <n v="0"/>
    <n v="0"/>
    <n v="2344"/>
    <n v="644"/>
    <n v="7191"/>
    <n v="0"/>
    <n v="0"/>
    <x v="194"/>
    <n v="7835"/>
    <n v="4847"/>
    <x v="1"/>
  </r>
  <r>
    <x v="0"/>
    <b v="0"/>
    <b v="0"/>
    <n v="3464"/>
    <n v="0"/>
    <n v="0"/>
    <n v="716"/>
    <n v="0"/>
    <n v="0"/>
    <n v="4180"/>
    <x v="179"/>
    <n v="0"/>
    <n v="0"/>
    <n v="1876"/>
    <n v="924"/>
    <n v="6056"/>
    <n v="0"/>
    <n v="0"/>
    <x v="195"/>
    <n v="6980"/>
    <n v="4180"/>
    <x v="1"/>
  </r>
  <r>
    <x v="0"/>
    <b v="0"/>
    <b v="0"/>
    <n v="3324"/>
    <n v="0"/>
    <n v="0"/>
    <n v="636"/>
    <n v="0"/>
    <n v="0"/>
    <n v="3960"/>
    <x v="180"/>
    <n v="0"/>
    <n v="0"/>
    <n v="1036"/>
    <n v="1271"/>
    <n v="4996"/>
    <n v="0"/>
    <n v="0"/>
    <x v="196"/>
    <n v="6267"/>
    <n v="3960"/>
    <x v="1"/>
  </r>
  <r>
    <x v="0"/>
    <b v="0"/>
    <b v="0"/>
    <n v="1624"/>
    <n v="0"/>
    <n v="0"/>
    <n v="369"/>
    <n v="0"/>
    <n v="0"/>
    <n v="1993"/>
    <x v="181"/>
    <n v="0"/>
    <n v="0"/>
    <n v="366"/>
    <n v="544"/>
    <n v="2359"/>
    <n v="0"/>
    <n v="0"/>
    <x v="197"/>
    <n v="2903"/>
    <n v="1993"/>
    <x v="1"/>
  </r>
  <r>
    <x v="0"/>
    <b v="0"/>
    <b v="0"/>
    <n v="1144"/>
    <n v="0"/>
    <n v="0"/>
    <n v="424"/>
    <n v="0"/>
    <n v="0"/>
    <n v="1568"/>
    <x v="182"/>
    <n v="0"/>
    <n v="0"/>
    <n v="652"/>
    <n v="261"/>
    <n v="2220"/>
    <n v="203"/>
    <n v="27"/>
    <x v="198"/>
    <n v="2711"/>
    <n v="1568"/>
    <x v="1"/>
  </r>
  <r>
    <x v="0"/>
    <b v="0"/>
    <b v="0"/>
    <n v="1316"/>
    <n v="0"/>
    <n v="0"/>
    <n v="321"/>
    <n v="0"/>
    <n v="0"/>
    <n v="1637"/>
    <x v="183"/>
    <n v="0"/>
    <n v="0"/>
    <n v="750"/>
    <n v="398"/>
    <n v="2387"/>
    <n v="76"/>
    <n v="0"/>
    <x v="199"/>
    <n v="2861"/>
    <n v="1637"/>
    <x v="1"/>
  </r>
  <r>
    <x v="0"/>
    <b v="0"/>
    <b v="0"/>
    <n v="1392"/>
    <n v="0"/>
    <n v="0"/>
    <n v="178"/>
    <n v="0"/>
    <n v="0"/>
    <n v="1570"/>
    <x v="184"/>
    <n v="0"/>
    <n v="0"/>
    <n v="846"/>
    <n v="402"/>
    <n v="2416"/>
    <n v="0"/>
    <n v="0"/>
    <x v="200"/>
    <n v="2818"/>
    <n v="1570"/>
    <x v="1"/>
  </r>
  <r>
    <x v="0"/>
    <b v="0"/>
    <b v="0"/>
    <n v="2881"/>
    <n v="0"/>
    <n v="0"/>
    <n v="0"/>
    <n v="0"/>
    <n v="0"/>
    <n v="2881"/>
    <x v="185"/>
    <n v="0"/>
    <n v="0"/>
    <n v="1246"/>
    <n v="609"/>
    <n v="4127"/>
    <n v="0"/>
    <n v="0"/>
    <x v="201"/>
    <n v="4736"/>
    <n v="2881"/>
    <x v="1"/>
  </r>
  <r>
    <x v="0"/>
    <b v="0"/>
    <b v="0"/>
    <n v="4053"/>
    <n v="0"/>
    <n v="0"/>
    <n v="660"/>
    <n v="0"/>
    <n v="0"/>
    <n v="4713"/>
    <x v="186"/>
    <n v="0"/>
    <n v="0"/>
    <n v="2262"/>
    <n v="437"/>
    <n v="6975"/>
    <n v="0"/>
    <n v="0"/>
    <x v="202"/>
    <n v="7412"/>
    <n v="4713"/>
    <x v="1"/>
  </r>
  <r>
    <x v="0"/>
    <b v="0"/>
    <b v="0"/>
    <n v="4856"/>
    <n v="0"/>
    <n v="0"/>
    <n v="0"/>
    <n v="0"/>
    <n v="0"/>
    <n v="4856"/>
    <x v="187"/>
    <n v="0"/>
    <n v="0"/>
    <n v="2652"/>
    <n v="298"/>
    <n v="7508"/>
    <n v="0"/>
    <n v="0"/>
    <x v="203"/>
    <n v="7806"/>
    <n v="4856"/>
    <x v="1"/>
  </r>
  <r>
    <x v="0"/>
    <b v="0"/>
    <b v="0"/>
    <n v="4240"/>
    <n v="0"/>
    <n v="0"/>
    <n v="0"/>
    <n v="0"/>
    <n v="0"/>
    <n v="4240"/>
    <x v="188"/>
    <n v="0"/>
    <n v="0"/>
    <n v="2368"/>
    <n v="524"/>
    <n v="6608"/>
    <n v="0"/>
    <n v="0"/>
    <x v="204"/>
    <n v="7132"/>
    <n v="4240"/>
    <x v="1"/>
  </r>
  <r>
    <x v="0"/>
    <b v="0"/>
    <b v="0"/>
    <n v="4153"/>
    <n v="0"/>
    <n v="0"/>
    <n v="0"/>
    <n v="0"/>
    <n v="0"/>
    <n v="4153"/>
    <x v="189"/>
    <n v="0"/>
    <n v="0"/>
    <n v="2873"/>
    <n v="482"/>
    <n v="7026"/>
    <n v="0"/>
    <n v="0"/>
    <x v="205"/>
    <n v="7508"/>
    <n v="4153"/>
    <x v="1"/>
  </r>
  <r>
    <x v="0"/>
    <b v="0"/>
    <b v="0"/>
    <n v="4045"/>
    <n v="0"/>
    <n v="0"/>
    <n v="0"/>
    <n v="0"/>
    <n v="0"/>
    <n v="4045"/>
    <x v="190"/>
    <n v="0"/>
    <n v="1157"/>
    <n v="2727"/>
    <n v="581"/>
    <n v="6772"/>
    <n v="0"/>
    <n v="0"/>
    <x v="206"/>
    <n v="7353"/>
    <n v="4045"/>
    <x v="1"/>
  </r>
  <r>
    <x v="0"/>
    <b v="0"/>
    <b v="0"/>
    <n v="3040"/>
    <n v="0"/>
    <n v="0"/>
    <n v="0"/>
    <n v="0"/>
    <n v="0"/>
    <n v="3040"/>
    <x v="191"/>
    <n v="0"/>
    <n v="770"/>
    <n v="2015"/>
    <n v="706"/>
    <n v="5055"/>
    <n v="0"/>
    <n v="0"/>
    <x v="207"/>
    <n v="5761"/>
    <n v="3040"/>
    <x v="1"/>
  </r>
  <r>
    <x v="0"/>
    <b v="0"/>
    <b v="0"/>
    <n v="3025"/>
    <n v="0"/>
    <n v="0"/>
    <n v="0"/>
    <n v="0"/>
    <n v="0"/>
    <n v="3025"/>
    <x v="192"/>
    <n v="0"/>
    <n v="199"/>
    <n v="1109"/>
    <n v="892"/>
    <n v="4134"/>
    <n v="0"/>
    <n v="0"/>
    <x v="208"/>
    <n v="5026"/>
    <n v="3025"/>
    <x v="1"/>
  </r>
  <r>
    <x v="0"/>
    <b v="0"/>
    <b v="0"/>
    <n v="1578"/>
    <n v="0"/>
    <n v="0"/>
    <n v="0"/>
    <n v="0"/>
    <n v="0"/>
    <n v="1578"/>
    <x v="193"/>
    <n v="0"/>
    <n v="198"/>
    <n v="669"/>
    <n v="444"/>
    <n v="2247"/>
    <n v="0"/>
    <n v="0"/>
    <x v="209"/>
    <n v="2691"/>
    <n v="1578"/>
    <x v="1"/>
  </r>
  <r>
    <x v="0"/>
    <b v="0"/>
    <b v="0"/>
    <n v="305"/>
    <n v="0"/>
    <n v="0"/>
    <n v="0"/>
    <n v="0"/>
    <n v="0"/>
    <n v="305"/>
    <x v="194"/>
    <n v="0"/>
    <n v="89"/>
    <n v="286"/>
    <n v="238"/>
    <n v="591"/>
    <n v="0"/>
    <n v="0"/>
    <x v="210"/>
    <n v="829"/>
    <n v="305"/>
    <x v="1"/>
  </r>
  <r>
    <x v="0"/>
    <b v="0"/>
    <b v="0"/>
    <n v="148"/>
    <n v="0"/>
    <n v="0"/>
    <n v="0"/>
    <n v="0"/>
    <n v="0"/>
    <n v="148"/>
    <x v="195"/>
    <n v="0"/>
    <n v="90"/>
    <n v="292"/>
    <n v="56"/>
    <n v="440"/>
    <n v="0"/>
    <n v="0"/>
    <x v="211"/>
    <n v="496"/>
    <n v="148"/>
    <x v="1"/>
  </r>
  <r>
    <x v="0"/>
    <b v="0"/>
    <b v="0"/>
    <n v="1089"/>
    <n v="0"/>
    <n v="0"/>
    <n v="0"/>
    <n v="0"/>
    <n v="0"/>
    <n v="1089"/>
    <x v="196"/>
    <n v="0"/>
    <n v="531"/>
    <n v="1221"/>
    <n v="289"/>
    <n v="2310"/>
    <n v="0"/>
    <n v="0"/>
    <x v="212"/>
    <n v="2599"/>
    <n v="1089"/>
    <x v="1"/>
  </r>
  <r>
    <x v="0"/>
    <b v="0"/>
    <b v="0"/>
    <n v="3070"/>
    <n v="0"/>
    <n v="0"/>
    <n v="0"/>
    <n v="0"/>
    <n v="0"/>
    <n v="3070"/>
    <x v="197"/>
    <n v="0"/>
    <n v="143"/>
    <n v="858"/>
    <n v="499"/>
    <n v="3928"/>
    <n v="0"/>
    <n v="0"/>
    <x v="213"/>
    <n v="4427"/>
    <n v="3070"/>
    <x v="1"/>
  </r>
  <r>
    <x v="0"/>
    <b v="0"/>
    <b v="0"/>
    <n v="2133"/>
    <n v="0"/>
    <n v="0"/>
    <n v="0"/>
    <n v="0"/>
    <n v="0"/>
    <n v="2133"/>
    <x v="198"/>
    <n v="0"/>
    <n v="86"/>
    <n v="1034"/>
    <n v="319"/>
    <n v="3167"/>
    <n v="0"/>
    <n v="0"/>
    <x v="214"/>
    <n v="3486"/>
    <n v="2133"/>
    <x v="1"/>
  </r>
  <r>
    <x v="0"/>
    <b v="0"/>
    <b v="0"/>
    <n v="3160"/>
    <n v="0"/>
    <n v="0"/>
    <n v="0"/>
    <n v="0"/>
    <n v="0"/>
    <n v="3160"/>
    <x v="199"/>
    <n v="0"/>
    <n v="358"/>
    <n v="2133"/>
    <n v="265"/>
    <n v="5293"/>
    <n v="0"/>
    <n v="0"/>
    <x v="215"/>
    <n v="5558"/>
    <n v="3160"/>
    <x v="1"/>
  </r>
  <r>
    <x v="0"/>
    <b v="0"/>
    <b v="0"/>
    <n v="3863"/>
    <n v="0"/>
    <n v="0"/>
    <n v="0"/>
    <n v="0"/>
    <n v="0"/>
    <n v="3863"/>
    <x v="200"/>
    <n v="0"/>
    <n v="187"/>
    <n v="1137"/>
    <n v="313"/>
    <n v="5000"/>
    <n v="0"/>
    <n v="0"/>
    <x v="216"/>
    <n v="5313"/>
    <n v="3863"/>
    <x v="1"/>
  </r>
  <r>
    <x v="0"/>
    <b v="0"/>
    <b v="0"/>
    <n v="4202"/>
    <n v="0"/>
    <n v="0"/>
    <n v="0"/>
    <n v="0"/>
    <n v="0"/>
    <n v="4202"/>
    <x v="201"/>
    <n v="0"/>
    <n v="172"/>
    <n v="1718"/>
    <n v="426"/>
    <n v="5920"/>
    <n v="0"/>
    <n v="0"/>
    <x v="217"/>
    <n v="6346"/>
    <n v="4202"/>
    <x v="1"/>
  </r>
  <r>
    <x v="0"/>
    <b v="0"/>
    <b v="0"/>
    <n v="4138"/>
    <n v="0"/>
    <n v="0"/>
    <n v="0"/>
    <n v="0"/>
    <n v="0"/>
    <n v="4138"/>
    <x v="202"/>
    <n v="0"/>
    <n v="229"/>
    <n v="1388"/>
    <n v="582"/>
    <n v="5526"/>
    <n v="0"/>
    <n v="0"/>
    <x v="218"/>
    <n v="6108"/>
    <n v="4138"/>
    <x v="1"/>
  </r>
  <r>
    <x v="0"/>
    <b v="0"/>
    <b v="0"/>
    <n v="2648"/>
    <n v="0"/>
    <n v="0"/>
    <n v="0"/>
    <n v="0"/>
    <n v="0"/>
    <n v="2648"/>
    <x v="203"/>
    <n v="0"/>
    <n v="30"/>
    <n v="690"/>
    <n v="691"/>
    <n v="3338"/>
    <n v="0"/>
    <n v="0"/>
    <x v="219"/>
    <n v="4029"/>
    <n v="2648"/>
    <x v="1"/>
  </r>
  <r>
    <x v="0"/>
    <b v="0"/>
    <b v="0"/>
    <n v="2140"/>
    <n v="0"/>
    <n v="0"/>
    <n v="0"/>
    <n v="0"/>
    <n v="0"/>
    <n v="2140"/>
    <x v="204"/>
    <n v="0"/>
    <n v="105"/>
    <n v="510"/>
    <n v="686"/>
    <n v="2650"/>
    <n v="0"/>
    <n v="0"/>
    <x v="220"/>
    <n v="3336"/>
    <n v="2140"/>
    <x v="1"/>
  </r>
  <r>
    <x v="0"/>
    <b v="0"/>
    <b v="0"/>
    <n v="792"/>
    <n v="0"/>
    <n v="0"/>
    <n v="0"/>
    <n v="0"/>
    <n v="0"/>
    <n v="792"/>
    <x v="205"/>
    <n v="0"/>
    <n v="0"/>
    <n v="327"/>
    <n v="281"/>
    <n v="1119"/>
    <n v="0"/>
    <n v="0"/>
    <x v="221"/>
    <n v="1400"/>
    <n v="792"/>
    <x v="1"/>
  </r>
  <r>
    <x v="0"/>
    <b v="0"/>
    <b v="0"/>
    <n v="1186"/>
    <n v="0"/>
    <n v="0"/>
    <n v="0"/>
    <n v="0"/>
    <n v="0"/>
    <n v="1186"/>
    <x v="206"/>
    <n v="0"/>
    <n v="0"/>
    <n v="325"/>
    <n v="229"/>
    <n v="1511"/>
    <n v="0"/>
    <n v="0"/>
    <x v="222"/>
    <n v="1740"/>
    <n v="1186"/>
    <x v="1"/>
  </r>
  <r>
    <x v="0"/>
    <b v="0"/>
    <b v="0"/>
    <n v="1338"/>
    <n v="0"/>
    <n v="0"/>
    <n v="0"/>
    <n v="0"/>
    <n v="0"/>
    <n v="1338"/>
    <x v="207"/>
    <n v="0"/>
    <n v="30"/>
    <n v="316"/>
    <n v="359"/>
    <n v="1654"/>
    <n v="0"/>
    <n v="0"/>
    <x v="223"/>
    <n v="2013"/>
    <n v="1338"/>
    <x v="1"/>
  </r>
  <r>
    <x v="0"/>
    <b v="0"/>
    <b v="0"/>
    <n v="1964"/>
    <n v="0"/>
    <n v="0"/>
    <n v="0"/>
    <n v="0"/>
    <n v="0"/>
    <n v="1964"/>
    <x v="208"/>
    <n v="0"/>
    <n v="0"/>
    <n v="339"/>
    <n v="490"/>
    <n v="2303"/>
    <n v="0"/>
    <n v="0"/>
    <x v="224"/>
    <n v="2793"/>
    <n v="1964"/>
    <x v="1"/>
  </r>
  <r>
    <x v="0"/>
    <b v="0"/>
    <b v="0"/>
    <n v="11"/>
    <n v="0"/>
    <n v="0"/>
    <n v="0"/>
    <n v="0"/>
    <n v="0"/>
    <n v="11"/>
    <x v="38"/>
    <n v="0"/>
    <n v="0"/>
    <n v="0"/>
    <n v="2"/>
    <n v="11"/>
    <n v="0"/>
    <n v="0"/>
    <x v="225"/>
    <n v="13"/>
    <n v="11"/>
    <x v="1"/>
  </r>
  <r>
    <x v="0"/>
    <b v="0"/>
    <b v="0"/>
    <n v="288"/>
    <n v="0"/>
    <n v="0"/>
    <n v="0"/>
    <n v="0"/>
    <n v="0"/>
    <n v="288"/>
    <x v="38"/>
    <n v="0"/>
    <n v="0"/>
    <n v="0"/>
    <n v="12"/>
    <n v="288"/>
    <n v="0"/>
    <n v="0"/>
    <x v="226"/>
    <n v="300"/>
    <n v="288"/>
    <x v="1"/>
  </r>
  <r>
    <x v="0"/>
    <b v="0"/>
    <b v="0"/>
    <n v="5690"/>
    <n v="0"/>
    <n v="0"/>
    <n v="0"/>
    <n v="0"/>
    <n v="0"/>
    <n v="5690"/>
    <x v="113"/>
    <n v="0"/>
    <n v="0"/>
    <n v="70"/>
    <n v="285"/>
    <n v="5760"/>
    <n v="0"/>
    <n v="0"/>
    <x v="227"/>
    <n v="6045"/>
    <n v="5690"/>
    <x v="1"/>
  </r>
  <r>
    <x v="0"/>
    <b v="0"/>
    <b v="0"/>
    <n v="5836"/>
    <n v="0"/>
    <n v="0"/>
    <n v="0"/>
    <n v="0"/>
    <n v="0"/>
    <n v="5836"/>
    <x v="209"/>
    <n v="0"/>
    <n v="0"/>
    <n v="526"/>
    <n v="508"/>
    <n v="6362"/>
    <n v="0"/>
    <n v="0"/>
    <x v="228"/>
    <n v="6870"/>
    <n v="5836"/>
    <x v="1"/>
  </r>
  <r>
    <x v="0"/>
    <b v="0"/>
    <b v="0"/>
    <n v="0"/>
    <n v="0"/>
    <n v="0"/>
    <n v="0"/>
    <n v="0"/>
    <n v="0"/>
    <n v="0"/>
    <x v="38"/>
    <n v="0"/>
    <n v="0"/>
    <n v="0"/>
    <n v="0"/>
    <n v="0"/>
    <n v="0"/>
    <n v="0"/>
    <x v="228"/>
    <n v="0"/>
    <n v="0"/>
    <x v="1"/>
  </r>
  <r>
    <x v="0"/>
    <b v="0"/>
    <b v="0"/>
    <n v="6595"/>
    <n v="0"/>
    <n v="0"/>
    <n v="0"/>
    <n v="0"/>
    <n v="0"/>
    <n v="6595"/>
    <x v="136"/>
    <n v="0"/>
    <n v="0"/>
    <n v="535"/>
    <n v="751"/>
    <n v="7130"/>
    <n v="0"/>
    <n v="0"/>
    <x v="229"/>
    <n v="7881"/>
    <n v="6595"/>
    <x v="1"/>
  </r>
  <r>
    <x v="0"/>
    <b v="0"/>
    <b v="0"/>
    <n v="0"/>
    <n v="0"/>
    <n v="0"/>
    <n v="0"/>
    <n v="0"/>
    <n v="0"/>
    <n v="0"/>
    <x v="38"/>
    <n v="0"/>
    <n v="0"/>
    <n v="0"/>
    <n v="0"/>
    <n v="0"/>
    <n v="0"/>
    <n v="0"/>
    <x v="229"/>
    <n v="0"/>
    <n v="0"/>
    <x v="1"/>
  </r>
  <r>
    <x v="0"/>
    <b v="0"/>
    <b v="0"/>
    <n v="0"/>
    <n v="0"/>
    <n v="0"/>
    <n v="0"/>
    <n v="0"/>
    <n v="0"/>
    <n v="0"/>
    <x v="38"/>
    <n v="0"/>
    <n v="0"/>
    <n v="0"/>
    <n v="0"/>
    <n v="0"/>
    <n v="0"/>
    <n v="0"/>
    <x v="230"/>
    <n v="0"/>
    <n v="0"/>
    <x v="1"/>
  </r>
  <r>
    <x v="0"/>
    <b v="0"/>
    <b v="0"/>
    <n v="0"/>
    <n v="0"/>
    <n v="0"/>
    <n v="0"/>
    <n v="0"/>
    <n v="0"/>
    <n v="0"/>
    <x v="38"/>
    <n v="0"/>
    <n v="0"/>
    <n v="0"/>
    <n v="0"/>
    <n v="0"/>
    <n v="0"/>
    <n v="0"/>
    <x v="231"/>
    <n v="0"/>
    <n v="0"/>
    <x v="1"/>
  </r>
  <r>
    <x v="0"/>
    <b v="0"/>
    <b v="0"/>
    <n v="4753"/>
    <n v="0"/>
    <n v="0"/>
    <n v="0"/>
    <n v="0"/>
    <n v="0"/>
    <n v="4753"/>
    <x v="100"/>
    <n v="0"/>
    <n v="0"/>
    <n v="594"/>
    <n v="1502"/>
    <n v="5347"/>
    <n v="0"/>
    <n v="0"/>
    <x v="232"/>
    <n v="6849"/>
    <n v="4753"/>
    <x v="1"/>
  </r>
  <r>
    <x v="0"/>
    <b v="0"/>
    <b v="0"/>
    <n v="2346"/>
    <n v="0"/>
    <n v="0"/>
    <n v="0"/>
    <n v="0"/>
    <n v="0"/>
    <n v="2346"/>
    <x v="210"/>
    <n v="0"/>
    <n v="0"/>
    <n v="78"/>
    <n v="592"/>
    <n v="2424"/>
    <n v="0"/>
    <n v="0"/>
    <x v="233"/>
    <n v="3016"/>
    <n v="2346"/>
    <x v="1"/>
  </r>
  <r>
    <x v="1"/>
    <b v="0"/>
    <b v="0"/>
    <n v="0"/>
    <n v="0"/>
    <n v="0"/>
    <n v="964"/>
    <n v="0"/>
    <n v="0"/>
    <n v="964"/>
    <x v="38"/>
    <n v="0"/>
    <n v="0"/>
    <n v="0"/>
    <n v="964"/>
    <m/>
    <n v="0"/>
    <n v="0"/>
    <x v="0"/>
    <n v="964"/>
    <n v="964"/>
    <x v="0"/>
  </r>
  <r>
    <x v="1"/>
    <b v="0"/>
    <b v="0"/>
    <n v="0"/>
    <n v="0"/>
    <n v="0"/>
    <n v="1067"/>
    <n v="0"/>
    <n v="0"/>
    <n v="1067"/>
    <x v="38"/>
    <n v="0"/>
    <n v="0"/>
    <n v="0"/>
    <n v="1067"/>
    <m/>
    <n v="0"/>
    <n v="0"/>
    <x v="1"/>
    <n v="1067"/>
    <n v="1067"/>
    <x v="0"/>
  </r>
  <r>
    <x v="1"/>
    <b v="0"/>
    <b v="0"/>
    <n v="0"/>
    <n v="0"/>
    <n v="0"/>
    <n v="1127"/>
    <n v="0"/>
    <n v="0"/>
    <n v="1127"/>
    <x v="38"/>
    <n v="0"/>
    <n v="0"/>
    <n v="0"/>
    <n v="1127"/>
    <m/>
    <n v="0"/>
    <n v="0"/>
    <x v="2"/>
    <n v="1127"/>
    <n v="1127"/>
    <x v="0"/>
  </r>
  <r>
    <x v="1"/>
    <b v="0"/>
    <b v="0"/>
    <n v="0"/>
    <n v="0"/>
    <n v="0"/>
    <n v="864"/>
    <n v="0"/>
    <n v="0"/>
    <n v="864"/>
    <x v="38"/>
    <n v="0"/>
    <n v="0"/>
    <n v="0"/>
    <n v="864"/>
    <m/>
    <n v="0"/>
    <n v="0"/>
    <x v="3"/>
    <n v="864"/>
    <n v="864"/>
    <x v="0"/>
  </r>
  <r>
    <x v="1"/>
    <b v="0"/>
    <b v="0"/>
    <n v="0"/>
    <n v="0"/>
    <n v="0"/>
    <n v="1265"/>
    <n v="0"/>
    <n v="0"/>
    <n v="1265"/>
    <x v="38"/>
    <n v="0"/>
    <n v="0"/>
    <n v="0"/>
    <n v="1265"/>
    <m/>
    <n v="0"/>
    <n v="0"/>
    <x v="4"/>
    <n v="1265"/>
    <n v="1265"/>
    <x v="0"/>
  </r>
  <r>
    <x v="1"/>
    <b v="0"/>
    <b v="0"/>
    <n v="0"/>
    <n v="0"/>
    <n v="0"/>
    <n v="477"/>
    <n v="0"/>
    <n v="0"/>
    <n v="477"/>
    <x v="38"/>
    <n v="0"/>
    <n v="0"/>
    <n v="0"/>
    <n v="477"/>
    <m/>
    <n v="0"/>
    <n v="0"/>
    <x v="5"/>
    <n v="477"/>
    <n v="477"/>
    <x v="0"/>
  </r>
  <r>
    <x v="1"/>
    <b v="0"/>
    <b v="0"/>
    <n v="0"/>
    <n v="0"/>
    <n v="0"/>
    <n v="612"/>
    <n v="0"/>
    <n v="0"/>
    <n v="612"/>
    <x v="38"/>
    <n v="0"/>
    <n v="0"/>
    <n v="0"/>
    <n v="612"/>
    <m/>
    <n v="0"/>
    <n v="0"/>
    <x v="6"/>
    <n v="612"/>
    <n v="612"/>
    <x v="0"/>
  </r>
  <r>
    <x v="1"/>
    <b v="0"/>
    <b v="0"/>
    <n v="0"/>
    <n v="0"/>
    <n v="0"/>
    <n v="767"/>
    <n v="0"/>
    <n v="0"/>
    <n v="767"/>
    <x v="38"/>
    <n v="0"/>
    <n v="0"/>
    <n v="0"/>
    <n v="767"/>
    <m/>
    <n v="0"/>
    <n v="0"/>
    <x v="7"/>
    <n v="767"/>
    <n v="767"/>
    <x v="0"/>
  </r>
  <r>
    <x v="1"/>
    <b v="0"/>
    <b v="0"/>
    <n v="0"/>
    <n v="0"/>
    <n v="0"/>
    <n v="1013"/>
    <n v="0"/>
    <n v="0"/>
    <n v="1013"/>
    <x v="38"/>
    <n v="0"/>
    <n v="0"/>
    <n v="0"/>
    <n v="1013"/>
    <m/>
    <n v="0"/>
    <n v="0"/>
    <x v="8"/>
    <n v="1013"/>
    <n v="1013"/>
    <x v="0"/>
  </r>
  <r>
    <x v="1"/>
    <b v="0"/>
    <b v="0"/>
    <n v="0"/>
    <n v="0"/>
    <n v="0"/>
    <n v="0"/>
    <n v="972"/>
    <n v="0"/>
    <n v="972"/>
    <x v="38"/>
    <n v="0"/>
    <n v="0"/>
    <n v="0"/>
    <n v="972"/>
    <m/>
    <n v="0"/>
    <n v="0"/>
    <x v="9"/>
    <n v="972"/>
    <n v="972"/>
    <x v="0"/>
  </r>
  <r>
    <x v="1"/>
    <b v="0"/>
    <b v="0"/>
    <n v="0"/>
    <n v="0"/>
    <n v="0"/>
    <n v="1829"/>
    <n v="0"/>
    <n v="0"/>
    <n v="1829"/>
    <x v="38"/>
    <n v="0"/>
    <n v="0"/>
    <n v="0"/>
    <n v="1829"/>
    <m/>
    <n v="0"/>
    <n v="0"/>
    <x v="10"/>
    <n v="1829"/>
    <n v="1829"/>
    <x v="0"/>
  </r>
  <r>
    <x v="1"/>
    <b v="0"/>
    <b v="0"/>
    <n v="0"/>
    <n v="0"/>
    <n v="0"/>
    <n v="2241"/>
    <n v="0"/>
    <n v="0"/>
    <n v="2241"/>
    <x v="38"/>
    <n v="0"/>
    <n v="0"/>
    <n v="0"/>
    <n v="2241"/>
    <m/>
    <n v="0"/>
    <n v="0"/>
    <x v="11"/>
    <n v="2241"/>
    <n v="2241"/>
    <x v="0"/>
  </r>
  <r>
    <x v="1"/>
    <b v="0"/>
    <b v="0"/>
    <n v="0"/>
    <n v="0"/>
    <n v="0"/>
    <n v="1098"/>
    <n v="0"/>
    <n v="0"/>
    <n v="1098"/>
    <x v="38"/>
    <n v="0"/>
    <n v="0"/>
    <n v="0"/>
    <n v="1098"/>
    <m/>
    <n v="0"/>
    <n v="0"/>
    <x v="12"/>
    <n v="1098"/>
    <n v="1098"/>
    <x v="0"/>
  </r>
  <r>
    <x v="1"/>
    <b v="0"/>
    <b v="0"/>
    <n v="0"/>
    <n v="0"/>
    <n v="0"/>
    <n v="1230"/>
    <n v="0"/>
    <n v="0"/>
    <n v="1230"/>
    <x v="38"/>
    <n v="0"/>
    <n v="0"/>
    <n v="0"/>
    <n v="1230"/>
    <m/>
    <n v="0"/>
    <n v="0"/>
    <x v="13"/>
    <n v="1230"/>
    <n v="1230"/>
    <x v="0"/>
  </r>
  <r>
    <x v="1"/>
    <b v="0"/>
    <b v="0"/>
    <n v="0"/>
    <n v="0"/>
    <n v="0"/>
    <n v="1325"/>
    <n v="0"/>
    <n v="0"/>
    <n v="1325"/>
    <x v="38"/>
    <n v="0"/>
    <n v="0"/>
    <n v="0"/>
    <n v="1325"/>
    <m/>
    <n v="0"/>
    <n v="0"/>
    <x v="14"/>
    <n v="1325"/>
    <n v="1325"/>
    <x v="0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5"/>
    <n v="0"/>
    <n v="0"/>
    <x v="0"/>
  </r>
  <r>
    <x v="1"/>
    <b v="0"/>
    <b v="0"/>
    <n v="0"/>
    <n v="0"/>
    <n v="0"/>
    <n v="1272"/>
    <n v="0"/>
    <n v="0"/>
    <n v="1272"/>
    <x v="38"/>
    <n v="0"/>
    <n v="0"/>
    <n v="0"/>
    <n v="1272"/>
    <m/>
    <n v="0"/>
    <n v="0"/>
    <x v="16"/>
    <n v="1272"/>
    <n v="1272"/>
    <x v="0"/>
  </r>
  <r>
    <x v="1"/>
    <b v="0"/>
    <b v="0"/>
    <n v="0"/>
    <n v="0"/>
    <n v="0"/>
    <n v="525"/>
    <n v="0"/>
    <n v="0"/>
    <n v="525"/>
    <x v="38"/>
    <n v="0"/>
    <n v="0"/>
    <n v="0"/>
    <n v="525"/>
    <m/>
    <n v="0"/>
    <n v="0"/>
    <x v="17"/>
    <n v="525"/>
    <n v="525"/>
    <x v="0"/>
  </r>
  <r>
    <x v="1"/>
    <b v="0"/>
    <b v="0"/>
    <n v="0"/>
    <n v="0"/>
    <n v="0"/>
    <n v="2872"/>
    <n v="0"/>
    <n v="0"/>
    <n v="2872"/>
    <x v="38"/>
    <n v="0"/>
    <n v="0"/>
    <n v="0"/>
    <n v="2872"/>
    <m/>
    <n v="0"/>
    <n v="0"/>
    <x v="18"/>
    <n v="2872"/>
    <n v="2872"/>
    <x v="1"/>
  </r>
  <r>
    <x v="1"/>
    <b v="0"/>
    <b v="0"/>
    <n v="0"/>
    <n v="0"/>
    <n v="0"/>
    <n v="1930"/>
    <n v="0"/>
    <n v="0"/>
    <n v="1930"/>
    <x v="38"/>
    <n v="0"/>
    <n v="0"/>
    <n v="0"/>
    <n v="1930"/>
    <m/>
    <n v="0"/>
    <n v="0"/>
    <x v="19"/>
    <n v="1930"/>
    <n v="1930"/>
    <x v="1"/>
  </r>
  <r>
    <x v="1"/>
    <b v="0"/>
    <b v="0"/>
    <n v="0"/>
    <n v="0"/>
    <n v="0"/>
    <n v="1149"/>
    <n v="0"/>
    <n v="0"/>
    <n v="1149"/>
    <x v="38"/>
    <n v="0"/>
    <n v="0"/>
    <n v="0"/>
    <n v="1149"/>
    <m/>
    <n v="0"/>
    <n v="0"/>
    <x v="20"/>
    <n v="1149"/>
    <n v="1149"/>
    <x v="1"/>
  </r>
  <r>
    <x v="1"/>
    <b v="0"/>
    <b v="0"/>
    <n v="0"/>
    <n v="0"/>
    <n v="0"/>
    <n v="1003"/>
    <n v="0"/>
    <n v="0"/>
    <n v="1003"/>
    <x v="38"/>
    <n v="0"/>
    <n v="0"/>
    <n v="0"/>
    <n v="1003"/>
    <m/>
    <n v="0"/>
    <n v="0"/>
    <x v="21"/>
    <n v="1003"/>
    <n v="1003"/>
    <x v="1"/>
  </r>
  <r>
    <x v="1"/>
    <b v="0"/>
    <b v="0"/>
    <n v="0"/>
    <n v="0"/>
    <n v="0"/>
    <n v="1812"/>
    <n v="0"/>
    <n v="0"/>
    <n v="1812"/>
    <x v="38"/>
    <n v="0"/>
    <n v="0"/>
    <n v="0"/>
    <n v="1812"/>
    <m/>
    <n v="0"/>
    <n v="0"/>
    <x v="22"/>
    <n v="1812"/>
    <n v="1812"/>
    <x v="1"/>
  </r>
  <r>
    <x v="1"/>
    <b v="0"/>
    <b v="0"/>
    <n v="0"/>
    <n v="0"/>
    <n v="0"/>
    <n v="2092"/>
    <n v="0"/>
    <n v="0"/>
    <n v="2092"/>
    <x v="38"/>
    <n v="0"/>
    <n v="0"/>
    <n v="0"/>
    <n v="2092"/>
    <m/>
    <n v="0"/>
    <n v="0"/>
    <x v="23"/>
    <n v="2092"/>
    <n v="2092"/>
    <x v="1"/>
  </r>
  <r>
    <x v="1"/>
    <b v="0"/>
    <b v="0"/>
    <n v="0"/>
    <n v="0"/>
    <n v="0"/>
    <n v="1212"/>
    <n v="0"/>
    <n v="0"/>
    <n v="1212"/>
    <x v="38"/>
    <n v="0"/>
    <n v="0"/>
    <n v="0"/>
    <n v="1212"/>
    <m/>
    <n v="0"/>
    <n v="0"/>
    <x v="24"/>
    <n v="1212"/>
    <n v="1212"/>
    <x v="1"/>
  </r>
  <r>
    <x v="1"/>
    <b v="0"/>
    <b v="0"/>
    <n v="0"/>
    <n v="0"/>
    <n v="0"/>
    <n v="1335"/>
    <n v="0"/>
    <n v="0"/>
    <n v="1335"/>
    <x v="38"/>
    <n v="0"/>
    <n v="0"/>
    <n v="0"/>
    <n v="1335"/>
    <m/>
    <n v="0"/>
    <n v="0"/>
    <x v="25"/>
    <n v="1335"/>
    <n v="1335"/>
    <x v="1"/>
  </r>
  <r>
    <x v="1"/>
    <b v="0"/>
    <b v="0"/>
    <n v="0"/>
    <n v="0"/>
    <n v="0"/>
    <n v="1350"/>
    <n v="0"/>
    <n v="0"/>
    <n v="1350"/>
    <x v="38"/>
    <n v="0"/>
    <n v="0"/>
    <n v="0"/>
    <n v="1350"/>
    <m/>
    <n v="0"/>
    <n v="0"/>
    <x v="26"/>
    <n v="1350"/>
    <n v="1350"/>
    <x v="1"/>
  </r>
  <r>
    <x v="1"/>
    <b v="0"/>
    <b v="0"/>
    <n v="0"/>
    <n v="0"/>
    <n v="0"/>
    <n v="1524"/>
    <n v="0"/>
    <n v="0"/>
    <n v="1524"/>
    <x v="38"/>
    <n v="0"/>
    <n v="0"/>
    <n v="0"/>
    <n v="1524"/>
    <m/>
    <n v="0"/>
    <n v="0"/>
    <x v="27"/>
    <n v="1524"/>
    <n v="1524"/>
    <x v="1"/>
  </r>
  <r>
    <x v="1"/>
    <b v="0"/>
    <b v="0"/>
    <n v="0"/>
    <n v="0"/>
    <n v="0"/>
    <n v="1272"/>
    <n v="0"/>
    <n v="0"/>
    <n v="1272"/>
    <x v="38"/>
    <n v="0"/>
    <n v="0"/>
    <n v="0"/>
    <n v="1272"/>
    <m/>
    <n v="0"/>
    <n v="0"/>
    <x v="28"/>
    <n v="1272"/>
    <n v="1272"/>
    <x v="1"/>
  </r>
  <r>
    <x v="1"/>
    <b v="0"/>
    <b v="0"/>
    <n v="0"/>
    <n v="0"/>
    <n v="0"/>
    <n v="1106"/>
    <n v="0"/>
    <n v="0"/>
    <n v="1106"/>
    <x v="38"/>
    <n v="0"/>
    <n v="0"/>
    <n v="0"/>
    <n v="1106"/>
    <m/>
    <n v="0"/>
    <n v="0"/>
    <x v="29"/>
    <n v="1106"/>
    <n v="1106"/>
    <x v="1"/>
  </r>
  <r>
    <x v="1"/>
    <b v="0"/>
    <b v="0"/>
    <n v="0"/>
    <n v="0"/>
    <n v="0"/>
    <n v="797"/>
    <n v="0"/>
    <n v="0"/>
    <n v="797"/>
    <x v="38"/>
    <n v="0"/>
    <n v="0"/>
    <n v="0"/>
    <n v="797"/>
    <m/>
    <n v="0"/>
    <n v="0"/>
    <x v="30"/>
    <n v="797"/>
    <n v="797"/>
    <x v="2"/>
  </r>
  <r>
    <x v="1"/>
    <b v="0"/>
    <b v="0"/>
    <n v="0"/>
    <n v="0"/>
    <n v="0"/>
    <n v="2473"/>
    <n v="0"/>
    <n v="0"/>
    <n v="2473"/>
    <x v="38"/>
    <n v="0"/>
    <n v="0"/>
    <n v="0"/>
    <n v="2473"/>
    <m/>
    <n v="0"/>
    <n v="0"/>
    <x v="31"/>
    <n v="2473"/>
    <n v="2473"/>
    <x v="2"/>
  </r>
  <r>
    <x v="1"/>
    <b v="0"/>
    <b v="0"/>
    <n v="0"/>
    <n v="0"/>
    <n v="0"/>
    <n v="1256"/>
    <n v="0"/>
    <n v="0"/>
    <n v="1256"/>
    <x v="38"/>
    <n v="0"/>
    <n v="0"/>
    <n v="0"/>
    <n v="1256"/>
    <m/>
    <n v="0"/>
    <n v="0"/>
    <x v="32"/>
    <n v="1256"/>
    <n v="1256"/>
    <x v="2"/>
  </r>
  <r>
    <x v="1"/>
    <b v="0"/>
    <b v="0"/>
    <n v="0"/>
    <n v="0"/>
    <n v="0"/>
    <n v="1343"/>
    <n v="0"/>
    <n v="0"/>
    <n v="1343"/>
    <x v="38"/>
    <n v="0"/>
    <n v="0"/>
    <n v="0"/>
    <n v="1343"/>
    <m/>
    <n v="0"/>
    <n v="0"/>
    <x v="33"/>
    <n v="1343"/>
    <n v="1343"/>
    <x v="2"/>
  </r>
  <r>
    <x v="1"/>
    <b v="0"/>
    <b v="0"/>
    <n v="0"/>
    <n v="0"/>
    <n v="0"/>
    <n v="1832"/>
    <n v="0"/>
    <n v="0"/>
    <n v="1832"/>
    <x v="38"/>
    <n v="0"/>
    <n v="0"/>
    <n v="0"/>
    <n v="1832"/>
    <m/>
    <n v="0"/>
    <n v="0"/>
    <x v="34"/>
    <n v="1832"/>
    <n v="1832"/>
    <x v="2"/>
  </r>
  <r>
    <x v="1"/>
    <b v="0"/>
    <b v="0"/>
    <n v="0"/>
    <n v="0"/>
    <n v="0"/>
    <n v="1892"/>
    <n v="0"/>
    <n v="0"/>
    <n v="1892"/>
    <x v="38"/>
    <n v="0"/>
    <n v="0"/>
    <n v="0"/>
    <n v="1892"/>
    <m/>
    <n v="0"/>
    <n v="0"/>
    <x v="35"/>
    <n v="1892"/>
    <n v="1892"/>
    <x v="2"/>
  </r>
  <r>
    <x v="1"/>
    <b v="0"/>
    <b v="0"/>
    <n v="0"/>
    <n v="0"/>
    <n v="0"/>
    <n v="1215"/>
    <n v="0"/>
    <n v="0"/>
    <n v="1215"/>
    <x v="38"/>
    <n v="0"/>
    <n v="0"/>
    <n v="0"/>
    <n v="1215"/>
    <m/>
    <n v="0"/>
    <n v="0"/>
    <x v="36"/>
    <n v="1215"/>
    <n v="1215"/>
    <x v="2"/>
  </r>
  <r>
    <x v="1"/>
    <b v="0"/>
    <b v="0"/>
    <n v="0"/>
    <n v="0"/>
    <n v="0"/>
    <n v="1338"/>
    <n v="0"/>
    <n v="0"/>
    <n v="1338"/>
    <x v="38"/>
    <n v="0"/>
    <n v="0"/>
    <n v="0"/>
    <n v="1338"/>
    <m/>
    <n v="0"/>
    <n v="0"/>
    <x v="37"/>
    <n v="1338"/>
    <n v="1338"/>
    <x v="2"/>
  </r>
  <r>
    <x v="1"/>
    <b v="0"/>
    <b v="0"/>
    <n v="0"/>
    <n v="0"/>
    <n v="0"/>
    <n v="1352"/>
    <n v="0"/>
    <n v="0"/>
    <n v="1352"/>
    <x v="38"/>
    <n v="0"/>
    <n v="0"/>
    <n v="0"/>
    <n v="1352"/>
    <m/>
    <n v="0"/>
    <n v="0"/>
    <x v="38"/>
    <n v="1352"/>
    <n v="1352"/>
    <x v="2"/>
  </r>
  <r>
    <x v="1"/>
    <b v="0"/>
    <b v="0"/>
    <n v="0"/>
    <n v="0"/>
    <n v="0"/>
    <n v="1638"/>
    <n v="0"/>
    <n v="0"/>
    <n v="1638"/>
    <x v="38"/>
    <n v="0"/>
    <n v="0"/>
    <n v="0"/>
    <n v="1638"/>
    <m/>
    <n v="0"/>
    <n v="0"/>
    <x v="39"/>
    <n v="1638"/>
    <n v="1638"/>
    <x v="2"/>
  </r>
  <r>
    <x v="1"/>
    <b v="0"/>
    <b v="0"/>
    <n v="0"/>
    <n v="0"/>
    <n v="0"/>
    <n v="1372"/>
    <n v="0"/>
    <n v="0"/>
    <n v="1372"/>
    <x v="38"/>
    <n v="0"/>
    <n v="0"/>
    <n v="0"/>
    <n v="1372"/>
    <m/>
    <n v="0"/>
    <n v="0"/>
    <x v="40"/>
    <n v="1372"/>
    <n v="1372"/>
    <x v="2"/>
  </r>
  <r>
    <x v="1"/>
    <b v="0"/>
    <b v="0"/>
    <n v="0"/>
    <n v="0"/>
    <n v="0"/>
    <n v="1081"/>
    <n v="0"/>
    <n v="0"/>
    <n v="1081"/>
    <x v="38"/>
    <n v="0"/>
    <n v="0"/>
    <n v="0"/>
    <n v="1081"/>
    <m/>
    <n v="0"/>
    <n v="0"/>
    <x v="41"/>
    <n v="1081"/>
    <n v="1081"/>
    <x v="2"/>
  </r>
  <r>
    <x v="1"/>
    <b v="0"/>
    <b v="0"/>
    <n v="0"/>
    <n v="0"/>
    <n v="0"/>
    <n v="281"/>
    <n v="0"/>
    <n v="0"/>
    <n v="281"/>
    <x v="38"/>
    <n v="0"/>
    <n v="0"/>
    <n v="0"/>
    <n v="281"/>
    <m/>
    <n v="0"/>
    <n v="0"/>
    <x v="42"/>
    <n v="281"/>
    <n v="281"/>
    <x v="1"/>
  </r>
  <r>
    <x v="1"/>
    <b v="0"/>
    <b v="0"/>
    <n v="0"/>
    <n v="0"/>
    <n v="0"/>
    <n v="436"/>
    <n v="0"/>
    <n v="0"/>
    <n v="436"/>
    <x v="38"/>
    <n v="0"/>
    <n v="0"/>
    <n v="0"/>
    <n v="436"/>
    <m/>
    <n v="0"/>
    <n v="0"/>
    <x v="43"/>
    <n v="436"/>
    <n v="436"/>
    <x v="1"/>
  </r>
  <r>
    <x v="1"/>
    <b v="0"/>
    <b v="0"/>
    <n v="0"/>
    <n v="0"/>
    <n v="0"/>
    <n v="1223"/>
    <n v="0"/>
    <n v="0"/>
    <n v="1223"/>
    <x v="38"/>
    <n v="0"/>
    <n v="0"/>
    <n v="0"/>
    <n v="1223"/>
    <m/>
    <n v="0"/>
    <n v="0"/>
    <x v="44"/>
    <n v="1223"/>
    <n v="1223"/>
    <x v="1"/>
  </r>
  <r>
    <x v="1"/>
    <b v="0"/>
    <b v="0"/>
    <n v="0"/>
    <n v="0"/>
    <n v="0"/>
    <n v="1422"/>
    <n v="0"/>
    <n v="0"/>
    <n v="1422"/>
    <x v="38"/>
    <n v="0"/>
    <n v="0"/>
    <n v="0"/>
    <n v="1422"/>
    <m/>
    <n v="0"/>
    <n v="0"/>
    <x v="45"/>
    <n v="1422"/>
    <n v="1422"/>
    <x v="1"/>
  </r>
  <r>
    <x v="1"/>
    <b v="0"/>
    <b v="0"/>
    <n v="0"/>
    <n v="0"/>
    <n v="0"/>
    <n v="2008"/>
    <n v="0"/>
    <n v="0"/>
    <n v="2008"/>
    <x v="38"/>
    <n v="0"/>
    <n v="0"/>
    <n v="0"/>
    <n v="2008"/>
    <m/>
    <n v="0"/>
    <n v="0"/>
    <x v="46"/>
    <n v="2008"/>
    <n v="2008"/>
    <x v="1"/>
  </r>
  <r>
    <x v="1"/>
    <b v="0"/>
    <b v="0"/>
    <n v="0"/>
    <n v="0"/>
    <n v="0"/>
    <n v="1422"/>
    <n v="0"/>
    <n v="0"/>
    <n v="1422"/>
    <x v="38"/>
    <n v="0"/>
    <n v="0"/>
    <n v="0"/>
    <n v="1422"/>
    <m/>
    <n v="0"/>
    <n v="0"/>
    <x v="47"/>
    <n v="1422"/>
    <n v="1422"/>
    <x v="1"/>
  </r>
  <r>
    <x v="1"/>
    <b v="0"/>
    <b v="0"/>
    <n v="0"/>
    <n v="0"/>
    <n v="0"/>
    <n v="1403"/>
    <n v="0"/>
    <n v="0"/>
    <n v="1403"/>
    <x v="38"/>
    <n v="0"/>
    <n v="0"/>
    <n v="0"/>
    <n v="1403"/>
    <m/>
    <n v="0"/>
    <n v="0"/>
    <x v="48"/>
    <n v="1403"/>
    <n v="1403"/>
    <x v="1"/>
  </r>
  <r>
    <x v="1"/>
    <b v="0"/>
    <b v="0"/>
    <n v="0"/>
    <n v="0"/>
    <n v="0"/>
    <n v="1506"/>
    <n v="0"/>
    <n v="0"/>
    <n v="1506"/>
    <x v="38"/>
    <n v="0"/>
    <n v="0"/>
    <n v="0"/>
    <n v="1506"/>
    <m/>
    <n v="0"/>
    <n v="0"/>
    <x v="49"/>
    <n v="1506"/>
    <n v="1506"/>
    <x v="1"/>
  </r>
  <r>
    <x v="1"/>
    <b v="0"/>
    <b v="0"/>
    <n v="0"/>
    <n v="0"/>
    <n v="0"/>
    <n v="1499"/>
    <n v="0"/>
    <n v="0"/>
    <n v="1499"/>
    <x v="38"/>
    <n v="0"/>
    <n v="0"/>
    <n v="0"/>
    <n v="1499"/>
    <m/>
    <n v="0"/>
    <n v="0"/>
    <x v="50"/>
    <n v="1499"/>
    <n v="1499"/>
    <x v="1"/>
  </r>
  <r>
    <x v="1"/>
    <b v="0"/>
    <b v="0"/>
    <n v="0"/>
    <n v="0"/>
    <n v="0"/>
    <n v="2136"/>
    <n v="0"/>
    <n v="0"/>
    <n v="2136"/>
    <x v="38"/>
    <n v="0"/>
    <n v="0"/>
    <n v="0"/>
    <n v="2136"/>
    <m/>
    <n v="0"/>
    <n v="0"/>
    <x v="51"/>
    <n v="2136"/>
    <n v="2136"/>
    <x v="1"/>
  </r>
  <r>
    <x v="1"/>
    <b v="0"/>
    <b v="0"/>
    <n v="0"/>
    <n v="0"/>
    <n v="0"/>
    <n v="1081"/>
    <n v="0"/>
    <n v="0"/>
    <n v="1081"/>
    <x v="38"/>
    <n v="0"/>
    <n v="0"/>
    <n v="0"/>
    <n v="1081"/>
    <m/>
    <n v="0"/>
    <n v="0"/>
    <x v="52"/>
    <n v="1081"/>
    <n v="1081"/>
    <x v="1"/>
  </r>
  <r>
    <x v="1"/>
    <b v="0"/>
    <b v="0"/>
    <n v="0"/>
    <n v="0"/>
    <n v="0"/>
    <n v="1081"/>
    <n v="0"/>
    <n v="0"/>
    <n v="1081"/>
    <x v="38"/>
    <n v="0"/>
    <n v="0"/>
    <n v="0"/>
    <n v="1081"/>
    <m/>
    <n v="0"/>
    <n v="0"/>
    <x v="53"/>
    <n v="1081"/>
    <n v="1081"/>
    <x v="1"/>
  </r>
  <r>
    <x v="1"/>
    <b v="0"/>
    <b v="0"/>
    <n v="0"/>
    <n v="0"/>
    <n v="0"/>
    <n v="1081"/>
    <n v="0"/>
    <n v="0"/>
    <n v="1081"/>
    <x v="38"/>
    <n v="0"/>
    <n v="0"/>
    <n v="0"/>
    <n v="1081"/>
    <m/>
    <n v="0"/>
    <n v="0"/>
    <x v="54"/>
    <n v="1081"/>
    <n v="1081"/>
    <x v="1"/>
  </r>
  <r>
    <x v="1"/>
    <b v="0"/>
    <b v="0"/>
    <n v="0"/>
    <n v="0"/>
    <n v="0"/>
    <n v="1081"/>
    <n v="0"/>
    <n v="0"/>
    <n v="1081"/>
    <x v="38"/>
    <n v="0"/>
    <n v="0"/>
    <n v="0"/>
    <n v="1081"/>
    <m/>
    <n v="0"/>
    <n v="0"/>
    <x v="55"/>
    <n v="1081"/>
    <n v="1081"/>
    <x v="1"/>
  </r>
  <r>
    <x v="1"/>
    <b v="0"/>
    <b v="0"/>
    <n v="0"/>
    <n v="0"/>
    <n v="0"/>
    <n v="1081"/>
    <n v="0"/>
    <n v="0"/>
    <n v="1081"/>
    <x v="38"/>
    <n v="0"/>
    <n v="0"/>
    <n v="0"/>
    <n v="1081"/>
    <m/>
    <n v="0"/>
    <n v="0"/>
    <x v="56"/>
    <n v="1081"/>
    <n v="1081"/>
    <x v="1"/>
  </r>
  <r>
    <x v="1"/>
    <b v="0"/>
    <b v="0"/>
    <n v="0"/>
    <n v="0"/>
    <n v="0"/>
    <n v="1081"/>
    <n v="0"/>
    <n v="0"/>
    <n v="1081"/>
    <x v="38"/>
    <n v="0"/>
    <n v="0"/>
    <n v="0"/>
    <n v="1081"/>
    <m/>
    <n v="0"/>
    <n v="0"/>
    <x v="57"/>
    <n v="1081"/>
    <n v="1081"/>
    <x v="1"/>
  </r>
  <r>
    <x v="1"/>
    <b v="0"/>
    <b v="0"/>
    <n v="0"/>
    <n v="0"/>
    <n v="0"/>
    <n v="2068"/>
    <n v="0"/>
    <n v="0"/>
    <n v="2068"/>
    <x v="38"/>
    <n v="0"/>
    <n v="0"/>
    <n v="0"/>
    <n v="2068"/>
    <m/>
    <n v="0"/>
    <n v="0"/>
    <x v="58"/>
    <n v="2068"/>
    <n v="2068"/>
    <x v="1"/>
  </r>
  <r>
    <x v="1"/>
    <b v="0"/>
    <b v="0"/>
    <n v="0"/>
    <n v="0"/>
    <n v="0"/>
    <n v="1573"/>
    <n v="0"/>
    <n v="0"/>
    <n v="1573"/>
    <x v="38"/>
    <n v="0"/>
    <n v="0"/>
    <n v="0"/>
    <n v="1573"/>
    <m/>
    <n v="0"/>
    <n v="0"/>
    <x v="59"/>
    <n v="1573"/>
    <n v="1573"/>
    <x v="1"/>
  </r>
  <r>
    <x v="1"/>
    <b v="0"/>
    <b v="0"/>
    <n v="0"/>
    <n v="0"/>
    <n v="0"/>
    <n v="1468"/>
    <n v="0"/>
    <n v="0"/>
    <n v="1468"/>
    <x v="38"/>
    <n v="0"/>
    <n v="0"/>
    <n v="0"/>
    <n v="1468"/>
    <m/>
    <n v="0"/>
    <n v="0"/>
    <x v="60"/>
    <n v="1468"/>
    <n v="1468"/>
    <x v="1"/>
  </r>
  <r>
    <x v="1"/>
    <b v="0"/>
    <b v="0"/>
    <n v="0"/>
    <n v="0"/>
    <n v="0"/>
    <n v="1581"/>
    <n v="0"/>
    <n v="0"/>
    <n v="1581"/>
    <x v="38"/>
    <n v="0"/>
    <n v="0"/>
    <n v="0"/>
    <n v="1581"/>
    <m/>
    <n v="0"/>
    <n v="0"/>
    <x v="61"/>
    <n v="1581"/>
    <n v="1581"/>
    <x v="1"/>
  </r>
  <r>
    <x v="1"/>
    <b v="0"/>
    <b v="0"/>
    <n v="0"/>
    <n v="0"/>
    <n v="0"/>
    <n v="1641"/>
    <n v="0"/>
    <n v="0"/>
    <n v="1641"/>
    <x v="38"/>
    <n v="0"/>
    <n v="0"/>
    <n v="0"/>
    <n v="1641"/>
    <m/>
    <n v="0"/>
    <n v="0"/>
    <x v="62"/>
    <n v="1641"/>
    <n v="1641"/>
    <x v="1"/>
  </r>
  <r>
    <x v="1"/>
    <b v="0"/>
    <b v="0"/>
    <n v="0"/>
    <n v="0"/>
    <n v="0"/>
    <n v="1081"/>
    <n v="0"/>
    <n v="0"/>
    <n v="1081"/>
    <x v="38"/>
    <n v="0"/>
    <n v="0"/>
    <n v="0"/>
    <n v="1081"/>
    <m/>
    <n v="0"/>
    <n v="0"/>
    <x v="63"/>
    <n v="1081"/>
    <n v="1081"/>
    <x v="1"/>
  </r>
  <r>
    <x v="1"/>
    <b v="0"/>
    <b v="0"/>
    <n v="0"/>
    <n v="0"/>
    <n v="0"/>
    <n v="1081"/>
    <n v="0"/>
    <n v="0"/>
    <n v="1081"/>
    <x v="38"/>
    <n v="0"/>
    <n v="0"/>
    <n v="0"/>
    <n v="1081"/>
    <m/>
    <n v="0"/>
    <n v="0"/>
    <x v="64"/>
    <n v="1081"/>
    <n v="1081"/>
    <x v="1"/>
  </r>
  <r>
    <x v="1"/>
    <b v="0"/>
    <b v="0"/>
    <n v="0"/>
    <n v="0"/>
    <n v="0"/>
    <n v="1081"/>
    <n v="0"/>
    <n v="0"/>
    <n v="1081"/>
    <x v="38"/>
    <n v="0"/>
    <n v="0"/>
    <n v="0"/>
    <n v="1081"/>
    <m/>
    <n v="0"/>
    <n v="0"/>
    <x v="65"/>
    <n v="1081"/>
    <n v="1081"/>
    <x v="1"/>
  </r>
  <r>
    <x v="1"/>
    <b v="0"/>
    <b v="0"/>
    <n v="0"/>
    <n v="0"/>
    <n v="0"/>
    <n v="1081"/>
    <n v="0"/>
    <n v="0"/>
    <n v="1081"/>
    <x v="38"/>
    <n v="0"/>
    <n v="0"/>
    <n v="0"/>
    <n v="1081"/>
    <m/>
    <n v="0"/>
    <n v="0"/>
    <x v="66"/>
    <n v="1081"/>
    <n v="1081"/>
    <x v="2"/>
  </r>
  <r>
    <x v="1"/>
    <b v="0"/>
    <b v="0"/>
    <n v="0"/>
    <n v="0"/>
    <n v="0"/>
    <n v="1081"/>
    <n v="0"/>
    <n v="0"/>
    <n v="1081"/>
    <x v="38"/>
    <n v="0"/>
    <n v="0"/>
    <n v="0"/>
    <n v="1081"/>
    <m/>
    <n v="0"/>
    <n v="0"/>
    <x v="67"/>
    <n v="1081"/>
    <n v="1081"/>
    <x v="2"/>
  </r>
  <r>
    <x v="1"/>
    <b v="0"/>
    <b v="0"/>
    <n v="0"/>
    <n v="0"/>
    <n v="0"/>
    <n v="1347"/>
    <n v="0"/>
    <n v="0"/>
    <n v="1347"/>
    <x v="38"/>
    <n v="0"/>
    <n v="0"/>
    <n v="0"/>
    <n v="1347"/>
    <m/>
    <n v="0"/>
    <n v="0"/>
    <x v="68"/>
    <n v="1347"/>
    <n v="1347"/>
    <x v="2"/>
  </r>
  <r>
    <x v="1"/>
    <b v="0"/>
    <b v="0"/>
    <n v="0"/>
    <n v="0"/>
    <n v="0"/>
    <n v="1253"/>
    <n v="0"/>
    <n v="0"/>
    <n v="1253"/>
    <x v="38"/>
    <n v="0"/>
    <n v="0"/>
    <n v="0"/>
    <n v="1253"/>
    <m/>
    <n v="0"/>
    <n v="0"/>
    <x v="69"/>
    <n v="1253"/>
    <n v="1253"/>
    <x v="2"/>
  </r>
  <r>
    <x v="1"/>
    <b v="0"/>
    <b v="0"/>
    <n v="0"/>
    <n v="0"/>
    <n v="0"/>
    <n v="2138"/>
    <n v="0"/>
    <n v="0"/>
    <n v="2138"/>
    <x v="38"/>
    <n v="0"/>
    <n v="0"/>
    <n v="0"/>
    <n v="2138"/>
    <m/>
    <n v="0"/>
    <n v="0"/>
    <x v="70"/>
    <n v="2138"/>
    <n v="2138"/>
    <x v="2"/>
  </r>
  <r>
    <x v="1"/>
    <b v="0"/>
    <b v="0"/>
    <n v="0"/>
    <n v="0"/>
    <n v="0"/>
    <n v="1646"/>
    <n v="0"/>
    <n v="0"/>
    <n v="1646"/>
    <x v="38"/>
    <n v="0"/>
    <n v="0"/>
    <n v="0"/>
    <n v="1646"/>
    <m/>
    <n v="0"/>
    <n v="0"/>
    <x v="71"/>
    <n v="1646"/>
    <n v="1646"/>
    <x v="2"/>
  </r>
  <r>
    <x v="1"/>
    <b v="0"/>
    <b v="0"/>
    <n v="0"/>
    <n v="0"/>
    <n v="0"/>
    <n v="1998"/>
    <n v="0"/>
    <n v="0"/>
    <n v="1998"/>
    <x v="38"/>
    <n v="0"/>
    <n v="0"/>
    <n v="0"/>
    <n v="1998"/>
    <m/>
    <n v="0"/>
    <n v="0"/>
    <x v="72"/>
    <n v="1998"/>
    <n v="1998"/>
    <x v="2"/>
  </r>
  <r>
    <x v="1"/>
    <b v="0"/>
    <b v="0"/>
    <n v="0"/>
    <n v="0"/>
    <n v="0"/>
    <n v="1653"/>
    <n v="0"/>
    <n v="0"/>
    <n v="1653"/>
    <x v="38"/>
    <n v="0"/>
    <n v="0"/>
    <n v="0"/>
    <n v="1653"/>
    <m/>
    <n v="0"/>
    <n v="0"/>
    <x v="73"/>
    <n v="1653"/>
    <n v="1653"/>
    <x v="2"/>
  </r>
  <r>
    <x v="1"/>
    <b v="0"/>
    <b v="0"/>
    <n v="0"/>
    <n v="0"/>
    <n v="0"/>
    <n v="1833"/>
    <n v="0"/>
    <n v="0"/>
    <n v="1833"/>
    <x v="38"/>
    <n v="0"/>
    <n v="0"/>
    <n v="0"/>
    <n v="1833"/>
    <m/>
    <n v="0"/>
    <n v="0"/>
    <x v="74"/>
    <n v="1833"/>
    <n v="1833"/>
    <x v="2"/>
  </r>
  <r>
    <x v="1"/>
    <b v="0"/>
    <b v="0"/>
    <n v="0"/>
    <n v="0"/>
    <n v="0"/>
    <n v="1570"/>
    <n v="727"/>
    <n v="0"/>
    <n v="2297"/>
    <x v="38"/>
    <n v="0"/>
    <n v="0"/>
    <n v="0"/>
    <n v="2297"/>
    <m/>
    <n v="0"/>
    <n v="0"/>
    <x v="75"/>
    <n v="2297"/>
    <n v="2297"/>
    <x v="2"/>
  </r>
  <r>
    <x v="1"/>
    <b v="0"/>
    <b v="0"/>
    <n v="0"/>
    <n v="0"/>
    <n v="0"/>
    <n v="2075"/>
    <n v="0"/>
    <n v="0"/>
    <n v="2075"/>
    <x v="38"/>
    <n v="0"/>
    <n v="0"/>
    <n v="0"/>
    <n v="2075"/>
    <m/>
    <n v="0"/>
    <n v="0"/>
    <x v="76"/>
    <n v="2075"/>
    <n v="2075"/>
    <x v="2"/>
  </r>
  <r>
    <x v="1"/>
    <b v="0"/>
    <b v="0"/>
    <n v="0"/>
    <n v="0"/>
    <n v="0"/>
    <n v="1680"/>
    <n v="0"/>
    <n v="0"/>
    <n v="1680"/>
    <x v="38"/>
    <n v="0"/>
    <n v="0"/>
    <n v="0"/>
    <n v="1680"/>
    <m/>
    <n v="0"/>
    <n v="0"/>
    <x v="77"/>
    <n v="1680"/>
    <n v="1680"/>
    <x v="2"/>
  </r>
  <r>
    <x v="1"/>
    <b v="0"/>
    <b v="0"/>
    <n v="0"/>
    <n v="0"/>
    <n v="0"/>
    <n v="1001"/>
    <n v="0"/>
    <n v="0"/>
    <n v="1001"/>
    <x v="38"/>
    <n v="0"/>
    <n v="0"/>
    <n v="0"/>
    <n v="1001"/>
    <m/>
    <n v="0"/>
    <n v="0"/>
    <x v="78"/>
    <n v="1001"/>
    <n v="1001"/>
    <x v="0"/>
  </r>
  <r>
    <x v="1"/>
    <b v="0"/>
    <b v="0"/>
    <n v="0"/>
    <n v="0"/>
    <n v="0"/>
    <n v="1042"/>
    <n v="0"/>
    <n v="0"/>
    <n v="1042"/>
    <x v="38"/>
    <n v="0"/>
    <n v="0"/>
    <n v="0"/>
    <n v="1042"/>
    <m/>
    <n v="0"/>
    <n v="0"/>
    <x v="79"/>
    <n v="1042"/>
    <n v="1042"/>
    <x v="0"/>
  </r>
  <r>
    <x v="1"/>
    <b v="0"/>
    <b v="0"/>
    <n v="0"/>
    <n v="0"/>
    <n v="0"/>
    <n v="1427"/>
    <n v="0"/>
    <n v="0"/>
    <n v="1427"/>
    <x v="38"/>
    <n v="0"/>
    <n v="0"/>
    <n v="0"/>
    <n v="1427"/>
    <m/>
    <n v="0"/>
    <n v="0"/>
    <x v="80"/>
    <n v="1427"/>
    <n v="1427"/>
    <x v="0"/>
  </r>
  <r>
    <x v="1"/>
    <b v="0"/>
    <b v="0"/>
    <n v="0"/>
    <n v="0"/>
    <n v="0"/>
    <n v="1332"/>
    <n v="0"/>
    <n v="0"/>
    <n v="1332"/>
    <x v="38"/>
    <n v="0"/>
    <n v="0"/>
    <n v="0"/>
    <n v="1332"/>
    <m/>
    <n v="0"/>
    <n v="0"/>
    <x v="81"/>
    <n v="1332"/>
    <n v="1332"/>
    <x v="0"/>
  </r>
  <r>
    <x v="1"/>
    <b v="0"/>
    <b v="0"/>
    <n v="0"/>
    <n v="0"/>
    <n v="0"/>
    <n v="2338"/>
    <n v="0"/>
    <n v="0"/>
    <n v="2338"/>
    <x v="38"/>
    <n v="0"/>
    <n v="0"/>
    <n v="0"/>
    <n v="2338"/>
    <m/>
    <n v="0"/>
    <n v="0"/>
    <x v="82"/>
    <n v="2338"/>
    <n v="2338"/>
    <x v="0"/>
  </r>
  <r>
    <x v="1"/>
    <b v="0"/>
    <b v="0"/>
    <n v="0"/>
    <n v="0"/>
    <n v="0"/>
    <n v="1850"/>
    <n v="743"/>
    <n v="0"/>
    <n v="2593"/>
    <x v="38"/>
    <n v="0"/>
    <n v="0"/>
    <n v="0"/>
    <n v="2593"/>
    <m/>
    <n v="0"/>
    <n v="0"/>
    <x v="83"/>
    <n v="2593"/>
    <n v="2593"/>
    <x v="0"/>
  </r>
  <r>
    <x v="1"/>
    <b v="0"/>
    <b v="0"/>
    <n v="0"/>
    <n v="0"/>
    <n v="0"/>
    <n v="2022"/>
    <n v="0"/>
    <n v="0"/>
    <n v="2022"/>
    <x v="38"/>
    <n v="0"/>
    <n v="0"/>
    <n v="0"/>
    <n v="2022"/>
    <m/>
    <n v="0"/>
    <n v="0"/>
    <x v="84"/>
    <n v="2022"/>
    <n v="2022"/>
    <x v="0"/>
  </r>
  <r>
    <x v="1"/>
    <b v="0"/>
    <b v="0"/>
    <n v="0"/>
    <n v="0"/>
    <n v="0"/>
    <n v="1771"/>
    <n v="0"/>
    <n v="0"/>
    <n v="1771"/>
    <x v="38"/>
    <n v="0"/>
    <n v="0"/>
    <n v="0"/>
    <n v="1771"/>
    <m/>
    <n v="0"/>
    <n v="0"/>
    <x v="85"/>
    <n v="1771"/>
    <n v="1771"/>
    <x v="0"/>
  </r>
  <r>
    <x v="1"/>
    <b v="0"/>
    <b v="0"/>
    <n v="0"/>
    <n v="0"/>
    <n v="0"/>
    <n v="1795"/>
    <n v="0"/>
    <n v="0"/>
    <n v="1795"/>
    <x v="38"/>
    <n v="0"/>
    <n v="0"/>
    <n v="0"/>
    <n v="1795"/>
    <m/>
    <n v="0"/>
    <n v="0"/>
    <x v="86"/>
    <n v="1795"/>
    <n v="1795"/>
    <x v="0"/>
  </r>
  <r>
    <x v="1"/>
    <b v="0"/>
    <b v="0"/>
    <n v="0"/>
    <n v="0"/>
    <n v="0"/>
    <n v="1823"/>
    <n v="0"/>
    <n v="0"/>
    <n v="1823"/>
    <x v="38"/>
    <n v="0"/>
    <n v="0"/>
    <n v="0"/>
    <n v="1823"/>
    <m/>
    <n v="0"/>
    <n v="0"/>
    <x v="87"/>
    <n v="1823"/>
    <n v="1823"/>
    <x v="0"/>
  </r>
  <r>
    <x v="1"/>
    <b v="0"/>
    <b v="0"/>
    <n v="0"/>
    <n v="0"/>
    <n v="0"/>
    <n v="2015"/>
    <n v="0"/>
    <n v="0"/>
    <n v="2015"/>
    <x v="38"/>
    <n v="0"/>
    <n v="0"/>
    <n v="0"/>
    <n v="2015"/>
    <m/>
    <n v="0"/>
    <n v="0"/>
    <x v="88"/>
    <n v="2015"/>
    <n v="2015"/>
    <x v="0"/>
  </r>
  <r>
    <x v="1"/>
    <b v="0"/>
    <b v="0"/>
    <n v="0"/>
    <n v="0"/>
    <n v="0"/>
    <n v="1800"/>
    <n v="0"/>
    <n v="0"/>
    <n v="1800"/>
    <x v="38"/>
    <n v="0"/>
    <n v="0"/>
    <n v="0"/>
    <n v="1800"/>
    <m/>
    <n v="0"/>
    <n v="0"/>
    <x v="89"/>
    <n v="1800"/>
    <n v="1800"/>
    <x v="0"/>
  </r>
  <r>
    <x v="1"/>
    <b v="0"/>
    <b v="0"/>
    <n v="0"/>
    <n v="0"/>
    <n v="0"/>
    <n v="1034"/>
    <n v="0"/>
    <n v="0"/>
    <n v="1034"/>
    <x v="38"/>
    <n v="0"/>
    <n v="0"/>
    <n v="0"/>
    <n v="1034"/>
    <m/>
    <n v="0"/>
    <n v="0"/>
    <x v="90"/>
    <n v="1034"/>
    <n v="1034"/>
    <x v="2"/>
  </r>
  <r>
    <x v="1"/>
    <b v="0"/>
    <b v="0"/>
    <n v="0"/>
    <n v="0"/>
    <n v="0"/>
    <n v="834"/>
    <n v="0"/>
    <n v="0"/>
    <n v="834"/>
    <x v="38"/>
    <n v="0"/>
    <n v="0"/>
    <n v="0"/>
    <n v="834"/>
    <m/>
    <n v="0"/>
    <n v="0"/>
    <x v="91"/>
    <n v="834"/>
    <n v="834"/>
    <x v="2"/>
  </r>
  <r>
    <x v="1"/>
    <b v="0"/>
    <b v="0"/>
    <n v="0"/>
    <n v="0"/>
    <n v="0"/>
    <n v="1757"/>
    <n v="0"/>
    <n v="0"/>
    <n v="1757"/>
    <x v="38"/>
    <n v="0"/>
    <n v="0"/>
    <n v="0"/>
    <n v="1757"/>
    <m/>
    <n v="0"/>
    <n v="0"/>
    <x v="92"/>
    <n v="1757"/>
    <n v="1757"/>
    <x v="2"/>
  </r>
  <r>
    <x v="1"/>
    <b v="0"/>
    <b v="0"/>
    <n v="0"/>
    <n v="0"/>
    <n v="0"/>
    <n v="3471"/>
    <n v="0"/>
    <n v="0"/>
    <n v="3471"/>
    <x v="38"/>
    <n v="0"/>
    <n v="0"/>
    <n v="0"/>
    <n v="3471"/>
    <m/>
    <n v="0"/>
    <n v="0"/>
    <x v="93"/>
    <n v="3471"/>
    <n v="3471"/>
    <x v="2"/>
  </r>
  <r>
    <x v="1"/>
    <b v="0"/>
    <b v="0"/>
    <n v="0"/>
    <n v="0"/>
    <n v="0"/>
    <n v="3336"/>
    <n v="0"/>
    <n v="0"/>
    <n v="3336"/>
    <x v="38"/>
    <n v="0"/>
    <n v="0"/>
    <n v="0"/>
    <n v="3336"/>
    <m/>
    <n v="0"/>
    <n v="0"/>
    <x v="94"/>
    <n v="3336"/>
    <n v="3336"/>
    <x v="2"/>
  </r>
  <r>
    <x v="1"/>
    <b v="0"/>
    <b v="0"/>
    <n v="0"/>
    <n v="0"/>
    <n v="0"/>
    <n v="2647"/>
    <n v="0"/>
    <n v="0"/>
    <n v="2647"/>
    <x v="38"/>
    <n v="0"/>
    <n v="0"/>
    <n v="0"/>
    <n v="2647"/>
    <m/>
    <n v="0"/>
    <n v="0"/>
    <x v="95"/>
    <n v="2647"/>
    <n v="2647"/>
    <x v="2"/>
  </r>
  <r>
    <x v="1"/>
    <b v="0"/>
    <b v="0"/>
    <n v="0"/>
    <n v="0"/>
    <n v="0"/>
    <n v="3825"/>
    <n v="0"/>
    <n v="0"/>
    <n v="3825"/>
    <x v="38"/>
    <n v="0"/>
    <n v="0"/>
    <n v="0"/>
    <n v="3825"/>
    <m/>
    <n v="0"/>
    <n v="0"/>
    <x v="96"/>
    <n v="3825"/>
    <n v="3825"/>
    <x v="2"/>
  </r>
  <r>
    <x v="1"/>
    <b v="0"/>
    <b v="0"/>
    <n v="0"/>
    <n v="0"/>
    <n v="0"/>
    <n v="4109"/>
    <n v="0"/>
    <n v="0"/>
    <n v="4109"/>
    <x v="38"/>
    <n v="0"/>
    <n v="0"/>
    <n v="0"/>
    <n v="4109"/>
    <m/>
    <n v="0"/>
    <n v="0"/>
    <x v="97"/>
    <n v="4109"/>
    <n v="4109"/>
    <x v="2"/>
  </r>
  <r>
    <x v="1"/>
    <b v="0"/>
    <b v="0"/>
    <n v="0"/>
    <n v="0"/>
    <n v="0"/>
    <n v="2952"/>
    <n v="0"/>
    <n v="0"/>
    <n v="2952"/>
    <x v="38"/>
    <n v="0"/>
    <n v="0"/>
    <n v="0"/>
    <n v="2952"/>
    <m/>
    <n v="0"/>
    <n v="0"/>
    <x v="98"/>
    <n v="2952"/>
    <n v="2952"/>
    <x v="2"/>
  </r>
  <r>
    <x v="1"/>
    <b v="0"/>
    <b v="0"/>
    <n v="0"/>
    <n v="0"/>
    <n v="0"/>
    <n v="4524"/>
    <n v="0"/>
    <n v="0"/>
    <n v="4524"/>
    <x v="38"/>
    <n v="0"/>
    <n v="0"/>
    <n v="0"/>
    <n v="4524"/>
    <m/>
    <n v="0"/>
    <n v="0"/>
    <x v="99"/>
    <n v="4524"/>
    <n v="4524"/>
    <x v="2"/>
  </r>
  <r>
    <x v="1"/>
    <b v="0"/>
    <b v="0"/>
    <n v="0"/>
    <n v="0"/>
    <n v="0"/>
    <n v="3533"/>
    <n v="0"/>
    <n v="0"/>
    <n v="3533"/>
    <x v="38"/>
    <n v="0"/>
    <n v="0"/>
    <n v="0"/>
    <n v="3533"/>
    <m/>
    <n v="0"/>
    <n v="0"/>
    <x v="100"/>
    <n v="3533"/>
    <n v="3533"/>
    <x v="2"/>
  </r>
  <r>
    <x v="1"/>
    <b v="0"/>
    <b v="0"/>
    <n v="0"/>
    <n v="0"/>
    <n v="0"/>
    <n v="2299"/>
    <n v="0"/>
    <n v="0"/>
    <n v="2299"/>
    <x v="38"/>
    <n v="0"/>
    <n v="0"/>
    <n v="0"/>
    <n v="2299"/>
    <m/>
    <n v="0"/>
    <n v="0"/>
    <x v="101"/>
    <n v="2299"/>
    <n v="2299"/>
    <x v="2"/>
  </r>
  <r>
    <x v="1"/>
    <b v="0"/>
    <b v="0"/>
    <n v="0"/>
    <n v="0"/>
    <n v="0"/>
    <n v="1947"/>
    <n v="0"/>
    <n v="0"/>
    <n v="1947"/>
    <x v="38"/>
    <n v="0"/>
    <n v="0"/>
    <n v="0"/>
    <n v="1947"/>
    <m/>
    <n v="0"/>
    <n v="0"/>
    <x v="102"/>
    <n v="1947"/>
    <n v="1947"/>
    <x v="1"/>
  </r>
  <r>
    <x v="1"/>
    <b v="0"/>
    <b v="0"/>
    <n v="0"/>
    <n v="0"/>
    <n v="0"/>
    <n v="1427"/>
    <n v="0"/>
    <n v="0"/>
    <n v="1427"/>
    <x v="38"/>
    <n v="0"/>
    <n v="0"/>
    <n v="0"/>
    <n v="1427"/>
    <m/>
    <n v="0"/>
    <n v="0"/>
    <x v="103"/>
    <n v="1427"/>
    <n v="1427"/>
    <x v="1"/>
  </r>
  <r>
    <x v="1"/>
    <b v="0"/>
    <b v="0"/>
    <n v="0"/>
    <n v="0"/>
    <n v="0"/>
    <n v="1892"/>
    <n v="0"/>
    <n v="0"/>
    <n v="1892"/>
    <x v="38"/>
    <n v="0"/>
    <n v="0"/>
    <n v="0"/>
    <n v="1892"/>
    <m/>
    <n v="0"/>
    <n v="0"/>
    <x v="104"/>
    <n v="1892"/>
    <n v="1892"/>
    <x v="1"/>
  </r>
  <r>
    <x v="1"/>
    <b v="0"/>
    <b v="0"/>
    <n v="0"/>
    <n v="0"/>
    <n v="0"/>
    <n v="2511"/>
    <n v="0"/>
    <n v="0"/>
    <n v="2511"/>
    <x v="38"/>
    <n v="0"/>
    <n v="0"/>
    <n v="0"/>
    <n v="2511"/>
    <m/>
    <n v="0"/>
    <n v="0"/>
    <x v="105"/>
    <n v="2511"/>
    <n v="2511"/>
    <x v="1"/>
  </r>
  <r>
    <x v="1"/>
    <b v="0"/>
    <b v="0"/>
    <n v="0"/>
    <n v="0"/>
    <n v="0"/>
    <n v="3461"/>
    <n v="0"/>
    <n v="0"/>
    <n v="3461"/>
    <x v="38"/>
    <n v="0"/>
    <n v="0"/>
    <n v="0"/>
    <n v="3461"/>
    <m/>
    <n v="0"/>
    <n v="0"/>
    <x v="106"/>
    <n v="3461"/>
    <n v="3461"/>
    <x v="1"/>
  </r>
  <r>
    <x v="1"/>
    <b v="0"/>
    <b v="0"/>
    <n v="0"/>
    <n v="0"/>
    <n v="0"/>
    <n v="5266"/>
    <n v="0"/>
    <n v="0"/>
    <n v="5266"/>
    <x v="38"/>
    <n v="0"/>
    <n v="0"/>
    <n v="0"/>
    <n v="5266"/>
    <m/>
    <n v="0"/>
    <n v="0"/>
    <x v="107"/>
    <n v="5266"/>
    <n v="5266"/>
    <x v="1"/>
  </r>
  <r>
    <x v="1"/>
    <b v="0"/>
    <b v="0"/>
    <n v="0"/>
    <n v="0"/>
    <n v="0"/>
    <n v="7100"/>
    <n v="0"/>
    <n v="0"/>
    <n v="7100"/>
    <x v="38"/>
    <n v="0"/>
    <n v="0"/>
    <n v="0"/>
    <n v="7100"/>
    <m/>
    <n v="0"/>
    <n v="0"/>
    <x v="108"/>
    <n v="7100"/>
    <n v="7100"/>
    <x v="1"/>
  </r>
  <r>
    <x v="1"/>
    <b v="0"/>
    <b v="0"/>
    <n v="0"/>
    <n v="0"/>
    <n v="0"/>
    <n v="5890"/>
    <n v="0"/>
    <n v="0"/>
    <n v="5890"/>
    <x v="38"/>
    <n v="0"/>
    <n v="0"/>
    <n v="0"/>
    <n v="5890"/>
    <m/>
    <n v="0"/>
    <n v="0"/>
    <x v="109"/>
    <n v="5890"/>
    <n v="5890"/>
    <x v="1"/>
  </r>
  <r>
    <x v="1"/>
    <b v="0"/>
    <b v="0"/>
    <n v="0"/>
    <n v="0"/>
    <n v="0"/>
    <n v="2302"/>
    <n v="0"/>
    <n v="0"/>
    <n v="2302"/>
    <x v="38"/>
    <n v="0"/>
    <n v="0"/>
    <n v="0"/>
    <n v="2302"/>
    <m/>
    <n v="0"/>
    <n v="0"/>
    <x v="110"/>
    <n v="2302"/>
    <n v="2302"/>
    <x v="1"/>
  </r>
  <r>
    <x v="1"/>
    <b v="0"/>
    <b v="0"/>
    <n v="0"/>
    <n v="0"/>
    <n v="0"/>
    <n v="3820"/>
    <n v="0"/>
    <n v="0"/>
    <n v="3820"/>
    <x v="38"/>
    <n v="0"/>
    <n v="0"/>
    <n v="0"/>
    <n v="3820"/>
    <m/>
    <n v="0"/>
    <n v="0"/>
    <x v="111"/>
    <n v="3820"/>
    <n v="3820"/>
    <x v="1"/>
  </r>
  <r>
    <x v="1"/>
    <b v="0"/>
    <b v="0"/>
    <n v="0"/>
    <n v="0"/>
    <n v="0"/>
    <n v="3461"/>
    <n v="0"/>
    <n v="0"/>
    <n v="3461"/>
    <x v="38"/>
    <n v="0"/>
    <n v="0"/>
    <n v="0"/>
    <n v="3461"/>
    <m/>
    <n v="0"/>
    <n v="0"/>
    <x v="112"/>
    <n v="3461"/>
    <n v="3461"/>
    <x v="1"/>
  </r>
  <r>
    <x v="1"/>
    <b v="0"/>
    <b v="0"/>
    <n v="0"/>
    <n v="0"/>
    <n v="0"/>
    <n v="2142"/>
    <n v="0"/>
    <n v="0"/>
    <n v="2142"/>
    <x v="38"/>
    <n v="0"/>
    <n v="0"/>
    <n v="0"/>
    <n v="2142"/>
    <m/>
    <n v="0"/>
    <n v="0"/>
    <x v="113"/>
    <n v="2142"/>
    <n v="2142"/>
    <x v="1"/>
  </r>
  <r>
    <x v="1"/>
    <b v="0"/>
    <b v="0"/>
    <n v="0"/>
    <n v="0"/>
    <n v="0"/>
    <n v="1873"/>
    <n v="0"/>
    <n v="0"/>
    <n v="1873"/>
    <x v="38"/>
    <n v="0"/>
    <n v="0"/>
    <n v="0"/>
    <n v="1873"/>
    <m/>
    <n v="0"/>
    <n v="0"/>
    <x v="114"/>
    <n v="1873"/>
    <n v="1873"/>
    <x v="1"/>
  </r>
  <r>
    <x v="1"/>
    <b v="0"/>
    <b v="0"/>
    <n v="0"/>
    <n v="0"/>
    <n v="0"/>
    <n v="1492"/>
    <n v="0"/>
    <n v="0"/>
    <n v="1492"/>
    <x v="38"/>
    <n v="0"/>
    <n v="0"/>
    <n v="0"/>
    <n v="1492"/>
    <m/>
    <n v="0"/>
    <n v="0"/>
    <x v="115"/>
    <n v="1492"/>
    <n v="1492"/>
    <x v="1"/>
  </r>
  <r>
    <x v="1"/>
    <b v="0"/>
    <b v="0"/>
    <n v="0"/>
    <n v="0"/>
    <n v="0"/>
    <n v="1252"/>
    <n v="0"/>
    <n v="0"/>
    <n v="1252"/>
    <x v="38"/>
    <n v="0"/>
    <n v="0"/>
    <n v="0"/>
    <n v="1252"/>
    <m/>
    <n v="0"/>
    <n v="0"/>
    <x v="116"/>
    <n v="1252"/>
    <n v="1252"/>
    <x v="1"/>
  </r>
  <r>
    <x v="1"/>
    <b v="0"/>
    <b v="0"/>
    <n v="0"/>
    <n v="0"/>
    <n v="0"/>
    <n v="2041"/>
    <n v="0"/>
    <n v="0"/>
    <n v="2041"/>
    <x v="38"/>
    <n v="0"/>
    <n v="0"/>
    <n v="0"/>
    <n v="2041"/>
    <m/>
    <n v="0"/>
    <n v="0"/>
    <x v="117"/>
    <n v="2041"/>
    <n v="2041"/>
    <x v="1"/>
  </r>
  <r>
    <x v="1"/>
    <b v="0"/>
    <b v="0"/>
    <n v="0"/>
    <n v="0"/>
    <n v="0"/>
    <n v="2072"/>
    <n v="0"/>
    <n v="0"/>
    <n v="2072"/>
    <x v="38"/>
    <n v="0"/>
    <n v="0"/>
    <n v="0"/>
    <n v="2072"/>
    <m/>
    <n v="0"/>
    <n v="0"/>
    <x v="118"/>
    <n v="2072"/>
    <n v="2072"/>
    <x v="1"/>
  </r>
  <r>
    <x v="1"/>
    <b v="0"/>
    <b v="0"/>
    <n v="0"/>
    <n v="0"/>
    <n v="0"/>
    <n v="1899"/>
    <n v="0"/>
    <n v="0"/>
    <n v="1899"/>
    <x v="38"/>
    <n v="0"/>
    <n v="0"/>
    <n v="0"/>
    <n v="1899"/>
    <m/>
    <n v="0"/>
    <n v="0"/>
    <x v="119"/>
    <n v="1899"/>
    <n v="1899"/>
    <x v="1"/>
  </r>
  <r>
    <x v="1"/>
    <b v="0"/>
    <b v="0"/>
    <n v="0"/>
    <n v="0"/>
    <n v="0"/>
    <n v="6815"/>
    <n v="0"/>
    <n v="0"/>
    <n v="6815"/>
    <x v="38"/>
    <n v="0"/>
    <n v="0"/>
    <n v="0"/>
    <n v="6815"/>
    <m/>
    <n v="0"/>
    <n v="0"/>
    <x v="120"/>
    <n v="6815"/>
    <n v="6815"/>
    <x v="1"/>
  </r>
  <r>
    <x v="1"/>
    <b v="0"/>
    <b v="0"/>
    <n v="0"/>
    <n v="0"/>
    <n v="0"/>
    <n v="5040"/>
    <n v="0"/>
    <n v="0"/>
    <n v="5040"/>
    <x v="38"/>
    <n v="0"/>
    <n v="0"/>
    <n v="0"/>
    <n v="5040"/>
    <m/>
    <n v="0"/>
    <n v="0"/>
    <x v="121"/>
    <n v="5040"/>
    <n v="5040"/>
    <x v="1"/>
  </r>
  <r>
    <x v="1"/>
    <b v="0"/>
    <b v="0"/>
    <n v="0"/>
    <n v="0"/>
    <n v="0"/>
    <n v="1781"/>
    <n v="0"/>
    <n v="0"/>
    <n v="1781"/>
    <x v="38"/>
    <n v="0"/>
    <n v="0"/>
    <n v="0"/>
    <n v="1781"/>
    <m/>
    <n v="0"/>
    <n v="0"/>
    <x v="122"/>
    <n v="1781"/>
    <n v="1781"/>
    <x v="1"/>
  </r>
  <r>
    <x v="1"/>
    <b v="0"/>
    <b v="0"/>
    <n v="0"/>
    <n v="0"/>
    <n v="0"/>
    <n v="3293"/>
    <n v="0"/>
    <n v="0"/>
    <n v="3293"/>
    <x v="38"/>
    <n v="0"/>
    <n v="0"/>
    <n v="0"/>
    <n v="3293"/>
    <m/>
    <n v="0"/>
    <n v="0"/>
    <x v="123"/>
    <n v="3293"/>
    <n v="3293"/>
    <x v="1"/>
  </r>
  <r>
    <x v="1"/>
    <b v="0"/>
    <b v="0"/>
    <n v="0"/>
    <n v="0"/>
    <n v="0"/>
    <n v="3056"/>
    <n v="0"/>
    <n v="0"/>
    <n v="3056"/>
    <x v="38"/>
    <n v="0"/>
    <n v="0"/>
    <n v="0"/>
    <n v="3056"/>
    <m/>
    <n v="0"/>
    <n v="0"/>
    <x v="124"/>
    <n v="3056"/>
    <n v="3056"/>
    <x v="1"/>
  </r>
  <r>
    <x v="1"/>
    <b v="0"/>
    <b v="0"/>
    <n v="0"/>
    <n v="0"/>
    <n v="0"/>
    <n v="1880"/>
    <n v="0"/>
    <n v="0"/>
    <n v="1880"/>
    <x v="38"/>
    <n v="0"/>
    <n v="0"/>
    <n v="0"/>
    <n v="1880"/>
    <m/>
    <n v="0"/>
    <n v="0"/>
    <x v="125"/>
    <n v="1880"/>
    <n v="1880"/>
    <x v="1"/>
  </r>
  <r>
    <x v="1"/>
    <b v="1"/>
    <b v="0"/>
    <n v="0"/>
    <n v="0"/>
    <n v="0"/>
    <n v="1795"/>
    <n v="0"/>
    <n v="0"/>
    <n v="1795"/>
    <x v="38"/>
    <n v="0"/>
    <n v="0"/>
    <n v="0"/>
    <n v="1795"/>
    <m/>
    <n v="0"/>
    <n v="0"/>
    <x v="126"/>
    <n v="1795"/>
    <n v="1795"/>
    <x v="1"/>
  </r>
  <r>
    <x v="1"/>
    <b v="1"/>
    <b v="0"/>
    <n v="0"/>
    <n v="0"/>
    <n v="0"/>
    <n v="1607"/>
    <n v="0"/>
    <n v="0"/>
    <n v="1607"/>
    <x v="38"/>
    <n v="0"/>
    <n v="0"/>
    <n v="0"/>
    <n v="1607"/>
    <m/>
    <n v="0"/>
    <n v="0"/>
    <x v="127"/>
    <n v="1607"/>
    <n v="1607"/>
    <x v="1"/>
  </r>
  <r>
    <x v="1"/>
    <b v="1"/>
    <b v="0"/>
    <n v="0"/>
    <n v="0"/>
    <n v="0"/>
    <n v="1422"/>
    <n v="0"/>
    <n v="0"/>
    <n v="1422"/>
    <x v="38"/>
    <n v="0"/>
    <n v="0"/>
    <n v="0"/>
    <n v="1422"/>
    <m/>
    <n v="0"/>
    <n v="0"/>
    <x v="128"/>
    <n v="1422"/>
    <n v="1422"/>
    <x v="1"/>
  </r>
  <r>
    <x v="1"/>
    <b v="0"/>
    <b v="0"/>
    <n v="0"/>
    <n v="0"/>
    <n v="0"/>
    <n v="2070"/>
    <n v="0"/>
    <n v="0"/>
    <n v="2070"/>
    <x v="38"/>
    <n v="0"/>
    <n v="0"/>
    <n v="0"/>
    <n v="2070"/>
    <m/>
    <n v="0"/>
    <n v="0"/>
    <x v="129"/>
    <n v="2070"/>
    <n v="2070"/>
    <x v="1"/>
  </r>
  <r>
    <x v="1"/>
    <b v="0"/>
    <b v="0"/>
    <n v="0"/>
    <n v="0"/>
    <n v="0"/>
    <n v="2133"/>
    <n v="0"/>
    <n v="0"/>
    <n v="2133"/>
    <x v="38"/>
    <n v="0"/>
    <n v="0"/>
    <n v="0"/>
    <n v="2133"/>
    <m/>
    <n v="0"/>
    <n v="0"/>
    <x v="130"/>
    <n v="2133"/>
    <n v="2133"/>
    <x v="1"/>
  </r>
  <r>
    <x v="1"/>
    <b v="0"/>
    <b v="0"/>
    <n v="0"/>
    <n v="0"/>
    <n v="0"/>
    <n v="1567"/>
    <n v="0"/>
    <n v="0"/>
    <n v="1567"/>
    <x v="38"/>
    <n v="0"/>
    <n v="0"/>
    <n v="0"/>
    <n v="1567"/>
    <m/>
    <n v="0"/>
    <n v="0"/>
    <x v="131"/>
    <n v="1567"/>
    <n v="1567"/>
    <x v="1"/>
  </r>
  <r>
    <x v="1"/>
    <b v="0"/>
    <b v="1"/>
    <n v="0"/>
    <n v="0"/>
    <n v="0"/>
    <n v="0"/>
    <n v="0"/>
    <n v="0"/>
    <n v="0"/>
    <x v="38"/>
    <n v="0"/>
    <n v="0"/>
    <n v="0"/>
    <n v="0"/>
    <m/>
    <n v="0"/>
    <n v="0"/>
    <x v="132"/>
    <n v="0"/>
    <n v="0"/>
    <x v="1"/>
  </r>
  <r>
    <x v="1"/>
    <b v="0"/>
    <b v="1"/>
    <n v="0"/>
    <n v="0"/>
    <n v="0"/>
    <n v="0"/>
    <n v="0"/>
    <n v="0"/>
    <n v="0"/>
    <x v="38"/>
    <n v="0"/>
    <n v="0"/>
    <n v="0"/>
    <n v="0"/>
    <m/>
    <n v="0"/>
    <n v="0"/>
    <x v="133"/>
    <n v="0"/>
    <n v="0"/>
    <x v="1"/>
  </r>
  <r>
    <x v="1"/>
    <b v="0"/>
    <b v="1"/>
    <n v="0"/>
    <n v="0"/>
    <n v="0"/>
    <n v="0"/>
    <n v="0"/>
    <n v="0"/>
    <n v="0"/>
    <x v="38"/>
    <n v="0"/>
    <n v="0"/>
    <n v="0"/>
    <n v="0"/>
    <m/>
    <n v="0"/>
    <n v="0"/>
    <x v="134"/>
    <n v="0"/>
    <n v="0"/>
    <x v="1"/>
  </r>
  <r>
    <x v="1"/>
    <b v="0"/>
    <b v="1"/>
    <n v="0"/>
    <n v="0"/>
    <n v="0"/>
    <n v="0"/>
    <n v="0"/>
    <n v="0"/>
    <n v="0"/>
    <x v="38"/>
    <n v="0"/>
    <n v="0"/>
    <n v="0"/>
    <n v="0"/>
    <m/>
    <n v="0"/>
    <n v="0"/>
    <x v="135"/>
    <n v="0"/>
    <n v="0"/>
    <x v="1"/>
  </r>
  <r>
    <x v="1"/>
    <b v="0"/>
    <b v="1"/>
    <n v="0"/>
    <n v="0"/>
    <n v="0"/>
    <n v="0"/>
    <n v="0"/>
    <n v="0"/>
    <n v="0"/>
    <x v="38"/>
    <n v="0"/>
    <n v="0"/>
    <n v="0"/>
    <n v="0"/>
    <m/>
    <n v="0"/>
    <n v="0"/>
    <x v="136"/>
    <n v="0"/>
    <n v="0"/>
    <x v="1"/>
  </r>
  <r>
    <x v="1"/>
    <b v="0"/>
    <b v="1"/>
    <n v="0"/>
    <n v="0"/>
    <n v="0"/>
    <n v="0"/>
    <n v="0"/>
    <n v="0"/>
    <n v="0"/>
    <x v="38"/>
    <n v="0"/>
    <n v="0"/>
    <n v="0"/>
    <n v="0"/>
    <m/>
    <n v="0"/>
    <n v="0"/>
    <x v="137"/>
    <n v="0"/>
    <n v="0"/>
    <x v="1"/>
  </r>
  <r>
    <x v="1"/>
    <b v="0"/>
    <b v="1"/>
    <n v="0"/>
    <n v="0"/>
    <n v="0"/>
    <n v="0"/>
    <n v="0"/>
    <n v="0"/>
    <n v="0"/>
    <x v="38"/>
    <n v="0"/>
    <n v="0"/>
    <n v="0"/>
    <n v="0"/>
    <m/>
    <n v="0"/>
    <n v="0"/>
    <x v="138"/>
    <n v="0"/>
    <n v="0"/>
    <x v="3"/>
  </r>
  <r>
    <x v="1"/>
    <b v="0"/>
    <b v="1"/>
    <n v="0"/>
    <n v="0"/>
    <n v="0"/>
    <n v="0"/>
    <n v="0"/>
    <n v="0"/>
    <n v="0"/>
    <x v="38"/>
    <n v="0"/>
    <n v="0"/>
    <n v="0"/>
    <n v="0"/>
    <m/>
    <n v="0"/>
    <n v="0"/>
    <x v="139"/>
    <n v="0"/>
    <n v="0"/>
    <x v="3"/>
  </r>
  <r>
    <x v="1"/>
    <b v="0"/>
    <b v="1"/>
    <n v="0"/>
    <n v="0"/>
    <n v="0"/>
    <n v="0"/>
    <n v="0"/>
    <n v="0"/>
    <n v="0"/>
    <x v="38"/>
    <n v="0"/>
    <n v="0"/>
    <n v="0"/>
    <n v="0"/>
    <m/>
    <n v="0"/>
    <n v="0"/>
    <x v="140"/>
    <n v="0"/>
    <n v="0"/>
    <x v="3"/>
  </r>
  <r>
    <x v="1"/>
    <b v="0"/>
    <b v="1"/>
    <n v="0"/>
    <n v="0"/>
    <n v="0"/>
    <n v="0"/>
    <n v="0"/>
    <n v="0"/>
    <n v="0"/>
    <x v="38"/>
    <n v="0"/>
    <n v="0"/>
    <n v="0"/>
    <n v="0"/>
    <m/>
    <n v="0"/>
    <n v="0"/>
    <x v="141"/>
    <n v="0"/>
    <n v="0"/>
    <x v="3"/>
  </r>
  <r>
    <x v="1"/>
    <b v="0"/>
    <b v="1"/>
    <n v="0"/>
    <n v="0"/>
    <n v="0"/>
    <n v="0"/>
    <n v="0"/>
    <n v="0"/>
    <n v="0"/>
    <x v="38"/>
    <n v="0"/>
    <n v="0"/>
    <n v="0"/>
    <n v="0"/>
    <m/>
    <n v="0"/>
    <n v="0"/>
    <x v="142"/>
    <n v="0"/>
    <n v="0"/>
    <x v="3"/>
  </r>
  <r>
    <x v="1"/>
    <b v="0"/>
    <b v="1"/>
    <n v="0"/>
    <n v="0"/>
    <n v="0"/>
    <n v="0"/>
    <n v="0"/>
    <n v="0"/>
    <n v="0"/>
    <x v="38"/>
    <n v="0"/>
    <n v="0"/>
    <n v="0"/>
    <n v="0"/>
    <m/>
    <n v="0"/>
    <n v="0"/>
    <x v="143"/>
    <n v="0"/>
    <n v="0"/>
    <x v="3"/>
  </r>
  <r>
    <x v="1"/>
    <b v="0"/>
    <b v="1"/>
    <n v="0"/>
    <n v="0"/>
    <n v="0"/>
    <n v="0"/>
    <n v="0"/>
    <n v="0"/>
    <n v="0"/>
    <x v="38"/>
    <n v="0"/>
    <n v="0"/>
    <n v="0"/>
    <n v="0"/>
    <m/>
    <n v="0"/>
    <n v="0"/>
    <x v="144"/>
    <n v="0"/>
    <n v="0"/>
    <x v="3"/>
  </r>
  <r>
    <x v="1"/>
    <b v="0"/>
    <b v="1"/>
    <n v="0"/>
    <n v="0"/>
    <n v="0"/>
    <n v="0"/>
    <n v="0"/>
    <n v="0"/>
    <n v="0"/>
    <x v="38"/>
    <n v="0"/>
    <n v="0"/>
    <n v="0"/>
    <n v="0"/>
    <m/>
    <n v="0"/>
    <n v="0"/>
    <x v="145"/>
    <n v="0"/>
    <n v="0"/>
    <x v="3"/>
  </r>
  <r>
    <x v="1"/>
    <b v="0"/>
    <b v="1"/>
    <n v="0"/>
    <n v="0"/>
    <n v="0"/>
    <n v="0"/>
    <n v="0"/>
    <n v="0"/>
    <n v="0"/>
    <x v="38"/>
    <n v="0"/>
    <n v="0"/>
    <n v="0"/>
    <n v="0"/>
    <m/>
    <n v="0"/>
    <n v="0"/>
    <x v="146"/>
    <n v="0"/>
    <n v="0"/>
    <x v="3"/>
  </r>
  <r>
    <x v="1"/>
    <b v="0"/>
    <b v="1"/>
    <n v="0"/>
    <n v="0"/>
    <n v="0"/>
    <n v="0"/>
    <n v="0"/>
    <n v="0"/>
    <n v="0"/>
    <x v="38"/>
    <n v="0"/>
    <n v="0"/>
    <n v="0"/>
    <n v="0"/>
    <m/>
    <n v="0"/>
    <n v="0"/>
    <x v="147"/>
    <n v="0"/>
    <n v="0"/>
    <x v="3"/>
  </r>
  <r>
    <x v="1"/>
    <b v="0"/>
    <b v="1"/>
    <n v="0"/>
    <n v="0"/>
    <n v="0"/>
    <n v="0"/>
    <n v="0"/>
    <n v="0"/>
    <n v="0"/>
    <x v="38"/>
    <n v="0"/>
    <n v="0"/>
    <n v="0"/>
    <n v="0"/>
    <m/>
    <n v="0"/>
    <n v="0"/>
    <x v="148"/>
    <n v="0"/>
    <n v="0"/>
    <x v="3"/>
  </r>
  <r>
    <x v="1"/>
    <b v="0"/>
    <b v="1"/>
    <n v="0"/>
    <n v="0"/>
    <n v="0"/>
    <n v="0"/>
    <n v="0"/>
    <n v="0"/>
    <n v="0"/>
    <x v="38"/>
    <n v="0"/>
    <n v="0"/>
    <n v="0"/>
    <n v="0"/>
    <m/>
    <n v="0"/>
    <n v="0"/>
    <x v="149"/>
    <n v="0"/>
    <n v="0"/>
    <x v="3"/>
  </r>
  <r>
    <x v="1"/>
    <b v="0"/>
    <b v="1"/>
    <n v="0"/>
    <n v="0"/>
    <n v="0"/>
    <n v="0"/>
    <n v="0"/>
    <n v="0"/>
    <n v="0"/>
    <x v="38"/>
    <n v="0"/>
    <n v="0"/>
    <n v="0"/>
    <n v="0"/>
    <m/>
    <n v="0"/>
    <n v="0"/>
    <x v="150"/>
    <n v="0"/>
    <n v="0"/>
    <x v="4"/>
  </r>
  <r>
    <x v="1"/>
    <b v="0"/>
    <b v="1"/>
    <n v="0"/>
    <n v="0"/>
    <n v="0"/>
    <n v="0"/>
    <n v="0"/>
    <n v="0"/>
    <n v="0"/>
    <x v="38"/>
    <n v="0"/>
    <n v="0"/>
    <n v="0"/>
    <n v="0"/>
    <m/>
    <n v="0"/>
    <n v="0"/>
    <x v="151"/>
    <n v="0"/>
    <n v="0"/>
    <x v="4"/>
  </r>
  <r>
    <x v="1"/>
    <b v="0"/>
    <b v="1"/>
    <n v="0"/>
    <n v="0"/>
    <n v="0"/>
    <n v="0"/>
    <n v="0"/>
    <n v="0"/>
    <n v="0"/>
    <x v="38"/>
    <n v="0"/>
    <n v="0"/>
    <n v="0"/>
    <n v="0"/>
    <m/>
    <n v="0"/>
    <n v="0"/>
    <x v="152"/>
    <n v="0"/>
    <n v="0"/>
    <x v="4"/>
  </r>
  <r>
    <x v="1"/>
    <b v="0"/>
    <b v="1"/>
    <n v="0"/>
    <n v="0"/>
    <n v="0"/>
    <n v="0"/>
    <n v="0"/>
    <n v="0"/>
    <n v="0"/>
    <x v="38"/>
    <n v="0"/>
    <n v="0"/>
    <n v="0"/>
    <n v="0"/>
    <m/>
    <n v="0"/>
    <n v="0"/>
    <x v="153"/>
    <n v="0"/>
    <n v="0"/>
    <x v="4"/>
  </r>
  <r>
    <x v="1"/>
    <b v="0"/>
    <b v="1"/>
    <n v="0"/>
    <n v="0"/>
    <n v="0"/>
    <n v="0"/>
    <n v="0"/>
    <n v="0"/>
    <n v="0"/>
    <x v="38"/>
    <n v="0"/>
    <n v="0"/>
    <n v="0"/>
    <n v="0"/>
    <m/>
    <n v="0"/>
    <n v="0"/>
    <x v="154"/>
    <n v="0"/>
    <n v="0"/>
    <x v="4"/>
  </r>
  <r>
    <x v="1"/>
    <b v="0"/>
    <b v="1"/>
    <n v="0"/>
    <n v="0"/>
    <n v="0"/>
    <n v="0"/>
    <n v="0"/>
    <n v="0"/>
    <n v="0"/>
    <x v="38"/>
    <n v="0"/>
    <n v="0"/>
    <n v="0"/>
    <n v="0"/>
    <m/>
    <n v="0"/>
    <n v="0"/>
    <x v="155"/>
    <n v="0"/>
    <n v="0"/>
    <x v="4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56"/>
    <n v="0"/>
    <n v="0"/>
    <x v="4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57"/>
    <n v="0"/>
    <n v="0"/>
    <x v="4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58"/>
    <n v="0"/>
    <n v="0"/>
    <x v="4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59"/>
    <n v="0"/>
    <n v="0"/>
    <x v="4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60"/>
    <n v="0"/>
    <n v="0"/>
    <x v="4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61"/>
    <n v="0"/>
    <n v="0"/>
    <x v="4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62"/>
    <n v="0"/>
    <n v="0"/>
    <x v="4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63"/>
    <n v="0"/>
    <n v="0"/>
    <x v="4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64"/>
    <n v="0"/>
    <n v="0"/>
    <x v="4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65"/>
    <n v="0"/>
    <n v="0"/>
    <x v="4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66"/>
    <n v="0"/>
    <n v="0"/>
    <x v="4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67"/>
    <n v="0"/>
    <n v="0"/>
    <x v="4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68"/>
    <n v="0"/>
    <n v="0"/>
    <x v="4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69"/>
    <n v="0"/>
    <n v="0"/>
    <x v="4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70"/>
    <n v="0"/>
    <n v="0"/>
    <x v="4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71"/>
    <n v="0"/>
    <n v="0"/>
    <x v="4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72"/>
    <n v="0"/>
    <n v="0"/>
    <x v="4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73"/>
    <n v="0"/>
    <n v="0"/>
    <x v="4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74"/>
    <n v="0"/>
    <n v="0"/>
    <x v="0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75"/>
    <n v="0"/>
    <n v="0"/>
    <x v="0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76"/>
    <n v="0"/>
    <n v="0"/>
    <x v="0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77"/>
    <n v="0"/>
    <n v="0"/>
    <x v="0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78"/>
    <n v="0"/>
    <n v="0"/>
    <x v="0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79"/>
    <n v="0"/>
    <n v="0"/>
    <x v="0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80"/>
    <n v="0"/>
    <n v="0"/>
    <x v="0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81"/>
    <n v="0"/>
    <n v="0"/>
    <x v="0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82"/>
    <n v="0"/>
    <n v="0"/>
    <x v="0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83"/>
    <n v="0"/>
    <n v="0"/>
    <x v="0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84"/>
    <n v="0"/>
    <n v="0"/>
    <x v="0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85"/>
    <n v="0"/>
    <n v="0"/>
    <x v="0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86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87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88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89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90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91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92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93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94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95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96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97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98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199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200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201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202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203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204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205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206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207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208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209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210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211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212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213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214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215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216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217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218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219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220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221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222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223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224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225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226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227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228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228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229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229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230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231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232"/>
    <n v="0"/>
    <n v="0"/>
    <x v="1"/>
  </r>
  <r>
    <x v="1"/>
    <b v="0"/>
    <b v="0"/>
    <n v="0"/>
    <n v="0"/>
    <n v="0"/>
    <n v="0"/>
    <n v="0"/>
    <n v="0"/>
    <n v="0"/>
    <x v="38"/>
    <n v="0"/>
    <n v="0"/>
    <n v="0"/>
    <n v="0"/>
    <m/>
    <n v="0"/>
    <n v="0"/>
    <x v="233"/>
    <n v="0"/>
    <n v="0"/>
    <x v="1"/>
  </r>
  <r>
    <x v="2"/>
    <b v="0"/>
    <b v="0"/>
    <n v="0"/>
    <n v="0"/>
    <n v="0"/>
    <n v="465"/>
    <n v="0"/>
    <n v="0"/>
    <n v="465"/>
    <x v="211"/>
    <n v="0"/>
    <n v="0"/>
    <n v="194"/>
    <n v="194"/>
    <n v="465"/>
    <n v="0"/>
    <n v="0"/>
    <x v="0"/>
    <n v="659"/>
    <n v="465"/>
    <x v="0"/>
  </r>
  <r>
    <x v="2"/>
    <b v="0"/>
    <b v="0"/>
    <n v="0"/>
    <n v="0"/>
    <n v="0"/>
    <n v="984"/>
    <n v="0"/>
    <n v="0"/>
    <n v="984"/>
    <x v="38"/>
    <n v="0"/>
    <n v="0"/>
    <n v="0"/>
    <n v="0"/>
    <n v="984"/>
    <n v="0"/>
    <n v="0"/>
    <x v="1"/>
    <n v="984"/>
    <n v="984"/>
    <x v="0"/>
  </r>
  <r>
    <x v="2"/>
    <b v="0"/>
    <b v="0"/>
    <n v="0"/>
    <n v="0"/>
    <n v="0"/>
    <n v="679"/>
    <n v="0"/>
    <n v="0"/>
    <n v="679"/>
    <x v="138"/>
    <n v="0"/>
    <n v="0"/>
    <n v="254"/>
    <n v="254"/>
    <n v="679"/>
    <n v="0"/>
    <n v="0"/>
    <x v="2"/>
    <n v="933"/>
    <n v="679"/>
    <x v="0"/>
  </r>
  <r>
    <x v="2"/>
    <b v="0"/>
    <b v="0"/>
    <n v="0"/>
    <n v="0"/>
    <n v="0"/>
    <n v="335"/>
    <n v="0"/>
    <n v="0"/>
    <n v="335"/>
    <x v="212"/>
    <n v="0"/>
    <n v="0"/>
    <n v="126"/>
    <n v="126"/>
    <n v="335"/>
    <n v="0"/>
    <n v="0"/>
    <x v="3"/>
    <n v="461"/>
    <n v="335"/>
    <x v="0"/>
  </r>
  <r>
    <x v="2"/>
    <b v="0"/>
    <b v="0"/>
    <n v="0"/>
    <n v="0"/>
    <n v="0"/>
    <n v="266"/>
    <n v="0"/>
    <n v="0"/>
    <n v="266"/>
    <x v="38"/>
    <n v="0"/>
    <n v="0"/>
    <n v="0"/>
    <n v="0"/>
    <n v="266"/>
    <n v="0"/>
    <n v="0"/>
    <x v="4"/>
    <n v="266"/>
    <n v="266"/>
    <x v="0"/>
  </r>
  <r>
    <x v="2"/>
    <b v="0"/>
    <b v="0"/>
    <n v="0"/>
    <n v="0"/>
    <n v="0"/>
    <n v="284"/>
    <n v="0"/>
    <n v="0"/>
    <n v="284"/>
    <x v="114"/>
    <n v="0"/>
    <n v="0"/>
    <n v="140"/>
    <n v="140"/>
    <n v="284"/>
    <n v="0"/>
    <n v="0"/>
    <x v="5"/>
    <n v="424"/>
    <n v="284"/>
    <x v="0"/>
  </r>
  <r>
    <x v="2"/>
    <b v="0"/>
    <b v="0"/>
    <n v="0"/>
    <n v="0"/>
    <n v="0"/>
    <n v="339"/>
    <n v="0"/>
    <n v="0"/>
    <n v="339"/>
    <x v="38"/>
    <n v="0"/>
    <n v="0"/>
    <n v="0"/>
    <n v="0"/>
    <n v="339"/>
    <n v="0"/>
    <n v="0"/>
    <x v="6"/>
    <n v="339"/>
    <n v="339"/>
    <x v="0"/>
  </r>
  <r>
    <x v="2"/>
    <b v="0"/>
    <b v="0"/>
    <n v="0"/>
    <n v="0"/>
    <n v="0"/>
    <n v="202"/>
    <n v="0"/>
    <n v="0"/>
    <n v="202"/>
    <x v="213"/>
    <n v="0"/>
    <n v="0"/>
    <n v="73"/>
    <n v="73"/>
    <n v="202"/>
    <n v="0"/>
    <n v="0"/>
    <x v="7"/>
    <n v="275"/>
    <n v="202"/>
    <x v="0"/>
  </r>
  <r>
    <x v="2"/>
    <b v="0"/>
    <b v="0"/>
    <n v="0"/>
    <n v="0"/>
    <n v="0"/>
    <n v="246"/>
    <n v="0"/>
    <n v="0"/>
    <n v="246"/>
    <x v="213"/>
    <n v="0"/>
    <n v="0"/>
    <n v="73"/>
    <n v="73"/>
    <n v="246"/>
    <n v="0"/>
    <n v="0"/>
    <x v="8"/>
    <n v="319"/>
    <n v="246"/>
    <x v="0"/>
  </r>
  <r>
    <x v="2"/>
    <b v="0"/>
    <b v="0"/>
    <n v="0"/>
    <n v="0"/>
    <n v="0"/>
    <n v="360"/>
    <n v="0"/>
    <n v="0"/>
    <n v="360"/>
    <x v="214"/>
    <n v="0"/>
    <n v="0"/>
    <n v="55"/>
    <n v="55"/>
    <n v="360"/>
    <n v="0"/>
    <n v="0"/>
    <x v="9"/>
    <n v="415"/>
    <n v="360"/>
    <x v="0"/>
  </r>
  <r>
    <x v="2"/>
    <b v="0"/>
    <b v="0"/>
    <n v="0"/>
    <n v="0"/>
    <n v="0"/>
    <n v="685"/>
    <n v="0"/>
    <n v="0"/>
    <n v="685"/>
    <x v="215"/>
    <n v="0"/>
    <n v="0"/>
    <n v="185"/>
    <n v="185"/>
    <n v="685"/>
    <n v="0"/>
    <n v="0"/>
    <x v="10"/>
    <n v="870"/>
    <n v="685"/>
    <x v="0"/>
  </r>
  <r>
    <x v="2"/>
    <b v="0"/>
    <b v="0"/>
    <n v="0"/>
    <n v="0"/>
    <n v="0"/>
    <n v="505"/>
    <n v="0"/>
    <n v="0"/>
    <n v="505"/>
    <x v="216"/>
    <n v="0"/>
    <n v="0"/>
    <n v="96"/>
    <n v="96"/>
    <n v="505"/>
    <n v="0"/>
    <n v="0"/>
    <x v="11"/>
    <n v="601"/>
    <n v="505"/>
    <x v="0"/>
  </r>
  <r>
    <x v="2"/>
    <b v="0"/>
    <b v="0"/>
    <n v="0"/>
    <n v="0"/>
    <n v="0"/>
    <n v="570"/>
    <n v="0"/>
    <n v="0"/>
    <n v="570"/>
    <x v="38"/>
    <n v="0"/>
    <n v="0"/>
    <n v="0"/>
    <n v="0"/>
    <n v="570"/>
    <n v="0"/>
    <n v="0"/>
    <x v="12"/>
    <n v="570"/>
    <n v="570"/>
    <x v="0"/>
  </r>
  <r>
    <x v="2"/>
    <b v="0"/>
    <b v="0"/>
    <n v="0"/>
    <n v="0"/>
    <n v="0"/>
    <n v="1193"/>
    <n v="0"/>
    <n v="0"/>
    <n v="1193"/>
    <x v="207"/>
    <n v="0"/>
    <n v="0"/>
    <n v="286"/>
    <n v="286"/>
    <n v="1193"/>
    <n v="0"/>
    <n v="0"/>
    <x v="13"/>
    <n v="1479"/>
    <n v="1193"/>
    <x v="0"/>
  </r>
  <r>
    <x v="2"/>
    <b v="0"/>
    <b v="0"/>
    <n v="0"/>
    <n v="0"/>
    <n v="0"/>
    <n v="872"/>
    <n v="0"/>
    <n v="0"/>
    <n v="872"/>
    <x v="217"/>
    <n v="0"/>
    <n v="0"/>
    <n v="423"/>
    <n v="423"/>
    <n v="872"/>
    <n v="0"/>
    <n v="0"/>
    <x v="14"/>
    <n v="1295"/>
    <n v="872"/>
    <x v="0"/>
  </r>
  <r>
    <x v="2"/>
    <b v="0"/>
    <b v="0"/>
    <n v="0"/>
    <n v="0"/>
    <n v="0"/>
    <n v="567"/>
    <n v="0"/>
    <n v="0"/>
    <n v="567"/>
    <x v="218"/>
    <n v="0"/>
    <n v="0"/>
    <n v="219"/>
    <n v="219"/>
    <n v="567"/>
    <n v="0"/>
    <n v="0"/>
    <x v="15"/>
    <n v="786"/>
    <n v="567"/>
    <x v="0"/>
  </r>
  <r>
    <x v="2"/>
    <b v="0"/>
    <b v="0"/>
    <n v="0"/>
    <n v="0"/>
    <n v="0"/>
    <n v="378"/>
    <n v="0"/>
    <n v="0"/>
    <n v="378"/>
    <x v="219"/>
    <n v="0"/>
    <n v="0"/>
    <n v="181"/>
    <n v="181"/>
    <n v="378"/>
    <n v="0"/>
    <n v="0"/>
    <x v="16"/>
    <n v="559"/>
    <n v="378"/>
    <x v="0"/>
  </r>
  <r>
    <x v="2"/>
    <b v="0"/>
    <b v="0"/>
    <n v="0"/>
    <n v="0"/>
    <n v="0"/>
    <n v="393"/>
    <n v="0"/>
    <n v="0"/>
    <n v="393"/>
    <x v="220"/>
    <n v="0"/>
    <n v="0"/>
    <n v="228"/>
    <n v="228"/>
    <n v="393"/>
    <n v="0"/>
    <n v="0"/>
    <x v="17"/>
    <n v="621"/>
    <n v="393"/>
    <x v="0"/>
  </r>
  <r>
    <x v="2"/>
    <b v="0"/>
    <b v="0"/>
    <n v="0"/>
    <n v="0"/>
    <n v="0"/>
    <n v="420"/>
    <n v="0"/>
    <n v="0"/>
    <n v="420"/>
    <x v="114"/>
    <n v="0"/>
    <n v="0"/>
    <n v="140"/>
    <n v="140"/>
    <n v="420"/>
    <n v="0"/>
    <n v="0"/>
    <x v="18"/>
    <n v="560"/>
    <n v="420"/>
    <x v="1"/>
  </r>
  <r>
    <x v="2"/>
    <b v="0"/>
    <b v="0"/>
    <n v="0"/>
    <n v="0"/>
    <n v="0"/>
    <n v="411"/>
    <n v="0"/>
    <n v="0"/>
    <n v="411"/>
    <x v="221"/>
    <n v="0"/>
    <n v="0"/>
    <n v="12"/>
    <n v="12"/>
    <n v="411"/>
    <n v="0"/>
    <n v="0"/>
    <x v="19"/>
    <n v="423"/>
    <n v="411"/>
    <x v="1"/>
  </r>
  <r>
    <x v="2"/>
    <b v="0"/>
    <b v="0"/>
    <n v="0"/>
    <n v="0"/>
    <n v="0"/>
    <n v="410"/>
    <n v="0"/>
    <n v="0"/>
    <n v="410"/>
    <x v="222"/>
    <n v="0"/>
    <n v="0"/>
    <n v="161"/>
    <n v="161"/>
    <n v="410"/>
    <n v="0"/>
    <n v="0"/>
    <x v="20"/>
    <n v="571"/>
    <n v="410"/>
    <x v="1"/>
  </r>
  <r>
    <x v="2"/>
    <b v="0"/>
    <b v="0"/>
    <n v="0"/>
    <n v="0"/>
    <n v="0"/>
    <n v="448"/>
    <n v="0"/>
    <n v="0"/>
    <n v="448"/>
    <x v="137"/>
    <n v="0"/>
    <n v="0"/>
    <n v="143"/>
    <n v="143"/>
    <n v="448"/>
    <n v="0"/>
    <n v="0"/>
    <x v="21"/>
    <n v="591"/>
    <n v="448"/>
    <x v="1"/>
  </r>
  <r>
    <x v="2"/>
    <b v="0"/>
    <b v="0"/>
    <n v="0"/>
    <n v="0"/>
    <n v="0"/>
    <n v="899"/>
    <n v="0"/>
    <n v="0"/>
    <n v="899"/>
    <x v="223"/>
    <n v="0"/>
    <n v="0"/>
    <n v="305"/>
    <n v="305"/>
    <n v="899"/>
    <n v="0"/>
    <n v="0"/>
    <x v="22"/>
    <n v="1204"/>
    <n v="899"/>
    <x v="1"/>
  </r>
  <r>
    <x v="2"/>
    <b v="0"/>
    <b v="0"/>
    <n v="0"/>
    <n v="0"/>
    <n v="0"/>
    <n v="851"/>
    <n v="0"/>
    <n v="0"/>
    <n v="851"/>
    <x v="224"/>
    <n v="0"/>
    <n v="0"/>
    <n v="210"/>
    <n v="210"/>
    <n v="851"/>
    <n v="0"/>
    <n v="0"/>
    <x v="23"/>
    <n v="1061"/>
    <n v="851"/>
    <x v="1"/>
  </r>
  <r>
    <x v="2"/>
    <b v="0"/>
    <b v="0"/>
    <n v="0"/>
    <n v="0"/>
    <n v="0"/>
    <n v="701"/>
    <n v="0"/>
    <n v="0"/>
    <n v="701"/>
    <x v="225"/>
    <n v="0"/>
    <n v="0"/>
    <n v="266"/>
    <n v="266"/>
    <n v="701"/>
    <n v="0"/>
    <n v="0"/>
    <x v="24"/>
    <n v="967"/>
    <n v="701"/>
    <x v="1"/>
  </r>
  <r>
    <x v="2"/>
    <b v="0"/>
    <b v="0"/>
    <n v="0"/>
    <n v="0"/>
    <n v="0"/>
    <n v="1280"/>
    <n v="0"/>
    <n v="0"/>
    <n v="1280"/>
    <x v="226"/>
    <n v="0"/>
    <n v="0"/>
    <n v="258"/>
    <n v="258"/>
    <n v="1280"/>
    <n v="0"/>
    <n v="0"/>
    <x v="25"/>
    <n v="1538"/>
    <n v="1280"/>
    <x v="1"/>
  </r>
  <r>
    <x v="2"/>
    <b v="0"/>
    <b v="0"/>
    <n v="0"/>
    <n v="0"/>
    <n v="0"/>
    <n v="894"/>
    <n v="0"/>
    <n v="0"/>
    <n v="894"/>
    <x v="227"/>
    <n v="0"/>
    <n v="0"/>
    <n v="429"/>
    <n v="429"/>
    <n v="894"/>
    <n v="0"/>
    <n v="0"/>
    <x v="26"/>
    <n v="1323"/>
    <n v="894"/>
    <x v="1"/>
  </r>
  <r>
    <x v="2"/>
    <b v="0"/>
    <b v="0"/>
    <n v="0"/>
    <n v="0"/>
    <n v="0"/>
    <n v="754"/>
    <n v="0"/>
    <n v="0"/>
    <n v="754"/>
    <x v="228"/>
    <n v="0"/>
    <n v="0"/>
    <n v="310"/>
    <n v="310"/>
    <n v="754"/>
    <n v="0"/>
    <n v="0"/>
    <x v="27"/>
    <n v="1064"/>
    <n v="754"/>
    <x v="1"/>
  </r>
  <r>
    <x v="2"/>
    <b v="0"/>
    <b v="0"/>
    <n v="0"/>
    <n v="0"/>
    <n v="0"/>
    <n v="337"/>
    <n v="0"/>
    <n v="0"/>
    <n v="337"/>
    <x v="38"/>
    <n v="0"/>
    <n v="0"/>
    <n v="0"/>
    <n v="0"/>
    <n v="337"/>
    <n v="0"/>
    <n v="0"/>
    <x v="28"/>
    <n v="337"/>
    <n v="337"/>
    <x v="1"/>
  </r>
  <r>
    <x v="2"/>
    <b v="0"/>
    <b v="0"/>
    <n v="0"/>
    <n v="0"/>
    <n v="0"/>
    <n v="606"/>
    <n v="0"/>
    <n v="0"/>
    <n v="606"/>
    <x v="38"/>
    <n v="0"/>
    <n v="0"/>
    <n v="0"/>
    <n v="0"/>
    <n v="606"/>
    <n v="0"/>
    <n v="0"/>
    <x v="29"/>
    <n v="606"/>
    <n v="606"/>
    <x v="1"/>
  </r>
  <r>
    <x v="2"/>
    <b v="0"/>
    <b v="0"/>
    <n v="0"/>
    <n v="0"/>
    <n v="0"/>
    <n v="1106"/>
    <n v="0"/>
    <n v="0"/>
    <n v="1106"/>
    <x v="229"/>
    <n v="0"/>
    <n v="0"/>
    <n v="134"/>
    <n v="134"/>
    <n v="1106"/>
    <n v="0"/>
    <n v="0"/>
    <x v="30"/>
    <n v="1240"/>
    <n v="1106"/>
    <x v="2"/>
  </r>
  <r>
    <x v="2"/>
    <b v="0"/>
    <b v="0"/>
    <n v="0"/>
    <n v="0"/>
    <n v="0"/>
    <n v="1173"/>
    <n v="0"/>
    <n v="0"/>
    <n v="1173"/>
    <x v="38"/>
    <n v="0"/>
    <n v="0"/>
    <n v="0"/>
    <n v="0"/>
    <n v="1173"/>
    <n v="0"/>
    <n v="0"/>
    <x v="31"/>
    <n v="1173"/>
    <n v="1173"/>
    <x v="2"/>
  </r>
  <r>
    <x v="2"/>
    <b v="0"/>
    <b v="0"/>
    <n v="0"/>
    <n v="0"/>
    <n v="0"/>
    <n v="571"/>
    <n v="0"/>
    <n v="0"/>
    <n v="571"/>
    <x v="230"/>
    <n v="0"/>
    <n v="0"/>
    <n v="204"/>
    <n v="204"/>
    <n v="571"/>
    <n v="0"/>
    <n v="0"/>
    <x v="32"/>
    <n v="775"/>
    <n v="571"/>
    <x v="2"/>
  </r>
  <r>
    <x v="2"/>
    <b v="0"/>
    <b v="0"/>
    <n v="0"/>
    <n v="0"/>
    <n v="0"/>
    <n v="737"/>
    <n v="0"/>
    <n v="0"/>
    <n v="737"/>
    <x v="138"/>
    <n v="0"/>
    <n v="0"/>
    <n v="254"/>
    <n v="254"/>
    <n v="737"/>
    <n v="0"/>
    <n v="0"/>
    <x v="33"/>
    <n v="991"/>
    <n v="737"/>
    <x v="2"/>
  </r>
  <r>
    <x v="2"/>
    <b v="0"/>
    <b v="0"/>
    <n v="0"/>
    <n v="0"/>
    <n v="0"/>
    <n v="1068"/>
    <n v="0"/>
    <n v="0"/>
    <n v="1068"/>
    <x v="225"/>
    <n v="0"/>
    <n v="0"/>
    <n v="266"/>
    <n v="266"/>
    <n v="1068"/>
    <n v="0"/>
    <n v="0"/>
    <x v="34"/>
    <n v="1334"/>
    <n v="1068"/>
    <x v="2"/>
  </r>
  <r>
    <x v="2"/>
    <b v="0"/>
    <b v="0"/>
    <n v="0"/>
    <n v="0"/>
    <n v="0"/>
    <n v="957"/>
    <n v="0"/>
    <n v="0"/>
    <n v="957"/>
    <x v="231"/>
    <n v="0"/>
    <n v="0"/>
    <n v="252"/>
    <n v="252"/>
    <n v="957"/>
    <n v="0"/>
    <n v="0"/>
    <x v="35"/>
    <n v="1209"/>
    <n v="957"/>
    <x v="2"/>
  </r>
  <r>
    <x v="2"/>
    <b v="0"/>
    <b v="0"/>
    <n v="0"/>
    <n v="0"/>
    <n v="0"/>
    <n v="769"/>
    <n v="0"/>
    <n v="0"/>
    <n v="769"/>
    <x v="232"/>
    <n v="0"/>
    <n v="0"/>
    <n v="311"/>
    <n v="311"/>
    <n v="769"/>
    <n v="0"/>
    <n v="0"/>
    <x v="36"/>
    <n v="1080"/>
    <n v="769"/>
    <x v="2"/>
  </r>
  <r>
    <x v="2"/>
    <b v="0"/>
    <b v="0"/>
    <n v="0"/>
    <n v="0"/>
    <n v="0"/>
    <n v="1243"/>
    <n v="0"/>
    <n v="0"/>
    <n v="1243"/>
    <x v="127"/>
    <n v="0"/>
    <n v="0"/>
    <n v="342"/>
    <n v="342"/>
    <n v="1243"/>
    <n v="0"/>
    <n v="0"/>
    <x v="37"/>
    <n v="1585"/>
    <n v="1243"/>
    <x v="2"/>
  </r>
  <r>
    <x v="2"/>
    <b v="0"/>
    <b v="0"/>
    <n v="0"/>
    <n v="0"/>
    <n v="0"/>
    <n v="916"/>
    <n v="0"/>
    <n v="0"/>
    <n v="916"/>
    <x v="233"/>
    <n v="0"/>
    <n v="0"/>
    <n v="491"/>
    <n v="491"/>
    <n v="916"/>
    <n v="0"/>
    <n v="0"/>
    <x v="38"/>
    <n v="1407"/>
    <n v="916"/>
    <x v="2"/>
  </r>
  <r>
    <x v="2"/>
    <b v="0"/>
    <b v="0"/>
    <n v="0"/>
    <n v="0"/>
    <n v="0"/>
    <n v="904"/>
    <n v="0"/>
    <n v="0"/>
    <n v="904"/>
    <x v="234"/>
    <n v="0"/>
    <n v="0"/>
    <n v="388"/>
    <n v="388"/>
    <n v="904"/>
    <n v="0"/>
    <n v="0"/>
    <x v="39"/>
    <n v="1292"/>
    <n v="904"/>
    <x v="2"/>
  </r>
  <r>
    <x v="2"/>
    <b v="0"/>
    <b v="0"/>
    <n v="0"/>
    <n v="0"/>
    <n v="0"/>
    <n v="451"/>
    <n v="0"/>
    <n v="0"/>
    <n v="451"/>
    <x v="205"/>
    <n v="0"/>
    <n v="0"/>
    <n v="327"/>
    <n v="327"/>
    <n v="451"/>
    <n v="0"/>
    <n v="0"/>
    <x v="40"/>
    <n v="778"/>
    <n v="451"/>
    <x v="2"/>
  </r>
  <r>
    <x v="2"/>
    <b v="0"/>
    <b v="0"/>
    <n v="0"/>
    <n v="0"/>
    <n v="0"/>
    <n v="564"/>
    <n v="0"/>
    <n v="0"/>
    <n v="564"/>
    <x v="38"/>
    <n v="0"/>
    <n v="0"/>
    <n v="0"/>
    <n v="0"/>
    <n v="564"/>
    <n v="0"/>
    <n v="0"/>
    <x v="41"/>
    <n v="564"/>
    <n v="564"/>
    <x v="2"/>
  </r>
  <r>
    <x v="2"/>
    <b v="0"/>
    <b v="0"/>
    <n v="0"/>
    <n v="0"/>
    <n v="0"/>
    <n v="526"/>
    <n v="0"/>
    <n v="0"/>
    <n v="526"/>
    <x v="38"/>
    <n v="0"/>
    <n v="0"/>
    <n v="0"/>
    <n v="0"/>
    <n v="526"/>
    <n v="0"/>
    <n v="0"/>
    <x v="42"/>
    <n v="526"/>
    <n v="526"/>
    <x v="1"/>
  </r>
  <r>
    <x v="2"/>
    <b v="0"/>
    <b v="0"/>
    <n v="0"/>
    <n v="0"/>
    <n v="0"/>
    <n v="745"/>
    <n v="0"/>
    <n v="0"/>
    <n v="745"/>
    <x v="235"/>
    <n v="0"/>
    <n v="0"/>
    <n v="248"/>
    <n v="248"/>
    <n v="745"/>
    <n v="0"/>
    <n v="0"/>
    <x v="43"/>
    <n v="993"/>
    <n v="745"/>
    <x v="1"/>
  </r>
  <r>
    <x v="2"/>
    <b v="0"/>
    <b v="0"/>
    <n v="0"/>
    <n v="0"/>
    <n v="0"/>
    <n v="401"/>
    <n v="0"/>
    <n v="0"/>
    <n v="401"/>
    <x v="236"/>
    <n v="0"/>
    <n v="0"/>
    <n v="435"/>
    <n v="435"/>
    <n v="401"/>
    <n v="0"/>
    <n v="0"/>
    <x v="44"/>
    <n v="836"/>
    <n v="401"/>
    <x v="1"/>
  </r>
  <r>
    <x v="2"/>
    <b v="0"/>
    <b v="0"/>
    <n v="0"/>
    <n v="0"/>
    <n v="0"/>
    <n v="863"/>
    <n v="0"/>
    <n v="0"/>
    <n v="863"/>
    <x v="127"/>
    <n v="0"/>
    <n v="0"/>
    <n v="342"/>
    <n v="342"/>
    <n v="863"/>
    <n v="0"/>
    <n v="0"/>
    <x v="45"/>
    <n v="1205"/>
    <n v="863"/>
    <x v="1"/>
  </r>
  <r>
    <x v="2"/>
    <b v="0"/>
    <b v="0"/>
    <n v="0"/>
    <n v="0"/>
    <n v="0"/>
    <n v="1215"/>
    <n v="0"/>
    <n v="0"/>
    <n v="1215"/>
    <x v="78"/>
    <n v="0"/>
    <n v="0"/>
    <n v="440"/>
    <n v="440"/>
    <n v="1215"/>
    <n v="0"/>
    <n v="0"/>
    <x v="46"/>
    <n v="1654"/>
    <n v="1215"/>
    <x v="1"/>
  </r>
  <r>
    <x v="2"/>
    <b v="0"/>
    <b v="0"/>
    <n v="0"/>
    <n v="0"/>
    <n v="0"/>
    <n v="1036"/>
    <n v="0"/>
    <n v="0"/>
    <n v="1036"/>
    <x v="237"/>
    <n v="0"/>
    <n v="0"/>
    <n v="336"/>
    <n v="336"/>
    <n v="1036"/>
    <n v="0"/>
    <n v="0"/>
    <x v="47"/>
    <n v="1372"/>
    <n v="1036"/>
    <x v="1"/>
  </r>
  <r>
    <x v="2"/>
    <b v="0"/>
    <b v="0"/>
    <n v="0"/>
    <n v="0"/>
    <n v="0"/>
    <n v="942"/>
    <n v="0"/>
    <n v="0"/>
    <n v="942"/>
    <x v="238"/>
    <n v="0"/>
    <n v="0"/>
    <n v="400"/>
    <n v="400"/>
    <n v="942"/>
    <n v="0"/>
    <n v="0"/>
    <x v="48"/>
    <n v="1343"/>
    <n v="942"/>
    <x v="1"/>
  </r>
  <r>
    <x v="2"/>
    <b v="0"/>
    <b v="0"/>
    <n v="0"/>
    <n v="0"/>
    <n v="0"/>
    <n v="1381"/>
    <n v="0"/>
    <n v="0"/>
    <n v="1381"/>
    <x v="124"/>
    <n v="0"/>
    <n v="0"/>
    <n v="249"/>
    <n v="249"/>
    <n v="1381"/>
    <n v="0"/>
    <n v="0"/>
    <x v="49"/>
    <n v="1630"/>
    <n v="1381"/>
    <x v="1"/>
  </r>
  <r>
    <x v="2"/>
    <b v="0"/>
    <b v="0"/>
    <n v="0"/>
    <n v="0"/>
    <n v="0"/>
    <n v="1091"/>
    <n v="0"/>
    <n v="0"/>
    <n v="1091"/>
    <x v="239"/>
    <n v="0"/>
    <n v="0"/>
    <n v="506"/>
    <n v="506"/>
    <n v="1091"/>
    <n v="0"/>
    <n v="0"/>
    <x v="50"/>
    <n v="1597"/>
    <n v="1091"/>
    <x v="1"/>
  </r>
  <r>
    <x v="2"/>
    <b v="0"/>
    <b v="0"/>
    <n v="0"/>
    <n v="0"/>
    <n v="0"/>
    <n v="906"/>
    <n v="0"/>
    <n v="0"/>
    <n v="906"/>
    <x v="240"/>
    <n v="0"/>
    <n v="0"/>
    <n v="298"/>
    <n v="298"/>
    <n v="906"/>
    <n v="0"/>
    <n v="0"/>
    <x v="51"/>
    <n v="1204"/>
    <n v="906"/>
    <x v="1"/>
  </r>
  <r>
    <x v="2"/>
    <b v="0"/>
    <b v="0"/>
    <n v="0"/>
    <n v="0"/>
    <n v="0"/>
    <n v="366"/>
    <n v="0"/>
    <n v="0"/>
    <n v="366"/>
    <x v="38"/>
    <n v="0"/>
    <n v="0"/>
    <n v="0"/>
    <n v="0"/>
    <n v="366"/>
    <n v="0"/>
    <n v="0"/>
    <x v="52"/>
    <n v="366"/>
    <n v="366"/>
    <x v="1"/>
  </r>
  <r>
    <x v="2"/>
    <b v="0"/>
    <b v="0"/>
    <n v="0"/>
    <n v="0"/>
    <n v="0"/>
    <n v="366"/>
    <n v="0"/>
    <n v="0"/>
    <n v="366"/>
    <x v="38"/>
    <n v="0"/>
    <n v="0"/>
    <n v="0"/>
    <n v="0"/>
    <n v="366"/>
    <n v="0"/>
    <n v="0"/>
    <x v="53"/>
    <n v="366"/>
    <n v="366"/>
    <x v="1"/>
  </r>
  <r>
    <x v="2"/>
    <b v="0"/>
    <b v="0"/>
    <n v="0"/>
    <n v="0"/>
    <n v="0"/>
    <n v="366"/>
    <n v="0"/>
    <n v="0"/>
    <n v="366"/>
    <x v="38"/>
    <n v="0"/>
    <n v="0"/>
    <n v="0"/>
    <n v="0"/>
    <n v="366"/>
    <n v="0"/>
    <n v="0"/>
    <x v="54"/>
    <n v="366"/>
    <n v="366"/>
    <x v="1"/>
  </r>
  <r>
    <x v="2"/>
    <b v="0"/>
    <b v="0"/>
    <n v="0"/>
    <n v="0"/>
    <n v="0"/>
    <n v="366"/>
    <n v="0"/>
    <n v="0"/>
    <n v="366"/>
    <x v="38"/>
    <n v="0"/>
    <n v="0"/>
    <n v="0"/>
    <n v="0"/>
    <n v="366"/>
    <n v="0"/>
    <n v="0"/>
    <x v="55"/>
    <n v="366"/>
    <n v="366"/>
    <x v="1"/>
  </r>
  <r>
    <x v="2"/>
    <b v="0"/>
    <b v="0"/>
    <n v="0"/>
    <n v="0"/>
    <n v="0"/>
    <n v="366"/>
    <n v="0"/>
    <n v="0"/>
    <n v="366"/>
    <x v="38"/>
    <n v="0"/>
    <n v="0"/>
    <n v="0"/>
    <n v="0"/>
    <n v="366"/>
    <n v="0"/>
    <n v="0"/>
    <x v="56"/>
    <n v="366"/>
    <n v="366"/>
    <x v="1"/>
  </r>
  <r>
    <x v="2"/>
    <b v="0"/>
    <b v="0"/>
    <n v="0"/>
    <n v="0"/>
    <n v="0"/>
    <n v="366"/>
    <n v="0"/>
    <n v="0"/>
    <n v="366"/>
    <x v="38"/>
    <n v="0"/>
    <n v="0"/>
    <n v="0"/>
    <n v="0"/>
    <n v="366"/>
    <n v="0"/>
    <n v="0"/>
    <x v="57"/>
    <n v="366"/>
    <n v="366"/>
    <x v="1"/>
  </r>
  <r>
    <x v="2"/>
    <b v="0"/>
    <b v="0"/>
    <n v="0"/>
    <n v="0"/>
    <n v="0"/>
    <n v="1345"/>
    <n v="0"/>
    <n v="0"/>
    <n v="1345"/>
    <x v="241"/>
    <n v="0"/>
    <n v="0"/>
    <n v="524"/>
    <n v="524"/>
    <n v="1345"/>
    <n v="0"/>
    <n v="0"/>
    <x v="58"/>
    <n v="1869"/>
    <n v="1345"/>
    <x v="1"/>
  </r>
  <r>
    <x v="2"/>
    <b v="0"/>
    <b v="0"/>
    <n v="0"/>
    <n v="0"/>
    <n v="0"/>
    <n v="1171"/>
    <n v="0"/>
    <n v="0"/>
    <n v="1171"/>
    <x v="242"/>
    <n v="0"/>
    <n v="0"/>
    <n v="308"/>
    <n v="308"/>
    <n v="1171"/>
    <n v="0"/>
    <n v="0"/>
    <x v="59"/>
    <n v="1479"/>
    <n v="1171"/>
    <x v="1"/>
  </r>
  <r>
    <x v="2"/>
    <b v="0"/>
    <b v="0"/>
    <n v="0"/>
    <n v="0"/>
    <n v="0"/>
    <n v="928"/>
    <n v="0"/>
    <n v="0"/>
    <n v="928"/>
    <x v="243"/>
    <n v="0"/>
    <n v="0"/>
    <n v="297"/>
    <n v="297"/>
    <n v="928"/>
    <n v="0"/>
    <n v="0"/>
    <x v="60"/>
    <n v="1225"/>
    <n v="928"/>
    <x v="1"/>
  </r>
  <r>
    <x v="2"/>
    <b v="0"/>
    <b v="0"/>
    <n v="0"/>
    <n v="0"/>
    <n v="0"/>
    <n v="1451"/>
    <n v="0"/>
    <n v="0"/>
    <n v="1451"/>
    <x v="244"/>
    <n v="0"/>
    <n v="0"/>
    <n v="238"/>
    <n v="238"/>
    <n v="1451"/>
    <n v="0"/>
    <n v="0"/>
    <x v="61"/>
    <n v="1689"/>
    <n v="1451"/>
    <x v="1"/>
  </r>
  <r>
    <x v="2"/>
    <b v="0"/>
    <b v="0"/>
    <n v="0"/>
    <n v="0"/>
    <n v="0"/>
    <n v="969"/>
    <n v="0"/>
    <n v="0"/>
    <n v="969"/>
    <x v="245"/>
    <n v="0"/>
    <n v="0"/>
    <n v="277"/>
    <n v="277"/>
    <n v="969"/>
    <n v="0"/>
    <n v="0"/>
    <x v="62"/>
    <n v="1246"/>
    <n v="969"/>
    <x v="1"/>
  </r>
  <r>
    <x v="2"/>
    <b v="0"/>
    <b v="0"/>
    <n v="0"/>
    <n v="0"/>
    <n v="0"/>
    <n v="366"/>
    <n v="0"/>
    <n v="0"/>
    <n v="366"/>
    <x v="38"/>
    <n v="0"/>
    <n v="0"/>
    <n v="0"/>
    <n v="0"/>
    <n v="366"/>
    <n v="0"/>
    <n v="0"/>
    <x v="63"/>
    <n v="366"/>
    <n v="366"/>
    <x v="1"/>
  </r>
  <r>
    <x v="2"/>
    <b v="0"/>
    <b v="0"/>
    <n v="0"/>
    <n v="0"/>
    <n v="0"/>
    <n v="366"/>
    <n v="0"/>
    <n v="0"/>
    <n v="366"/>
    <x v="38"/>
    <n v="0"/>
    <n v="0"/>
    <n v="0"/>
    <n v="0"/>
    <n v="366"/>
    <n v="0"/>
    <n v="0"/>
    <x v="64"/>
    <n v="366"/>
    <n v="366"/>
    <x v="1"/>
  </r>
  <r>
    <x v="2"/>
    <b v="0"/>
    <b v="0"/>
    <n v="0"/>
    <n v="0"/>
    <n v="0"/>
    <n v="366"/>
    <n v="0"/>
    <n v="0"/>
    <n v="366"/>
    <x v="38"/>
    <n v="0"/>
    <n v="0"/>
    <n v="0"/>
    <n v="0"/>
    <n v="366"/>
    <n v="0"/>
    <n v="0"/>
    <x v="65"/>
    <n v="366"/>
    <n v="366"/>
    <x v="1"/>
  </r>
  <r>
    <x v="2"/>
    <b v="0"/>
    <b v="0"/>
    <n v="0"/>
    <n v="0"/>
    <n v="0"/>
    <n v="366"/>
    <n v="0"/>
    <n v="0"/>
    <n v="366"/>
    <x v="38"/>
    <n v="0"/>
    <n v="0"/>
    <n v="0"/>
    <n v="0"/>
    <n v="366"/>
    <n v="0"/>
    <n v="0"/>
    <x v="66"/>
    <n v="366"/>
    <n v="366"/>
    <x v="2"/>
  </r>
  <r>
    <x v="2"/>
    <b v="0"/>
    <b v="0"/>
    <n v="0"/>
    <n v="0"/>
    <n v="0"/>
    <n v="366"/>
    <n v="0"/>
    <n v="0"/>
    <n v="366"/>
    <x v="38"/>
    <n v="0"/>
    <n v="0"/>
    <n v="0"/>
    <n v="0"/>
    <n v="366"/>
    <n v="0"/>
    <n v="0"/>
    <x v="67"/>
    <n v="366"/>
    <n v="366"/>
    <x v="2"/>
  </r>
  <r>
    <x v="2"/>
    <b v="0"/>
    <b v="0"/>
    <n v="0"/>
    <n v="0"/>
    <n v="0"/>
    <n v="388"/>
    <n v="0"/>
    <n v="0"/>
    <n v="388"/>
    <x v="220"/>
    <n v="0"/>
    <n v="0"/>
    <n v="228"/>
    <n v="228"/>
    <n v="388"/>
    <n v="0"/>
    <n v="0"/>
    <x v="68"/>
    <n v="616"/>
    <n v="388"/>
    <x v="2"/>
  </r>
  <r>
    <x v="2"/>
    <b v="0"/>
    <b v="0"/>
    <n v="0"/>
    <n v="0"/>
    <n v="0"/>
    <n v="652"/>
    <n v="0"/>
    <n v="0"/>
    <n v="652"/>
    <x v="218"/>
    <n v="0"/>
    <n v="0"/>
    <n v="219"/>
    <n v="219"/>
    <n v="652"/>
    <n v="0"/>
    <n v="0"/>
    <x v="69"/>
    <n v="871"/>
    <n v="652"/>
    <x v="2"/>
  </r>
  <r>
    <x v="2"/>
    <b v="0"/>
    <b v="0"/>
    <n v="0"/>
    <n v="0"/>
    <n v="0"/>
    <n v="1405"/>
    <n v="0"/>
    <n v="0"/>
    <n v="1405"/>
    <x v="246"/>
    <n v="0"/>
    <n v="0"/>
    <n v="468"/>
    <n v="468"/>
    <n v="1405"/>
    <n v="0"/>
    <n v="0"/>
    <x v="70"/>
    <n v="1873"/>
    <n v="1405"/>
    <x v="2"/>
  </r>
  <r>
    <x v="2"/>
    <b v="0"/>
    <b v="0"/>
    <n v="0"/>
    <n v="0"/>
    <n v="0"/>
    <n v="1092"/>
    <n v="0"/>
    <n v="0"/>
    <n v="1092"/>
    <x v="247"/>
    <n v="0"/>
    <n v="0"/>
    <n v="370"/>
    <n v="370"/>
    <n v="1092"/>
    <n v="0"/>
    <n v="0"/>
    <x v="71"/>
    <n v="1462"/>
    <n v="1092"/>
    <x v="2"/>
  </r>
  <r>
    <x v="2"/>
    <b v="0"/>
    <b v="0"/>
    <n v="0"/>
    <n v="0"/>
    <n v="0"/>
    <n v="1003"/>
    <n v="0"/>
    <n v="0"/>
    <n v="1003"/>
    <x v="248"/>
    <n v="0"/>
    <n v="0"/>
    <n v="384"/>
    <n v="384"/>
    <n v="1003"/>
    <n v="0"/>
    <n v="0"/>
    <x v="72"/>
    <n v="1387"/>
    <n v="1003"/>
    <x v="2"/>
  </r>
  <r>
    <x v="2"/>
    <b v="0"/>
    <b v="0"/>
    <n v="0"/>
    <n v="0"/>
    <n v="0"/>
    <n v="1528"/>
    <n v="0"/>
    <n v="0"/>
    <n v="1528"/>
    <x v="206"/>
    <n v="0"/>
    <n v="0"/>
    <n v="325"/>
    <n v="325"/>
    <n v="1528"/>
    <n v="0"/>
    <n v="0"/>
    <x v="73"/>
    <n v="1853"/>
    <n v="1528"/>
    <x v="2"/>
  </r>
  <r>
    <x v="2"/>
    <b v="0"/>
    <b v="0"/>
    <n v="0"/>
    <n v="0"/>
    <n v="0"/>
    <n v="1123"/>
    <n v="0"/>
    <n v="0"/>
    <n v="1123"/>
    <x v="249"/>
    <n v="0"/>
    <n v="0"/>
    <n v="365"/>
    <n v="365"/>
    <n v="1123"/>
    <n v="0"/>
    <n v="0"/>
    <x v="74"/>
    <n v="1488"/>
    <n v="1123"/>
    <x v="2"/>
  </r>
  <r>
    <x v="2"/>
    <b v="0"/>
    <b v="0"/>
    <n v="0"/>
    <n v="0"/>
    <n v="0"/>
    <n v="1000"/>
    <n v="495"/>
    <n v="0"/>
    <n v="1495"/>
    <x v="240"/>
    <n v="128"/>
    <n v="0"/>
    <n v="426"/>
    <n v="298"/>
    <n v="1495"/>
    <n v="0"/>
    <n v="0"/>
    <x v="75"/>
    <n v="1921"/>
    <n v="1495"/>
    <x v="2"/>
  </r>
  <r>
    <x v="2"/>
    <b v="0"/>
    <b v="0"/>
    <n v="0"/>
    <n v="0"/>
    <n v="0"/>
    <n v="362"/>
    <n v="0"/>
    <n v="0"/>
    <n v="362"/>
    <x v="38"/>
    <n v="16"/>
    <n v="0"/>
    <n v="16"/>
    <n v="0"/>
    <n v="362"/>
    <n v="0"/>
    <n v="0"/>
    <x v="76"/>
    <n v="378"/>
    <n v="362"/>
    <x v="2"/>
  </r>
  <r>
    <x v="2"/>
    <b v="0"/>
    <b v="0"/>
    <n v="0"/>
    <n v="0"/>
    <n v="0"/>
    <n v="337"/>
    <n v="0"/>
    <n v="0"/>
    <n v="337"/>
    <x v="38"/>
    <n v="10"/>
    <n v="0"/>
    <n v="10"/>
    <n v="0"/>
    <n v="337"/>
    <n v="0"/>
    <n v="0"/>
    <x v="77"/>
    <n v="347"/>
    <n v="337"/>
    <x v="2"/>
  </r>
  <r>
    <x v="2"/>
    <b v="0"/>
    <b v="0"/>
    <n v="0"/>
    <n v="0"/>
    <n v="0"/>
    <n v="208"/>
    <n v="0"/>
    <n v="0"/>
    <n v="208"/>
    <x v="38"/>
    <n v="13"/>
    <n v="0"/>
    <n v="13"/>
    <n v="0"/>
    <n v="208"/>
    <n v="0"/>
    <n v="0"/>
    <x v="78"/>
    <n v="221"/>
    <n v="208"/>
    <x v="0"/>
  </r>
  <r>
    <x v="2"/>
    <b v="0"/>
    <b v="0"/>
    <n v="0"/>
    <n v="0"/>
    <n v="0"/>
    <n v="289"/>
    <n v="0"/>
    <n v="0"/>
    <n v="289"/>
    <x v="38"/>
    <n v="0"/>
    <n v="0"/>
    <n v="0"/>
    <n v="0"/>
    <n v="289"/>
    <n v="0"/>
    <n v="0"/>
    <x v="79"/>
    <n v="289"/>
    <n v="289"/>
    <x v="0"/>
  </r>
  <r>
    <x v="2"/>
    <b v="0"/>
    <b v="0"/>
    <n v="0"/>
    <n v="0"/>
    <n v="0"/>
    <n v="483"/>
    <n v="0"/>
    <n v="0"/>
    <n v="483"/>
    <x v="67"/>
    <n v="0"/>
    <n v="0"/>
    <n v="312"/>
    <n v="312"/>
    <n v="483"/>
    <n v="0"/>
    <n v="0"/>
    <x v="80"/>
    <n v="795"/>
    <n v="483"/>
    <x v="0"/>
  </r>
  <r>
    <x v="2"/>
    <b v="0"/>
    <b v="0"/>
    <n v="0"/>
    <n v="0"/>
    <n v="0"/>
    <n v="773"/>
    <n v="0"/>
    <n v="0"/>
    <n v="773"/>
    <x v="250"/>
    <n v="0"/>
    <n v="0"/>
    <n v="267"/>
    <n v="267"/>
    <n v="773"/>
    <n v="0"/>
    <n v="0"/>
    <x v="81"/>
    <n v="1040"/>
    <n v="773"/>
    <x v="0"/>
  </r>
  <r>
    <x v="2"/>
    <b v="0"/>
    <b v="0"/>
    <n v="0"/>
    <n v="0"/>
    <n v="0"/>
    <n v="1641"/>
    <n v="0"/>
    <n v="0"/>
    <n v="1641"/>
    <x v="251"/>
    <n v="0"/>
    <n v="0"/>
    <n v="578"/>
    <n v="578"/>
    <n v="1641"/>
    <n v="0"/>
    <n v="0"/>
    <x v="82"/>
    <n v="2219"/>
    <n v="1641"/>
    <x v="0"/>
  </r>
  <r>
    <x v="2"/>
    <b v="0"/>
    <b v="0"/>
    <n v="0"/>
    <n v="0"/>
    <n v="0"/>
    <n v="1295"/>
    <n v="0"/>
    <n v="0"/>
    <n v="1295"/>
    <x v="252"/>
    <n v="0"/>
    <n v="0"/>
    <n v="473"/>
    <n v="473"/>
    <n v="1295"/>
    <n v="0"/>
    <n v="0"/>
    <x v="83"/>
    <n v="1768"/>
    <n v="1295"/>
    <x v="0"/>
  </r>
  <r>
    <x v="2"/>
    <b v="0"/>
    <b v="0"/>
    <n v="0"/>
    <n v="0"/>
    <n v="0"/>
    <n v="1451"/>
    <n v="0"/>
    <n v="0"/>
    <n v="1451"/>
    <x v="253"/>
    <n v="0"/>
    <n v="0"/>
    <n v="552"/>
    <n v="552"/>
    <n v="1451"/>
    <n v="0"/>
    <n v="0"/>
    <x v="84"/>
    <n v="2003"/>
    <n v="1451"/>
    <x v="0"/>
  </r>
  <r>
    <x v="2"/>
    <b v="0"/>
    <b v="0"/>
    <n v="0"/>
    <n v="0"/>
    <n v="0"/>
    <n v="1677"/>
    <n v="0"/>
    <n v="0"/>
    <n v="1677"/>
    <x v="254"/>
    <n v="0"/>
    <n v="0"/>
    <n v="409"/>
    <n v="409"/>
    <n v="1677"/>
    <n v="0"/>
    <n v="0"/>
    <x v="85"/>
    <n v="2086"/>
    <n v="1677"/>
    <x v="0"/>
  </r>
  <r>
    <x v="2"/>
    <b v="0"/>
    <b v="0"/>
    <n v="0"/>
    <n v="0"/>
    <n v="0"/>
    <n v="1150"/>
    <n v="0"/>
    <n v="0"/>
    <n v="1150"/>
    <x v="255"/>
    <n v="0"/>
    <n v="0"/>
    <n v="434"/>
    <n v="434"/>
    <n v="1150"/>
    <n v="0"/>
    <n v="0"/>
    <x v="86"/>
    <n v="1584"/>
    <n v="1150"/>
    <x v="0"/>
  </r>
  <r>
    <x v="2"/>
    <b v="0"/>
    <b v="0"/>
    <n v="0"/>
    <n v="0"/>
    <n v="0"/>
    <n v="1070"/>
    <n v="0"/>
    <n v="0"/>
    <n v="1070"/>
    <x v="256"/>
    <n v="0"/>
    <n v="0"/>
    <n v="378"/>
    <n v="378"/>
    <n v="1070"/>
    <n v="0"/>
    <n v="0"/>
    <x v="87"/>
    <n v="1448"/>
    <n v="1070"/>
    <x v="0"/>
  </r>
  <r>
    <x v="2"/>
    <b v="0"/>
    <b v="0"/>
    <n v="0"/>
    <n v="0"/>
    <n v="0"/>
    <n v="991"/>
    <n v="0"/>
    <n v="0"/>
    <n v="991"/>
    <x v="257"/>
    <n v="0"/>
    <n v="0"/>
    <n v="53"/>
    <n v="53"/>
    <n v="991"/>
    <n v="0"/>
    <n v="0"/>
    <x v="88"/>
    <n v="1044"/>
    <n v="991"/>
    <x v="0"/>
  </r>
  <r>
    <x v="2"/>
    <b v="0"/>
    <b v="0"/>
    <n v="0"/>
    <n v="0"/>
    <n v="0"/>
    <n v="863"/>
    <n v="0"/>
    <n v="0"/>
    <n v="863"/>
    <x v="258"/>
    <n v="0"/>
    <n v="0"/>
    <n v="28"/>
    <n v="28"/>
    <n v="863"/>
    <n v="0"/>
    <n v="0"/>
    <x v="89"/>
    <n v="891"/>
    <n v="863"/>
    <x v="0"/>
  </r>
  <r>
    <x v="2"/>
    <b v="0"/>
    <b v="0"/>
    <n v="0"/>
    <n v="0"/>
    <n v="0"/>
    <n v="911"/>
    <n v="0"/>
    <n v="0"/>
    <n v="911"/>
    <x v="259"/>
    <n v="0"/>
    <n v="0"/>
    <n v="39"/>
    <n v="39"/>
    <n v="911"/>
    <n v="0"/>
    <n v="0"/>
    <x v="90"/>
    <n v="950"/>
    <n v="911"/>
    <x v="2"/>
  </r>
  <r>
    <x v="2"/>
    <b v="0"/>
    <b v="0"/>
    <n v="0"/>
    <n v="0"/>
    <n v="0"/>
    <n v="1295"/>
    <n v="0"/>
    <n v="0"/>
    <n v="1295"/>
    <x v="260"/>
    <n v="0"/>
    <n v="0"/>
    <n v="17"/>
    <n v="17"/>
    <n v="1295"/>
    <n v="0"/>
    <n v="0"/>
    <x v="91"/>
    <n v="1312"/>
    <n v="1295"/>
    <x v="2"/>
  </r>
  <r>
    <x v="2"/>
    <b v="0"/>
    <b v="0"/>
    <n v="0"/>
    <n v="0"/>
    <n v="0"/>
    <n v="1827"/>
    <n v="0"/>
    <n v="0"/>
    <n v="1827"/>
    <x v="38"/>
    <n v="0"/>
    <n v="0"/>
    <n v="0"/>
    <n v="0"/>
    <n v="1827"/>
    <n v="0"/>
    <n v="0"/>
    <x v="92"/>
    <n v="1827"/>
    <n v="1827"/>
    <x v="2"/>
  </r>
  <r>
    <x v="2"/>
    <b v="0"/>
    <b v="0"/>
    <n v="0"/>
    <n v="0"/>
    <n v="0"/>
    <n v="2047"/>
    <n v="0"/>
    <n v="0"/>
    <n v="2047"/>
    <x v="260"/>
    <n v="0"/>
    <n v="0"/>
    <n v="17"/>
    <n v="17"/>
    <n v="2047"/>
    <n v="0"/>
    <n v="0"/>
    <x v="93"/>
    <n v="2064"/>
    <n v="2047"/>
    <x v="2"/>
  </r>
  <r>
    <x v="2"/>
    <b v="0"/>
    <b v="0"/>
    <n v="0"/>
    <n v="0"/>
    <n v="0"/>
    <n v="3180"/>
    <n v="0"/>
    <n v="0"/>
    <n v="3180"/>
    <x v="261"/>
    <n v="0"/>
    <n v="0"/>
    <n v="34"/>
    <n v="34"/>
    <n v="3180"/>
    <n v="0"/>
    <n v="0"/>
    <x v="94"/>
    <n v="3305"/>
    <n v="3180"/>
    <x v="2"/>
  </r>
  <r>
    <x v="2"/>
    <b v="0"/>
    <b v="0"/>
    <n v="0"/>
    <n v="0"/>
    <n v="0"/>
    <n v="2471"/>
    <n v="0"/>
    <n v="0"/>
    <n v="2471"/>
    <x v="211"/>
    <n v="0"/>
    <n v="0"/>
    <n v="194"/>
    <n v="194"/>
    <n v="2471"/>
    <n v="0"/>
    <n v="0"/>
    <x v="95"/>
    <n v="2746"/>
    <n v="2471"/>
    <x v="2"/>
  </r>
  <r>
    <x v="2"/>
    <b v="0"/>
    <b v="0"/>
    <n v="0"/>
    <n v="0"/>
    <n v="0"/>
    <n v="1012"/>
    <n v="722"/>
    <n v="0"/>
    <n v="1734"/>
    <x v="225"/>
    <n v="0"/>
    <n v="0"/>
    <n v="266"/>
    <n v="266"/>
    <n v="1734"/>
    <n v="0"/>
    <n v="0"/>
    <x v="96"/>
    <n v="2000"/>
    <n v="1734"/>
    <x v="2"/>
  </r>
  <r>
    <x v="2"/>
    <b v="0"/>
    <b v="0"/>
    <n v="0"/>
    <n v="0"/>
    <n v="0"/>
    <n v="1326"/>
    <n v="700"/>
    <n v="0"/>
    <n v="2026"/>
    <x v="262"/>
    <n v="0"/>
    <n v="0"/>
    <n v="32"/>
    <n v="32"/>
    <n v="2026"/>
    <n v="0"/>
    <n v="0"/>
    <x v="97"/>
    <n v="2058"/>
    <n v="2026"/>
    <x v="2"/>
  </r>
  <r>
    <x v="2"/>
    <b v="0"/>
    <b v="0"/>
    <n v="0"/>
    <n v="0"/>
    <n v="0"/>
    <n v="964"/>
    <n v="477"/>
    <n v="0"/>
    <n v="1441"/>
    <x v="263"/>
    <n v="0"/>
    <n v="0"/>
    <n v="40"/>
    <n v="40"/>
    <n v="1441"/>
    <n v="0"/>
    <n v="0"/>
    <x v="98"/>
    <n v="1481"/>
    <n v="1441"/>
    <x v="2"/>
  </r>
  <r>
    <x v="2"/>
    <b v="0"/>
    <b v="0"/>
    <n v="0"/>
    <n v="0"/>
    <n v="0"/>
    <n v="1552"/>
    <n v="0"/>
    <n v="0"/>
    <n v="1552"/>
    <x v="258"/>
    <n v="0"/>
    <n v="0"/>
    <n v="28"/>
    <n v="28"/>
    <n v="1552"/>
    <n v="0"/>
    <n v="0"/>
    <x v="99"/>
    <n v="1580"/>
    <n v="1552"/>
    <x v="2"/>
  </r>
  <r>
    <x v="2"/>
    <b v="0"/>
    <b v="0"/>
    <n v="0"/>
    <n v="0"/>
    <n v="0"/>
    <n v="1786"/>
    <n v="0"/>
    <n v="0"/>
    <n v="1786"/>
    <x v="260"/>
    <n v="0"/>
    <n v="0"/>
    <n v="17"/>
    <n v="17"/>
    <n v="1786"/>
    <n v="0"/>
    <n v="0"/>
    <x v="100"/>
    <n v="1803"/>
    <n v="1786"/>
    <x v="2"/>
  </r>
  <r>
    <x v="2"/>
    <b v="0"/>
    <b v="0"/>
    <n v="0"/>
    <n v="0"/>
    <n v="0"/>
    <n v="1152"/>
    <n v="0"/>
    <n v="0"/>
    <n v="1152"/>
    <x v="38"/>
    <n v="13"/>
    <n v="0"/>
    <n v="13"/>
    <n v="0"/>
    <n v="1152"/>
    <n v="0"/>
    <n v="0"/>
    <x v="101"/>
    <n v="1183"/>
    <n v="1152"/>
    <x v="2"/>
  </r>
  <r>
    <x v="2"/>
    <b v="0"/>
    <b v="0"/>
    <n v="0"/>
    <n v="0"/>
    <n v="0"/>
    <n v="666"/>
    <n v="0"/>
    <n v="0"/>
    <n v="666"/>
    <x v="38"/>
    <n v="0"/>
    <n v="0"/>
    <n v="0"/>
    <n v="0"/>
    <n v="666"/>
    <n v="0"/>
    <n v="0"/>
    <x v="102"/>
    <n v="666"/>
    <n v="666"/>
    <x v="1"/>
  </r>
  <r>
    <x v="2"/>
    <b v="0"/>
    <b v="0"/>
    <n v="0"/>
    <n v="0"/>
    <n v="0"/>
    <n v="1171"/>
    <n v="0"/>
    <n v="0"/>
    <n v="1171"/>
    <x v="38"/>
    <n v="0"/>
    <n v="0"/>
    <n v="0"/>
    <n v="0"/>
    <n v="1171"/>
    <n v="0"/>
    <n v="0"/>
    <x v="103"/>
    <n v="1171"/>
    <n v="1171"/>
    <x v="1"/>
  </r>
  <r>
    <x v="2"/>
    <b v="0"/>
    <b v="0"/>
    <n v="0"/>
    <n v="0"/>
    <n v="0"/>
    <n v="1355"/>
    <n v="0"/>
    <n v="0"/>
    <n v="1355"/>
    <x v="38"/>
    <n v="0"/>
    <n v="0"/>
    <n v="0"/>
    <n v="0"/>
    <n v="1355"/>
    <n v="0"/>
    <n v="0"/>
    <x v="104"/>
    <n v="1355"/>
    <n v="1355"/>
    <x v="1"/>
  </r>
  <r>
    <x v="2"/>
    <b v="0"/>
    <b v="0"/>
    <n v="0"/>
    <n v="0"/>
    <n v="0"/>
    <n v="1087"/>
    <n v="0"/>
    <n v="0"/>
    <n v="1087"/>
    <x v="38"/>
    <n v="0"/>
    <n v="0"/>
    <n v="0"/>
    <n v="0"/>
    <n v="1087"/>
    <n v="0"/>
    <n v="0"/>
    <x v="105"/>
    <n v="1087"/>
    <n v="1087"/>
    <x v="1"/>
  </r>
  <r>
    <x v="2"/>
    <b v="0"/>
    <b v="0"/>
    <n v="0"/>
    <n v="0"/>
    <n v="0"/>
    <n v="2046"/>
    <n v="0"/>
    <n v="0"/>
    <n v="2046"/>
    <x v="38"/>
    <n v="0"/>
    <n v="0"/>
    <n v="0"/>
    <n v="0"/>
    <n v="2046"/>
    <n v="0"/>
    <n v="0"/>
    <x v="106"/>
    <n v="2046"/>
    <n v="2046"/>
    <x v="1"/>
  </r>
  <r>
    <x v="2"/>
    <b v="0"/>
    <b v="0"/>
    <n v="0"/>
    <n v="0"/>
    <n v="0"/>
    <n v="2109"/>
    <n v="0"/>
    <n v="0"/>
    <n v="2109"/>
    <x v="38"/>
    <n v="0"/>
    <n v="0"/>
    <n v="0"/>
    <n v="0"/>
    <n v="2109"/>
    <n v="0"/>
    <n v="0"/>
    <x v="107"/>
    <n v="2109"/>
    <n v="2109"/>
    <x v="1"/>
  </r>
  <r>
    <x v="2"/>
    <b v="0"/>
    <b v="0"/>
    <n v="0"/>
    <n v="0"/>
    <n v="0"/>
    <n v="4521"/>
    <n v="0"/>
    <n v="0"/>
    <n v="4521"/>
    <x v="38"/>
    <n v="0"/>
    <n v="0"/>
    <n v="0"/>
    <n v="0"/>
    <n v="4521"/>
    <n v="0"/>
    <n v="0"/>
    <x v="108"/>
    <n v="4521"/>
    <n v="4521"/>
    <x v="1"/>
  </r>
  <r>
    <x v="2"/>
    <b v="0"/>
    <b v="0"/>
    <n v="0"/>
    <n v="0"/>
    <n v="0"/>
    <n v="4152"/>
    <n v="0"/>
    <n v="0"/>
    <n v="4152"/>
    <x v="38"/>
    <n v="0"/>
    <n v="0"/>
    <n v="0"/>
    <n v="0"/>
    <n v="4152"/>
    <n v="0"/>
    <n v="0"/>
    <x v="109"/>
    <n v="4152"/>
    <n v="4152"/>
    <x v="1"/>
  </r>
  <r>
    <x v="2"/>
    <b v="0"/>
    <b v="0"/>
    <n v="0"/>
    <n v="0"/>
    <n v="0"/>
    <n v="263"/>
    <n v="422"/>
    <n v="0"/>
    <n v="685"/>
    <x v="38"/>
    <n v="0"/>
    <n v="0"/>
    <n v="0"/>
    <n v="0"/>
    <n v="685"/>
    <n v="0"/>
    <n v="0"/>
    <x v="110"/>
    <n v="685"/>
    <n v="685"/>
    <x v="1"/>
  </r>
  <r>
    <x v="2"/>
    <b v="0"/>
    <b v="0"/>
    <n v="0"/>
    <n v="0"/>
    <n v="0"/>
    <n v="200"/>
    <n v="0"/>
    <n v="0"/>
    <n v="200"/>
    <x v="38"/>
    <n v="0"/>
    <n v="0"/>
    <n v="0"/>
    <n v="0"/>
    <n v="200"/>
    <n v="0"/>
    <n v="0"/>
    <x v="111"/>
    <n v="200"/>
    <n v="200"/>
    <x v="1"/>
  </r>
  <r>
    <x v="2"/>
    <b v="0"/>
    <b v="0"/>
    <n v="0"/>
    <n v="0"/>
    <n v="0"/>
    <n v="566"/>
    <n v="0"/>
    <n v="0"/>
    <n v="566"/>
    <x v="38"/>
    <n v="0"/>
    <n v="0"/>
    <n v="0"/>
    <n v="0"/>
    <n v="566"/>
    <n v="0"/>
    <n v="0"/>
    <x v="112"/>
    <n v="566"/>
    <n v="566"/>
    <x v="1"/>
  </r>
  <r>
    <x v="2"/>
    <b v="0"/>
    <b v="0"/>
    <n v="0"/>
    <n v="0"/>
    <n v="0"/>
    <n v="607"/>
    <n v="0"/>
    <n v="0"/>
    <n v="607"/>
    <x v="38"/>
    <n v="0"/>
    <n v="0"/>
    <n v="0"/>
    <n v="0"/>
    <n v="607"/>
    <n v="0"/>
    <n v="0"/>
    <x v="113"/>
    <n v="607"/>
    <n v="607"/>
    <x v="1"/>
  </r>
  <r>
    <x v="2"/>
    <b v="0"/>
    <b v="0"/>
    <n v="0"/>
    <n v="0"/>
    <n v="0"/>
    <n v="1005"/>
    <n v="0"/>
    <n v="0"/>
    <n v="1005"/>
    <x v="38"/>
    <n v="0"/>
    <n v="0"/>
    <n v="0"/>
    <n v="0"/>
    <n v="1005"/>
    <n v="0"/>
    <n v="0"/>
    <x v="114"/>
    <n v="1005"/>
    <n v="1005"/>
    <x v="1"/>
  </r>
  <r>
    <x v="2"/>
    <b v="0"/>
    <b v="0"/>
    <n v="0"/>
    <n v="0"/>
    <n v="0"/>
    <n v="737"/>
    <n v="0"/>
    <n v="0"/>
    <n v="737"/>
    <x v="38"/>
    <n v="0"/>
    <n v="0"/>
    <n v="0"/>
    <n v="0"/>
    <n v="737"/>
    <n v="0"/>
    <n v="0"/>
    <x v="115"/>
    <n v="737"/>
    <n v="737"/>
    <x v="1"/>
  </r>
  <r>
    <x v="2"/>
    <b v="0"/>
    <b v="0"/>
    <n v="0"/>
    <n v="0"/>
    <n v="0"/>
    <n v="800"/>
    <n v="0"/>
    <n v="0"/>
    <n v="800"/>
    <x v="38"/>
    <n v="0"/>
    <n v="0"/>
    <n v="0"/>
    <n v="0"/>
    <n v="800"/>
    <n v="0"/>
    <n v="0"/>
    <x v="116"/>
    <n v="800"/>
    <n v="800"/>
    <x v="1"/>
  </r>
  <r>
    <x v="2"/>
    <b v="0"/>
    <b v="0"/>
    <n v="0"/>
    <n v="0"/>
    <n v="0"/>
    <n v="1174"/>
    <n v="0"/>
    <n v="0"/>
    <n v="1174"/>
    <x v="38"/>
    <n v="0"/>
    <n v="0"/>
    <n v="0"/>
    <n v="0"/>
    <n v="1174"/>
    <n v="0"/>
    <n v="0"/>
    <x v="117"/>
    <n v="1174"/>
    <n v="1174"/>
    <x v="1"/>
  </r>
  <r>
    <x v="2"/>
    <b v="1"/>
    <b v="0"/>
    <n v="0"/>
    <n v="0"/>
    <n v="0"/>
    <n v="1130"/>
    <n v="0"/>
    <n v="0"/>
    <n v="1130"/>
    <x v="38"/>
    <n v="0"/>
    <n v="0"/>
    <n v="0"/>
    <n v="0"/>
    <n v="1130"/>
    <n v="0"/>
    <n v="0"/>
    <x v="118"/>
    <n v="1130"/>
    <n v="1130"/>
    <x v="1"/>
  </r>
  <r>
    <x v="2"/>
    <b v="1"/>
    <b v="0"/>
    <n v="0"/>
    <n v="0"/>
    <n v="0"/>
    <n v="831"/>
    <n v="0"/>
    <n v="0"/>
    <n v="831"/>
    <x v="38"/>
    <n v="0"/>
    <n v="0"/>
    <n v="0"/>
    <n v="0"/>
    <n v="831"/>
    <n v="0"/>
    <n v="0"/>
    <x v="119"/>
    <n v="831"/>
    <n v="831"/>
    <x v="1"/>
  </r>
  <r>
    <x v="2"/>
    <b v="1"/>
    <b v="0"/>
    <n v="0"/>
    <n v="0"/>
    <n v="0"/>
    <n v="0"/>
    <n v="0"/>
    <n v="0"/>
    <n v="0"/>
    <x v="38"/>
    <n v="0"/>
    <n v="0"/>
    <n v="0"/>
    <n v="0"/>
    <n v="0"/>
    <n v="0"/>
    <n v="0"/>
    <x v="120"/>
    <n v="0"/>
    <n v="0"/>
    <x v="1"/>
  </r>
  <r>
    <x v="2"/>
    <b v="0"/>
    <b v="0"/>
    <n v="0"/>
    <n v="0"/>
    <n v="0"/>
    <n v="1147"/>
    <n v="0"/>
    <n v="0"/>
    <n v="1147"/>
    <x v="38"/>
    <n v="0"/>
    <n v="0"/>
    <n v="0"/>
    <n v="0"/>
    <n v="1147"/>
    <n v="0"/>
    <n v="0"/>
    <x v="121"/>
    <n v="1147"/>
    <n v="1147"/>
    <x v="1"/>
  </r>
  <r>
    <x v="2"/>
    <b v="0"/>
    <b v="0"/>
    <n v="0"/>
    <n v="0"/>
    <n v="0"/>
    <n v="867"/>
    <n v="0"/>
    <n v="0"/>
    <n v="867"/>
    <x v="38"/>
    <n v="0"/>
    <n v="0"/>
    <n v="0"/>
    <n v="0"/>
    <n v="867"/>
    <n v="0"/>
    <n v="0"/>
    <x v="122"/>
    <n v="867"/>
    <n v="867"/>
    <x v="1"/>
  </r>
  <r>
    <x v="2"/>
    <b v="0"/>
    <b v="0"/>
    <n v="0"/>
    <n v="0"/>
    <n v="0"/>
    <n v="1102"/>
    <n v="0"/>
    <n v="0"/>
    <n v="1102"/>
    <x v="38"/>
    <n v="0"/>
    <n v="0"/>
    <n v="0"/>
    <n v="0"/>
    <n v="1102"/>
    <n v="0"/>
    <n v="0"/>
    <x v="123"/>
    <n v="1102"/>
    <n v="1102"/>
    <x v="1"/>
  </r>
  <r>
    <x v="2"/>
    <b v="0"/>
    <b v="0"/>
    <n v="0"/>
    <n v="0"/>
    <n v="0"/>
    <n v="1193"/>
    <n v="0"/>
    <n v="0"/>
    <n v="1193"/>
    <x v="38"/>
    <n v="0"/>
    <n v="0"/>
    <n v="0"/>
    <n v="0"/>
    <n v="1193"/>
    <n v="0"/>
    <n v="0"/>
    <x v="124"/>
    <n v="1193"/>
    <n v="1193"/>
    <x v="1"/>
  </r>
  <r>
    <x v="2"/>
    <b v="0"/>
    <b v="0"/>
    <n v="0"/>
    <n v="0"/>
    <n v="0"/>
    <n v="828"/>
    <n v="0"/>
    <n v="0"/>
    <n v="828"/>
    <x v="38"/>
    <n v="0"/>
    <n v="0"/>
    <n v="0"/>
    <n v="0"/>
    <n v="828"/>
    <n v="0"/>
    <n v="0"/>
    <x v="125"/>
    <n v="828"/>
    <n v="828"/>
    <x v="1"/>
  </r>
  <r>
    <x v="2"/>
    <b v="0"/>
    <b v="0"/>
    <n v="0"/>
    <n v="0"/>
    <n v="0"/>
    <n v="1048"/>
    <n v="0"/>
    <n v="0"/>
    <n v="1048"/>
    <x v="38"/>
    <n v="0"/>
    <n v="0"/>
    <n v="0"/>
    <n v="0"/>
    <n v="1048"/>
    <n v="0"/>
    <n v="0"/>
    <x v="126"/>
    <n v="1048"/>
    <n v="1048"/>
    <x v="1"/>
  </r>
  <r>
    <x v="2"/>
    <b v="0"/>
    <b v="0"/>
    <n v="0"/>
    <n v="0"/>
    <n v="0"/>
    <n v="1000"/>
    <n v="0"/>
    <n v="0"/>
    <n v="1000"/>
    <x v="38"/>
    <n v="0"/>
    <n v="0"/>
    <n v="0"/>
    <n v="0"/>
    <n v="1000"/>
    <n v="0"/>
    <n v="0"/>
    <x v="127"/>
    <n v="1000"/>
    <n v="1000"/>
    <x v="1"/>
  </r>
  <r>
    <x v="2"/>
    <b v="1"/>
    <b v="0"/>
    <n v="0"/>
    <n v="0"/>
    <n v="0"/>
    <n v="817"/>
    <n v="0"/>
    <n v="0"/>
    <n v="817"/>
    <x v="38"/>
    <n v="0"/>
    <n v="0"/>
    <n v="0"/>
    <n v="0"/>
    <n v="817"/>
    <n v="0"/>
    <n v="0"/>
    <x v="128"/>
    <n v="817"/>
    <n v="817"/>
    <x v="1"/>
  </r>
  <r>
    <x v="2"/>
    <b v="0"/>
    <b v="0"/>
    <n v="0"/>
    <n v="0"/>
    <n v="0"/>
    <n v="1060"/>
    <n v="0"/>
    <n v="0"/>
    <n v="1060"/>
    <x v="38"/>
    <n v="0"/>
    <n v="0"/>
    <n v="0"/>
    <n v="0"/>
    <n v="1060"/>
    <n v="0"/>
    <n v="0"/>
    <x v="129"/>
    <n v="1060"/>
    <n v="1060"/>
    <x v="1"/>
  </r>
  <r>
    <x v="2"/>
    <b v="1"/>
    <b v="0"/>
    <n v="0"/>
    <n v="0"/>
    <n v="0"/>
    <n v="942"/>
    <n v="0"/>
    <n v="0"/>
    <n v="942"/>
    <x v="38"/>
    <n v="0"/>
    <n v="0"/>
    <n v="0"/>
    <n v="0"/>
    <n v="942"/>
    <n v="0"/>
    <n v="0"/>
    <x v="130"/>
    <n v="942"/>
    <n v="942"/>
    <x v="1"/>
  </r>
  <r>
    <x v="2"/>
    <b v="1"/>
    <b v="0"/>
    <n v="0"/>
    <n v="0"/>
    <n v="0"/>
    <n v="1164"/>
    <n v="0"/>
    <n v="0"/>
    <n v="1164"/>
    <x v="38"/>
    <n v="0"/>
    <n v="0"/>
    <n v="0"/>
    <n v="0"/>
    <n v="1164"/>
    <n v="0"/>
    <n v="0"/>
    <x v="131"/>
    <n v="1164"/>
    <n v="1164"/>
    <x v="1"/>
  </r>
  <r>
    <x v="2"/>
    <b v="0"/>
    <b v="0"/>
    <n v="0"/>
    <n v="0"/>
    <n v="0"/>
    <n v="1552"/>
    <n v="0"/>
    <n v="0"/>
    <n v="1552"/>
    <x v="38"/>
    <n v="0"/>
    <n v="0"/>
    <n v="0"/>
    <n v="0"/>
    <n v="1552"/>
    <n v="0"/>
    <n v="0"/>
    <x v="132"/>
    <n v="1552"/>
    <n v="1552"/>
    <x v="1"/>
  </r>
  <r>
    <x v="2"/>
    <b v="0"/>
    <b v="0"/>
    <n v="0"/>
    <n v="0"/>
    <n v="0"/>
    <n v="1135"/>
    <n v="0"/>
    <n v="0"/>
    <n v="1135"/>
    <x v="38"/>
    <n v="0"/>
    <n v="0"/>
    <n v="0"/>
    <n v="0"/>
    <n v="1135"/>
    <n v="0"/>
    <n v="0"/>
    <x v="133"/>
    <n v="1135"/>
    <n v="1135"/>
    <x v="1"/>
  </r>
  <r>
    <x v="2"/>
    <b v="0"/>
    <b v="0"/>
    <n v="0"/>
    <n v="0"/>
    <n v="0"/>
    <n v="1111"/>
    <n v="0"/>
    <n v="0"/>
    <n v="1111"/>
    <x v="38"/>
    <n v="0"/>
    <n v="0"/>
    <n v="0"/>
    <n v="0"/>
    <n v="1111"/>
    <n v="0"/>
    <n v="0"/>
    <x v="134"/>
    <n v="1111"/>
    <n v="1111"/>
    <x v="1"/>
  </r>
  <r>
    <x v="2"/>
    <b v="0"/>
    <b v="0"/>
    <n v="0"/>
    <n v="0"/>
    <n v="0"/>
    <n v="1024"/>
    <n v="0"/>
    <n v="0"/>
    <n v="1024"/>
    <x v="38"/>
    <n v="0"/>
    <n v="0"/>
    <n v="0"/>
    <n v="0"/>
    <n v="1024"/>
    <n v="0"/>
    <n v="0"/>
    <x v="135"/>
    <n v="1024"/>
    <n v="1024"/>
    <x v="1"/>
  </r>
  <r>
    <x v="2"/>
    <b v="0"/>
    <b v="0"/>
    <n v="0"/>
    <n v="0"/>
    <n v="0"/>
    <n v="911"/>
    <n v="0"/>
    <n v="0"/>
    <n v="911"/>
    <x v="38"/>
    <n v="0"/>
    <n v="0"/>
    <n v="0"/>
    <n v="0"/>
    <n v="911"/>
    <n v="0"/>
    <n v="0"/>
    <x v="136"/>
    <n v="911"/>
    <n v="911"/>
    <x v="1"/>
  </r>
  <r>
    <x v="2"/>
    <b v="0"/>
    <b v="0"/>
    <n v="0"/>
    <n v="0"/>
    <n v="0"/>
    <n v="470"/>
    <n v="0"/>
    <n v="0"/>
    <n v="470"/>
    <x v="38"/>
    <n v="0"/>
    <n v="0"/>
    <n v="0"/>
    <n v="0"/>
    <n v="470"/>
    <n v="0"/>
    <n v="0"/>
    <x v="137"/>
    <n v="470"/>
    <n v="470"/>
    <x v="1"/>
  </r>
  <r>
    <x v="2"/>
    <b v="0"/>
    <b v="0"/>
    <n v="0"/>
    <n v="0"/>
    <n v="0"/>
    <n v="389"/>
    <n v="0"/>
    <n v="0"/>
    <n v="389"/>
    <x v="38"/>
    <n v="0"/>
    <n v="0"/>
    <n v="0"/>
    <n v="0"/>
    <n v="389"/>
    <n v="0"/>
    <n v="0"/>
    <x v="138"/>
    <n v="389"/>
    <n v="389"/>
    <x v="3"/>
  </r>
  <r>
    <x v="2"/>
    <b v="0"/>
    <b v="0"/>
    <n v="0"/>
    <n v="0"/>
    <n v="0"/>
    <n v="377"/>
    <n v="0"/>
    <n v="0"/>
    <n v="377"/>
    <x v="38"/>
    <n v="0"/>
    <n v="0"/>
    <n v="0"/>
    <n v="0"/>
    <n v="377"/>
    <n v="0"/>
    <n v="0"/>
    <x v="139"/>
    <n v="377"/>
    <n v="377"/>
    <x v="3"/>
  </r>
  <r>
    <x v="2"/>
    <b v="0"/>
    <b v="0"/>
    <n v="0"/>
    <n v="0"/>
    <n v="0"/>
    <n v="538"/>
    <n v="0"/>
    <n v="0"/>
    <n v="538"/>
    <x v="38"/>
    <n v="0"/>
    <n v="0"/>
    <n v="0"/>
    <n v="0"/>
    <n v="538"/>
    <n v="0"/>
    <n v="0"/>
    <x v="140"/>
    <n v="538"/>
    <n v="538"/>
    <x v="3"/>
  </r>
  <r>
    <x v="2"/>
    <b v="0"/>
    <b v="0"/>
    <n v="0"/>
    <n v="0"/>
    <n v="0"/>
    <n v="402"/>
    <n v="0"/>
    <n v="0"/>
    <n v="402"/>
    <x v="38"/>
    <n v="0"/>
    <n v="0"/>
    <n v="0"/>
    <n v="0"/>
    <n v="402"/>
    <n v="0"/>
    <n v="0"/>
    <x v="141"/>
    <n v="402"/>
    <n v="402"/>
    <x v="3"/>
  </r>
  <r>
    <x v="2"/>
    <b v="0"/>
    <b v="0"/>
    <n v="0"/>
    <n v="0"/>
    <n v="0"/>
    <n v="501"/>
    <n v="0"/>
    <n v="0"/>
    <n v="501"/>
    <x v="38"/>
    <n v="0"/>
    <n v="0"/>
    <n v="0"/>
    <n v="0"/>
    <n v="501"/>
    <n v="0"/>
    <n v="0"/>
    <x v="142"/>
    <n v="501"/>
    <n v="501"/>
    <x v="3"/>
  </r>
  <r>
    <x v="2"/>
    <b v="0"/>
    <b v="0"/>
    <n v="0"/>
    <n v="0"/>
    <n v="0"/>
    <n v="555"/>
    <n v="0"/>
    <n v="0"/>
    <n v="555"/>
    <x v="38"/>
    <n v="0"/>
    <n v="0"/>
    <n v="0"/>
    <n v="0"/>
    <n v="555"/>
    <n v="0"/>
    <n v="0"/>
    <x v="143"/>
    <n v="555"/>
    <n v="555"/>
    <x v="3"/>
  </r>
  <r>
    <x v="2"/>
    <b v="0"/>
    <b v="0"/>
    <n v="0"/>
    <n v="0"/>
    <n v="0"/>
    <n v="424"/>
    <n v="0"/>
    <n v="0"/>
    <n v="424"/>
    <x v="38"/>
    <n v="0"/>
    <n v="0"/>
    <n v="0"/>
    <n v="0"/>
    <n v="424"/>
    <n v="0"/>
    <n v="0"/>
    <x v="144"/>
    <n v="424"/>
    <n v="424"/>
    <x v="3"/>
  </r>
  <r>
    <x v="2"/>
    <b v="0"/>
    <b v="0"/>
    <n v="0"/>
    <n v="0"/>
    <n v="0"/>
    <n v="0"/>
    <n v="581"/>
    <n v="0"/>
    <n v="581"/>
    <x v="38"/>
    <n v="0"/>
    <n v="0"/>
    <n v="0"/>
    <n v="0"/>
    <n v="581"/>
    <n v="0"/>
    <n v="0"/>
    <x v="145"/>
    <n v="581"/>
    <n v="581"/>
    <x v="3"/>
  </r>
  <r>
    <x v="2"/>
    <b v="0"/>
    <b v="0"/>
    <n v="0"/>
    <n v="0"/>
    <n v="0"/>
    <n v="532"/>
    <n v="0"/>
    <n v="0"/>
    <n v="532"/>
    <x v="38"/>
    <n v="0"/>
    <n v="0"/>
    <n v="0"/>
    <n v="0"/>
    <n v="532"/>
    <n v="0"/>
    <n v="0"/>
    <x v="146"/>
    <n v="532"/>
    <n v="532"/>
    <x v="3"/>
  </r>
  <r>
    <x v="2"/>
    <b v="0"/>
    <b v="0"/>
    <n v="0"/>
    <n v="0"/>
    <n v="0"/>
    <n v="557"/>
    <n v="0"/>
    <n v="0"/>
    <n v="557"/>
    <x v="38"/>
    <n v="0"/>
    <n v="0"/>
    <n v="0"/>
    <n v="0"/>
    <n v="557"/>
    <n v="0"/>
    <n v="0"/>
    <x v="147"/>
    <n v="557"/>
    <n v="557"/>
    <x v="3"/>
  </r>
  <r>
    <x v="2"/>
    <b v="0"/>
    <b v="0"/>
    <n v="0"/>
    <n v="0"/>
    <n v="0"/>
    <n v="464"/>
    <n v="0"/>
    <n v="0"/>
    <n v="464"/>
    <x v="38"/>
    <n v="0"/>
    <n v="0"/>
    <n v="0"/>
    <n v="0"/>
    <n v="464"/>
    <n v="0"/>
    <n v="0"/>
    <x v="148"/>
    <n v="464"/>
    <n v="464"/>
    <x v="3"/>
  </r>
  <r>
    <x v="2"/>
    <b v="0"/>
    <b v="0"/>
    <n v="0"/>
    <n v="0"/>
    <n v="0"/>
    <n v="0"/>
    <n v="287"/>
    <n v="0"/>
    <n v="287"/>
    <x v="38"/>
    <n v="0"/>
    <n v="0"/>
    <n v="0"/>
    <n v="0"/>
    <n v="287"/>
    <n v="0"/>
    <n v="0"/>
    <x v="149"/>
    <n v="287"/>
    <n v="287"/>
    <x v="3"/>
  </r>
  <r>
    <x v="2"/>
    <b v="0"/>
    <b v="0"/>
    <n v="0"/>
    <n v="0"/>
    <n v="0"/>
    <n v="0"/>
    <n v="0"/>
    <n v="0"/>
    <n v="0"/>
    <x v="38"/>
    <n v="0"/>
    <n v="0"/>
    <n v="0"/>
    <n v="0"/>
    <n v="0"/>
    <n v="0"/>
    <n v="0"/>
    <x v="150"/>
    <n v="0"/>
    <n v="0"/>
    <x v="4"/>
  </r>
  <r>
    <x v="2"/>
    <b v="0"/>
    <b v="0"/>
    <n v="0"/>
    <n v="0"/>
    <n v="0"/>
    <n v="0"/>
    <n v="325"/>
    <n v="0"/>
    <n v="325"/>
    <x v="38"/>
    <n v="0"/>
    <n v="0"/>
    <n v="0"/>
    <n v="0"/>
    <n v="325"/>
    <n v="0"/>
    <n v="0"/>
    <x v="151"/>
    <n v="325"/>
    <n v="325"/>
    <x v="4"/>
  </r>
  <r>
    <x v="2"/>
    <b v="0"/>
    <b v="0"/>
    <n v="0"/>
    <n v="0"/>
    <n v="0"/>
    <n v="431"/>
    <n v="0"/>
    <n v="0"/>
    <n v="431"/>
    <x v="38"/>
    <n v="0"/>
    <n v="0"/>
    <n v="0"/>
    <n v="0"/>
    <n v="431"/>
    <n v="0"/>
    <n v="0"/>
    <x v="152"/>
    <n v="431"/>
    <n v="431"/>
    <x v="4"/>
  </r>
  <r>
    <x v="2"/>
    <b v="0"/>
    <b v="0"/>
    <n v="0"/>
    <n v="0"/>
    <n v="0"/>
    <n v="473"/>
    <n v="0"/>
    <n v="0"/>
    <n v="473"/>
    <x v="38"/>
    <n v="0"/>
    <n v="0"/>
    <n v="0"/>
    <n v="0"/>
    <n v="473"/>
    <n v="0"/>
    <n v="0"/>
    <x v="153"/>
    <n v="473"/>
    <n v="473"/>
    <x v="4"/>
  </r>
  <r>
    <x v="2"/>
    <b v="0"/>
    <b v="0"/>
    <n v="0"/>
    <n v="0"/>
    <n v="0"/>
    <n v="0"/>
    <n v="599"/>
    <n v="0"/>
    <n v="599"/>
    <x v="38"/>
    <n v="0"/>
    <n v="0"/>
    <n v="0"/>
    <n v="0"/>
    <n v="599"/>
    <n v="0"/>
    <n v="0"/>
    <x v="154"/>
    <n v="599"/>
    <n v="599"/>
    <x v="4"/>
  </r>
  <r>
    <x v="2"/>
    <b v="0"/>
    <b v="0"/>
    <n v="0"/>
    <n v="0"/>
    <n v="0"/>
    <n v="0"/>
    <n v="439"/>
    <n v="0"/>
    <n v="439"/>
    <x v="38"/>
    <n v="0"/>
    <n v="0"/>
    <n v="0"/>
    <n v="0"/>
    <n v="439"/>
    <n v="0"/>
    <n v="0"/>
    <x v="155"/>
    <n v="439"/>
    <n v="439"/>
    <x v="4"/>
  </r>
  <r>
    <x v="2"/>
    <b v="0"/>
    <b v="0"/>
    <n v="0"/>
    <n v="0"/>
    <n v="0"/>
    <n v="0"/>
    <n v="530"/>
    <n v="0"/>
    <n v="530"/>
    <x v="38"/>
    <n v="0"/>
    <n v="0"/>
    <n v="0"/>
    <n v="0"/>
    <n v="530"/>
    <n v="0"/>
    <n v="0"/>
    <x v="156"/>
    <n v="530"/>
    <n v="530"/>
    <x v="4"/>
  </r>
  <r>
    <x v="2"/>
    <b v="0"/>
    <b v="0"/>
    <n v="0"/>
    <n v="0"/>
    <n v="0"/>
    <n v="0"/>
    <n v="582"/>
    <n v="0"/>
    <n v="582"/>
    <x v="38"/>
    <n v="0"/>
    <n v="0"/>
    <n v="0"/>
    <n v="0"/>
    <n v="582"/>
    <n v="0"/>
    <n v="0"/>
    <x v="157"/>
    <n v="582"/>
    <n v="582"/>
    <x v="4"/>
  </r>
  <r>
    <x v="2"/>
    <b v="0"/>
    <b v="0"/>
    <n v="0"/>
    <n v="0"/>
    <n v="0"/>
    <n v="450"/>
    <n v="0"/>
    <n v="0"/>
    <n v="450"/>
    <x v="38"/>
    <n v="0"/>
    <n v="0"/>
    <n v="0"/>
    <n v="0"/>
    <n v="450"/>
    <n v="0"/>
    <n v="0"/>
    <x v="158"/>
    <n v="450"/>
    <n v="450"/>
    <x v="4"/>
  </r>
  <r>
    <x v="2"/>
    <b v="0"/>
    <b v="0"/>
    <n v="0"/>
    <n v="0"/>
    <n v="0"/>
    <n v="470"/>
    <n v="0"/>
    <n v="0"/>
    <n v="470"/>
    <x v="38"/>
    <n v="0"/>
    <n v="0"/>
    <n v="0"/>
    <n v="0"/>
    <n v="470"/>
    <n v="0"/>
    <n v="0"/>
    <x v="159"/>
    <n v="470"/>
    <n v="470"/>
    <x v="4"/>
  </r>
  <r>
    <x v="2"/>
    <b v="0"/>
    <b v="0"/>
    <n v="0"/>
    <n v="0"/>
    <n v="0"/>
    <n v="410"/>
    <n v="0"/>
    <n v="0"/>
    <n v="410"/>
    <x v="38"/>
    <n v="0"/>
    <n v="0"/>
    <n v="0"/>
    <n v="0"/>
    <n v="410"/>
    <n v="0"/>
    <n v="0"/>
    <x v="160"/>
    <n v="410"/>
    <n v="410"/>
    <x v="4"/>
  </r>
  <r>
    <x v="2"/>
    <b v="0"/>
    <b v="0"/>
    <n v="0"/>
    <n v="0"/>
    <n v="0"/>
    <n v="0"/>
    <n v="250"/>
    <n v="0"/>
    <n v="250"/>
    <x v="38"/>
    <n v="0"/>
    <n v="0"/>
    <n v="0"/>
    <n v="0"/>
    <n v="250"/>
    <n v="0"/>
    <n v="0"/>
    <x v="161"/>
    <n v="250"/>
    <n v="250"/>
    <x v="4"/>
  </r>
  <r>
    <x v="2"/>
    <b v="0"/>
    <b v="0"/>
    <n v="0"/>
    <n v="0"/>
    <n v="0"/>
    <n v="370"/>
    <n v="0"/>
    <n v="0"/>
    <n v="370"/>
    <x v="38"/>
    <n v="0"/>
    <n v="0"/>
    <n v="0"/>
    <n v="0"/>
    <n v="370"/>
    <n v="0"/>
    <n v="0"/>
    <x v="162"/>
    <n v="370"/>
    <n v="370"/>
    <x v="4"/>
  </r>
  <r>
    <x v="2"/>
    <b v="0"/>
    <b v="0"/>
    <n v="0"/>
    <n v="0"/>
    <n v="0"/>
    <n v="0"/>
    <n v="500"/>
    <n v="0"/>
    <n v="500"/>
    <x v="38"/>
    <n v="0"/>
    <n v="0"/>
    <n v="0"/>
    <n v="0"/>
    <n v="500"/>
    <n v="0"/>
    <n v="0"/>
    <x v="163"/>
    <n v="500"/>
    <n v="500"/>
    <x v="4"/>
  </r>
  <r>
    <x v="2"/>
    <b v="0"/>
    <b v="0"/>
    <n v="0"/>
    <n v="0"/>
    <n v="0"/>
    <n v="492"/>
    <n v="0"/>
    <n v="0"/>
    <n v="492"/>
    <x v="38"/>
    <n v="0"/>
    <n v="0"/>
    <n v="0"/>
    <n v="0"/>
    <n v="492"/>
    <n v="0"/>
    <n v="0"/>
    <x v="164"/>
    <n v="492"/>
    <n v="492"/>
    <x v="4"/>
  </r>
  <r>
    <x v="2"/>
    <b v="0"/>
    <b v="0"/>
    <n v="0"/>
    <n v="0"/>
    <n v="0"/>
    <n v="506"/>
    <n v="0"/>
    <n v="0"/>
    <n v="506"/>
    <x v="38"/>
    <n v="0"/>
    <n v="0"/>
    <n v="0"/>
    <n v="0"/>
    <n v="506"/>
    <n v="0"/>
    <n v="0"/>
    <x v="165"/>
    <n v="506"/>
    <n v="506"/>
    <x v="4"/>
  </r>
  <r>
    <x v="2"/>
    <b v="0"/>
    <b v="0"/>
    <n v="0"/>
    <n v="0"/>
    <n v="0"/>
    <n v="0"/>
    <n v="1412"/>
    <n v="0"/>
    <n v="1412"/>
    <x v="38"/>
    <n v="0"/>
    <n v="0"/>
    <n v="0"/>
    <n v="0"/>
    <n v="1412"/>
    <n v="0"/>
    <n v="0"/>
    <x v="166"/>
    <n v="1412"/>
    <n v="1412"/>
    <x v="4"/>
  </r>
  <r>
    <x v="2"/>
    <b v="0"/>
    <b v="0"/>
    <n v="0"/>
    <n v="0"/>
    <n v="0"/>
    <n v="0"/>
    <n v="575"/>
    <n v="0"/>
    <n v="575"/>
    <x v="38"/>
    <n v="0"/>
    <n v="0"/>
    <n v="0"/>
    <n v="0"/>
    <n v="575"/>
    <n v="0"/>
    <n v="0"/>
    <x v="167"/>
    <n v="575"/>
    <n v="575"/>
    <x v="4"/>
  </r>
  <r>
    <x v="2"/>
    <b v="0"/>
    <b v="0"/>
    <n v="0"/>
    <n v="0"/>
    <n v="0"/>
    <n v="0"/>
    <n v="753"/>
    <n v="0"/>
    <n v="753"/>
    <x v="38"/>
    <n v="0"/>
    <n v="0"/>
    <n v="0"/>
    <n v="0"/>
    <n v="753"/>
    <n v="0"/>
    <n v="0"/>
    <x v="168"/>
    <n v="753"/>
    <n v="753"/>
    <x v="4"/>
  </r>
  <r>
    <x v="2"/>
    <b v="0"/>
    <b v="0"/>
    <n v="0"/>
    <n v="0"/>
    <n v="0"/>
    <n v="0"/>
    <n v="784"/>
    <n v="0"/>
    <n v="784"/>
    <x v="38"/>
    <n v="0"/>
    <n v="0"/>
    <n v="0"/>
    <n v="0"/>
    <n v="784"/>
    <n v="0"/>
    <n v="0"/>
    <x v="169"/>
    <n v="784"/>
    <n v="784"/>
    <x v="4"/>
  </r>
  <r>
    <x v="2"/>
    <b v="0"/>
    <b v="0"/>
    <n v="0"/>
    <n v="0"/>
    <n v="0"/>
    <n v="496"/>
    <n v="0"/>
    <n v="0"/>
    <n v="496"/>
    <x v="38"/>
    <n v="0"/>
    <n v="0"/>
    <n v="0"/>
    <n v="0"/>
    <n v="496"/>
    <n v="0"/>
    <n v="0"/>
    <x v="170"/>
    <n v="496"/>
    <n v="496"/>
    <x v="4"/>
  </r>
  <r>
    <x v="2"/>
    <b v="0"/>
    <b v="0"/>
    <n v="0"/>
    <n v="0"/>
    <n v="0"/>
    <n v="0"/>
    <n v="448"/>
    <n v="0"/>
    <n v="448"/>
    <x v="38"/>
    <n v="0"/>
    <n v="0"/>
    <n v="0"/>
    <n v="0"/>
    <n v="448"/>
    <n v="0"/>
    <n v="0"/>
    <x v="171"/>
    <n v="448"/>
    <n v="448"/>
    <x v="4"/>
  </r>
  <r>
    <x v="2"/>
    <b v="0"/>
    <b v="0"/>
    <n v="0"/>
    <n v="0"/>
    <n v="0"/>
    <n v="0"/>
    <n v="425"/>
    <n v="0"/>
    <n v="425"/>
    <x v="38"/>
    <n v="0"/>
    <n v="0"/>
    <n v="0"/>
    <n v="0"/>
    <n v="425"/>
    <n v="0"/>
    <n v="0"/>
    <x v="172"/>
    <n v="425"/>
    <n v="425"/>
    <x v="4"/>
  </r>
  <r>
    <x v="2"/>
    <b v="0"/>
    <b v="0"/>
    <n v="0"/>
    <n v="0"/>
    <n v="0"/>
    <n v="0"/>
    <n v="234"/>
    <n v="0"/>
    <n v="234"/>
    <x v="38"/>
    <n v="0"/>
    <n v="0"/>
    <n v="0"/>
    <n v="0"/>
    <n v="234"/>
    <n v="0"/>
    <n v="0"/>
    <x v="173"/>
    <n v="234"/>
    <n v="234"/>
    <x v="4"/>
  </r>
  <r>
    <x v="2"/>
    <b v="0"/>
    <b v="0"/>
    <n v="0"/>
    <n v="0"/>
    <n v="0"/>
    <n v="0"/>
    <n v="337"/>
    <n v="0"/>
    <n v="337"/>
    <x v="38"/>
    <n v="0"/>
    <n v="0"/>
    <n v="0"/>
    <n v="0"/>
    <n v="337"/>
    <n v="0"/>
    <n v="0"/>
    <x v="174"/>
    <n v="337"/>
    <n v="337"/>
    <x v="0"/>
  </r>
  <r>
    <x v="2"/>
    <b v="0"/>
    <b v="0"/>
    <n v="0"/>
    <n v="0"/>
    <n v="0"/>
    <n v="0"/>
    <n v="945"/>
    <n v="0"/>
    <n v="945"/>
    <x v="38"/>
    <n v="0"/>
    <n v="0"/>
    <n v="0"/>
    <n v="0"/>
    <n v="945"/>
    <n v="0"/>
    <n v="0"/>
    <x v="175"/>
    <n v="945"/>
    <n v="945"/>
    <x v="0"/>
  </r>
  <r>
    <x v="2"/>
    <b v="0"/>
    <b v="0"/>
    <n v="0"/>
    <n v="0"/>
    <n v="0"/>
    <n v="0"/>
    <n v="542"/>
    <n v="0"/>
    <n v="542"/>
    <x v="38"/>
    <n v="0"/>
    <n v="0"/>
    <n v="0"/>
    <n v="0"/>
    <n v="542"/>
    <n v="0"/>
    <n v="0"/>
    <x v="176"/>
    <n v="542"/>
    <n v="542"/>
    <x v="0"/>
  </r>
  <r>
    <x v="2"/>
    <b v="0"/>
    <b v="0"/>
    <n v="0"/>
    <n v="0"/>
    <n v="0"/>
    <n v="526"/>
    <n v="0"/>
    <n v="0"/>
    <n v="526"/>
    <x v="38"/>
    <n v="0"/>
    <n v="0"/>
    <n v="0"/>
    <n v="0"/>
    <n v="526"/>
    <n v="0"/>
    <n v="0"/>
    <x v="177"/>
    <n v="526"/>
    <n v="526"/>
    <x v="0"/>
  </r>
  <r>
    <x v="2"/>
    <b v="0"/>
    <b v="0"/>
    <n v="0"/>
    <n v="0"/>
    <n v="0"/>
    <n v="0"/>
    <n v="907"/>
    <n v="0"/>
    <n v="907"/>
    <x v="38"/>
    <n v="0"/>
    <n v="0"/>
    <n v="0"/>
    <n v="0"/>
    <n v="907"/>
    <n v="0"/>
    <n v="0"/>
    <x v="178"/>
    <n v="907"/>
    <n v="907"/>
    <x v="0"/>
  </r>
  <r>
    <x v="2"/>
    <b v="0"/>
    <b v="0"/>
    <n v="0"/>
    <n v="0"/>
    <n v="0"/>
    <n v="0"/>
    <n v="487"/>
    <n v="0"/>
    <n v="487"/>
    <x v="38"/>
    <n v="0"/>
    <n v="0"/>
    <n v="0"/>
    <n v="0"/>
    <n v="487"/>
    <n v="0"/>
    <n v="0"/>
    <x v="179"/>
    <n v="487"/>
    <n v="487"/>
    <x v="0"/>
  </r>
  <r>
    <x v="2"/>
    <b v="0"/>
    <b v="0"/>
    <n v="0"/>
    <n v="0"/>
    <n v="0"/>
    <n v="0"/>
    <n v="326"/>
    <n v="0"/>
    <n v="326"/>
    <x v="38"/>
    <n v="0"/>
    <n v="0"/>
    <n v="0"/>
    <n v="0"/>
    <n v="326"/>
    <n v="0"/>
    <n v="0"/>
    <x v="180"/>
    <n v="326"/>
    <n v="326"/>
    <x v="0"/>
  </r>
  <r>
    <x v="2"/>
    <b v="0"/>
    <b v="0"/>
    <n v="0"/>
    <n v="0"/>
    <n v="0"/>
    <n v="0"/>
    <n v="569"/>
    <n v="0"/>
    <n v="569"/>
    <x v="38"/>
    <n v="0"/>
    <n v="0"/>
    <n v="0"/>
    <n v="0"/>
    <n v="569"/>
    <n v="0"/>
    <n v="0"/>
    <x v="181"/>
    <n v="569"/>
    <n v="569"/>
    <x v="0"/>
  </r>
  <r>
    <x v="2"/>
    <b v="0"/>
    <b v="0"/>
    <n v="0"/>
    <n v="0"/>
    <n v="0"/>
    <n v="599"/>
    <n v="0"/>
    <n v="0"/>
    <n v="599"/>
    <x v="38"/>
    <n v="0"/>
    <n v="0"/>
    <n v="0"/>
    <n v="0"/>
    <n v="599"/>
    <n v="0"/>
    <n v="0"/>
    <x v="182"/>
    <n v="599"/>
    <n v="599"/>
    <x v="0"/>
  </r>
  <r>
    <x v="2"/>
    <b v="0"/>
    <b v="0"/>
    <n v="0"/>
    <n v="0"/>
    <n v="0"/>
    <n v="0"/>
    <n v="673"/>
    <n v="0"/>
    <n v="673"/>
    <x v="38"/>
    <n v="0"/>
    <n v="0"/>
    <n v="0"/>
    <n v="0"/>
    <n v="673"/>
    <n v="0"/>
    <n v="0"/>
    <x v="183"/>
    <n v="673"/>
    <n v="673"/>
    <x v="0"/>
  </r>
  <r>
    <x v="2"/>
    <b v="0"/>
    <b v="0"/>
    <n v="0"/>
    <n v="0"/>
    <n v="0"/>
    <n v="0"/>
    <n v="555"/>
    <n v="0"/>
    <n v="555"/>
    <x v="38"/>
    <n v="0"/>
    <n v="0"/>
    <n v="0"/>
    <n v="0"/>
    <n v="555"/>
    <n v="0"/>
    <n v="0"/>
    <x v="184"/>
    <n v="555"/>
    <n v="555"/>
    <x v="0"/>
  </r>
  <r>
    <x v="2"/>
    <b v="0"/>
    <b v="0"/>
    <n v="0"/>
    <n v="0"/>
    <n v="0"/>
    <n v="0"/>
    <n v="223"/>
    <n v="0"/>
    <n v="223"/>
    <x v="38"/>
    <n v="0"/>
    <n v="0"/>
    <n v="0"/>
    <n v="0"/>
    <n v="223"/>
    <n v="0"/>
    <n v="0"/>
    <x v="185"/>
    <n v="223"/>
    <n v="223"/>
    <x v="0"/>
  </r>
  <r>
    <x v="2"/>
    <b v="0"/>
    <b v="0"/>
    <n v="0"/>
    <n v="0"/>
    <n v="0"/>
    <n v="0"/>
    <n v="494"/>
    <n v="0"/>
    <n v="494"/>
    <x v="38"/>
    <n v="0"/>
    <n v="0"/>
    <n v="0"/>
    <n v="0"/>
    <n v="494"/>
    <n v="0"/>
    <n v="0"/>
    <x v="186"/>
    <n v="494"/>
    <n v="494"/>
    <x v="1"/>
  </r>
  <r>
    <x v="2"/>
    <b v="0"/>
    <b v="0"/>
    <n v="0"/>
    <n v="0"/>
    <n v="0"/>
    <n v="408"/>
    <n v="0"/>
    <n v="0"/>
    <n v="408"/>
    <x v="38"/>
    <n v="0"/>
    <n v="0"/>
    <n v="0"/>
    <n v="0"/>
    <n v="408"/>
    <n v="0"/>
    <n v="0"/>
    <x v="187"/>
    <n v="408"/>
    <n v="408"/>
    <x v="1"/>
  </r>
  <r>
    <x v="2"/>
    <b v="0"/>
    <b v="0"/>
    <n v="0"/>
    <n v="0"/>
    <n v="0"/>
    <n v="0"/>
    <n v="504"/>
    <n v="0"/>
    <n v="504"/>
    <x v="38"/>
    <n v="0"/>
    <n v="0"/>
    <n v="0"/>
    <n v="0"/>
    <n v="504"/>
    <n v="0"/>
    <n v="0"/>
    <x v="188"/>
    <n v="504"/>
    <n v="504"/>
    <x v="1"/>
  </r>
  <r>
    <x v="2"/>
    <b v="0"/>
    <b v="0"/>
    <n v="0"/>
    <n v="0"/>
    <n v="0"/>
    <n v="0"/>
    <n v="645"/>
    <n v="0"/>
    <n v="645"/>
    <x v="38"/>
    <n v="0"/>
    <n v="0"/>
    <n v="0"/>
    <n v="0"/>
    <n v="645"/>
    <n v="0"/>
    <n v="0"/>
    <x v="189"/>
    <n v="645"/>
    <n v="645"/>
    <x v="1"/>
  </r>
  <r>
    <x v="2"/>
    <b v="0"/>
    <b v="0"/>
    <n v="0"/>
    <n v="0"/>
    <n v="0"/>
    <n v="0"/>
    <n v="1007"/>
    <n v="0"/>
    <n v="1007"/>
    <x v="38"/>
    <n v="0"/>
    <n v="0"/>
    <n v="0"/>
    <n v="0"/>
    <n v="1007"/>
    <n v="0"/>
    <n v="0"/>
    <x v="190"/>
    <n v="1007"/>
    <n v="1007"/>
    <x v="1"/>
  </r>
  <r>
    <x v="2"/>
    <b v="0"/>
    <b v="0"/>
    <n v="0"/>
    <n v="0"/>
    <n v="0"/>
    <n v="0"/>
    <n v="544"/>
    <n v="0"/>
    <n v="544"/>
    <x v="38"/>
    <n v="0"/>
    <n v="0"/>
    <n v="0"/>
    <n v="0"/>
    <n v="544"/>
    <n v="0"/>
    <n v="0"/>
    <x v="191"/>
    <n v="544"/>
    <n v="544"/>
    <x v="1"/>
  </r>
  <r>
    <x v="2"/>
    <b v="0"/>
    <b v="0"/>
    <n v="0"/>
    <n v="0"/>
    <n v="0"/>
    <n v="0"/>
    <n v="545"/>
    <n v="0"/>
    <n v="545"/>
    <x v="38"/>
    <n v="0"/>
    <n v="0"/>
    <n v="0"/>
    <n v="0"/>
    <n v="545"/>
    <n v="0"/>
    <n v="0"/>
    <x v="192"/>
    <n v="545"/>
    <n v="545"/>
    <x v="1"/>
  </r>
  <r>
    <x v="2"/>
    <b v="0"/>
    <b v="0"/>
    <n v="0"/>
    <n v="0"/>
    <n v="0"/>
    <n v="0"/>
    <n v="646"/>
    <n v="0"/>
    <n v="646"/>
    <x v="38"/>
    <n v="0"/>
    <n v="0"/>
    <n v="0"/>
    <n v="0"/>
    <n v="646"/>
    <n v="0"/>
    <n v="0"/>
    <x v="193"/>
    <n v="646"/>
    <n v="646"/>
    <x v="1"/>
  </r>
  <r>
    <x v="2"/>
    <b v="0"/>
    <b v="0"/>
    <n v="0"/>
    <n v="0"/>
    <n v="0"/>
    <n v="604"/>
    <n v="0"/>
    <n v="0"/>
    <n v="604"/>
    <x v="38"/>
    <n v="0"/>
    <n v="0"/>
    <n v="0"/>
    <n v="0"/>
    <n v="604"/>
    <n v="0"/>
    <n v="0"/>
    <x v="194"/>
    <n v="604"/>
    <n v="604"/>
    <x v="1"/>
  </r>
  <r>
    <x v="2"/>
    <b v="0"/>
    <b v="0"/>
    <n v="0"/>
    <n v="0"/>
    <n v="0"/>
    <n v="0"/>
    <n v="476"/>
    <n v="0"/>
    <n v="476"/>
    <x v="38"/>
    <n v="0"/>
    <n v="0"/>
    <n v="0"/>
    <n v="0"/>
    <n v="476"/>
    <n v="0"/>
    <n v="0"/>
    <x v="195"/>
    <n v="476"/>
    <n v="476"/>
    <x v="1"/>
  </r>
  <r>
    <x v="2"/>
    <b v="0"/>
    <b v="0"/>
    <n v="0"/>
    <n v="0"/>
    <n v="0"/>
    <n v="0"/>
    <n v="502"/>
    <n v="0"/>
    <n v="502"/>
    <x v="38"/>
    <n v="0"/>
    <n v="0"/>
    <n v="0"/>
    <n v="0"/>
    <n v="502"/>
    <n v="0"/>
    <n v="0"/>
    <x v="196"/>
    <n v="502"/>
    <n v="502"/>
    <x v="1"/>
  </r>
  <r>
    <x v="2"/>
    <b v="0"/>
    <b v="0"/>
    <n v="0"/>
    <n v="0"/>
    <n v="0"/>
    <n v="0"/>
    <n v="325"/>
    <n v="0"/>
    <n v="325"/>
    <x v="38"/>
    <n v="0"/>
    <n v="0"/>
    <n v="0"/>
    <n v="0"/>
    <n v="325"/>
    <n v="0"/>
    <n v="0"/>
    <x v="197"/>
    <n v="325"/>
    <n v="325"/>
    <x v="1"/>
  </r>
  <r>
    <x v="2"/>
    <b v="0"/>
    <b v="0"/>
    <n v="0"/>
    <n v="0"/>
    <n v="0"/>
    <n v="0"/>
    <n v="558"/>
    <n v="0"/>
    <n v="558"/>
    <x v="38"/>
    <n v="0"/>
    <n v="0"/>
    <n v="0"/>
    <n v="0"/>
    <n v="558"/>
    <n v="0"/>
    <n v="0"/>
    <x v="198"/>
    <n v="558"/>
    <n v="558"/>
    <x v="1"/>
  </r>
  <r>
    <x v="2"/>
    <b v="0"/>
    <b v="0"/>
    <n v="0"/>
    <n v="0"/>
    <n v="0"/>
    <n v="0"/>
    <n v="807"/>
    <n v="0"/>
    <n v="807"/>
    <x v="38"/>
    <n v="0"/>
    <n v="0"/>
    <n v="0"/>
    <n v="0"/>
    <n v="807"/>
    <n v="0"/>
    <n v="0"/>
    <x v="199"/>
    <n v="807"/>
    <n v="807"/>
    <x v="1"/>
  </r>
  <r>
    <x v="2"/>
    <b v="0"/>
    <b v="0"/>
    <n v="0"/>
    <n v="0"/>
    <n v="0"/>
    <n v="0"/>
    <n v="645"/>
    <n v="0"/>
    <n v="645"/>
    <x v="38"/>
    <n v="0"/>
    <n v="0"/>
    <n v="0"/>
    <n v="0"/>
    <n v="645"/>
    <n v="0"/>
    <n v="0"/>
    <x v="200"/>
    <n v="645"/>
    <n v="645"/>
    <x v="1"/>
  </r>
  <r>
    <x v="2"/>
    <b v="0"/>
    <b v="0"/>
    <n v="0"/>
    <n v="0"/>
    <n v="0"/>
    <n v="0"/>
    <n v="757"/>
    <n v="0"/>
    <n v="757"/>
    <x v="38"/>
    <n v="0"/>
    <n v="0"/>
    <n v="0"/>
    <n v="0"/>
    <n v="757"/>
    <n v="0"/>
    <n v="0"/>
    <x v="201"/>
    <n v="757"/>
    <n v="757"/>
    <x v="1"/>
  </r>
  <r>
    <x v="2"/>
    <b v="0"/>
    <b v="0"/>
    <n v="0"/>
    <n v="0"/>
    <n v="0"/>
    <n v="0"/>
    <n v="992"/>
    <n v="0"/>
    <n v="992"/>
    <x v="38"/>
    <n v="0"/>
    <n v="0"/>
    <n v="0"/>
    <n v="0"/>
    <n v="992"/>
    <n v="0"/>
    <n v="0"/>
    <x v="202"/>
    <n v="992"/>
    <n v="992"/>
    <x v="1"/>
  </r>
  <r>
    <x v="2"/>
    <b v="0"/>
    <b v="0"/>
    <n v="0"/>
    <n v="0"/>
    <n v="0"/>
    <n v="0"/>
    <n v="534"/>
    <n v="0"/>
    <n v="534"/>
    <x v="38"/>
    <n v="0"/>
    <n v="0"/>
    <n v="0"/>
    <n v="0"/>
    <n v="534"/>
    <n v="0"/>
    <n v="0"/>
    <x v="203"/>
    <n v="534"/>
    <n v="534"/>
    <x v="1"/>
  </r>
  <r>
    <x v="2"/>
    <b v="0"/>
    <b v="0"/>
    <n v="0"/>
    <n v="0"/>
    <n v="0"/>
    <n v="0"/>
    <n v="534"/>
    <n v="0"/>
    <n v="534"/>
    <x v="38"/>
    <n v="0"/>
    <n v="0"/>
    <n v="0"/>
    <n v="0"/>
    <n v="534"/>
    <n v="0"/>
    <n v="0"/>
    <x v="204"/>
    <n v="534"/>
    <n v="534"/>
    <x v="1"/>
  </r>
  <r>
    <x v="2"/>
    <b v="0"/>
    <b v="0"/>
    <n v="0"/>
    <n v="0"/>
    <n v="0"/>
    <n v="0"/>
    <n v="479"/>
    <n v="0"/>
    <n v="479"/>
    <x v="38"/>
    <n v="0"/>
    <n v="0"/>
    <n v="0"/>
    <n v="0"/>
    <n v="479"/>
    <n v="0"/>
    <n v="0"/>
    <x v="205"/>
    <n v="479"/>
    <n v="479"/>
    <x v="1"/>
  </r>
  <r>
    <x v="2"/>
    <b v="0"/>
    <b v="0"/>
    <n v="0"/>
    <n v="0"/>
    <n v="0"/>
    <n v="601"/>
    <n v="0"/>
    <n v="0"/>
    <n v="601"/>
    <x v="38"/>
    <n v="0"/>
    <n v="0"/>
    <n v="0"/>
    <n v="0"/>
    <n v="601"/>
    <n v="0"/>
    <n v="0"/>
    <x v="206"/>
    <n v="601"/>
    <n v="601"/>
    <x v="1"/>
  </r>
  <r>
    <x v="2"/>
    <b v="0"/>
    <b v="0"/>
    <n v="0"/>
    <n v="0"/>
    <n v="0"/>
    <n v="0"/>
    <n v="576"/>
    <n v="0"/>
    <n v="576"/>
    <x v="38"/>
    <n v="0"/>
    <n v="0"/>
    <n v="0"/>
    <n v="0"/>
    <n v="576"/>
    <n v="0"/>
    <n v="0"/>
    <x v="207"/>
    <n v="576"/>
    <n v="576"/>
    <x v="1"/>
  </r>
  <r>
    <x v="2"/>
    <b v="0"/>
    <b v="0"/>
    <n v="0"/>
    <n v="0"/>
    <n v="0"/>
    <n v="0"/>
    <n v="463"/>
    <n v="0"/>
    <n v="463"/>
    <x v="38"/>
    <n v="0"/>
    <n v="0"/>
    <n v="0"/>
    <n v="0"/>
    <n v="463"/>
    <n v="0"/>
    <n v="0"/>
    <x v="208"/>
    <n v="463"/>
    <n v="463"/>
    <x v="1"/>
  </r>
  <r>
    <x v="2"/>
    <b v="0"/>
    <b v="0"/>
    <n v="0"/>
    <n v="0"/>
    <n v="0"/>
    <n v="0"/>
    <n v="357"/>
    <n v="0"/>
    <n v="357"/>
    <x v="38"/>
    <n v="0"/>
    <n v="0"/>
    <n v="0"/>
    <n v="0"/>
    <n v="357"/>
    <n v="0"/>
    <n v="0"/>
    <x v="209"/>
    <n v="357"/>
    <n v="357"/>
    <x v="1"/>
  </r>
  <r>
    <x v="2"/>
    <b v="0"/>
    <b v="0"/>
    <n v="0"/>
    <n v="0"/>
    <n v="0"/>
    <n v="0"/>
    <n v="424"/>
    <n v="0"/>
    <n v="424"/>
    <x v="38"/>
    <n v="0"/>
    <n v="0"/>
    <n v="0"/>
    <n v="0"/>
    <n v="424"/>
    <n v="0"/>
    <n v="0"/>
    <x v="210"/>
    <n v="424"/>
    <n v="424"/>
    <x v="1"/>
  </r>
  <r>
    <x v="2"/>
    <b v="0"/>
    <b v="0"/>
    <n v="0"/>
    <n v="0"/>
    <n v="0"/>
    <n v="0"/>
    <n v="877"/>
    <n v="0"/>
    <n v="877"/>
    <x v="38"/>
    <n v="0"/>
    <n v="0"/>
    <n v="0"/>
    <n v="0"/>
    <n v="877"/>
    <n v="0"/>
    <n v="0"/>
    <x v="211"/>
    <n v="877"/>
    <n v="877"/>
    <x v="1"/>
  </r>
  <r>
    <x v="2"/>
    <b v="0"/>
    <b v="0"/>
    <n v="0"/>
    <n v="0"/>
    <n v="0"/>
    <n v="0"/>
    <n v="648"/>
    <n v="0"/>
    <n v="648"/>
    <x v="38"/>
    <n v="0"/>
    <n v="0"/>
    <n v="0"/>
    <n v="0"/>
    <n v="648"/>
    <n v="0"/>
    <n v="0"/>
    <x v="212"/>
    <n v="648"/>
    <n v="648"/>
    <x v="1"/>
  </r>
  <r>
    <x v="2"/>
    <b v="0"/>
    <b v="0"/>
    <n v="0"/>
    <n v="0"/>
    <n v="0"/>
    <n v="0"/>
    <n v="102"/>
    <n v="0"/>
    <n v="102"/>
    <x v="38"/>
    <n v="0"/>
    <n v="0"/>
    <n v="0"/>
    <n v="0"/>
    <n v="102"/>
    <n v="0"/>
    <n v="0"/>
    <x v="213"/>
    <n v="102"/>
    <n v="102"/>
    <x v="1"/>
  </r>
  <r>
    <x v="2"/>
    <b v="0"/>
    <b v="0"/>
    <n v="0"/>
    <n v="0"/>
    <n v="0"/>
    <n v="0"/>
    <n v="123"/>
    <n v="0"/>
    <n v="123"/>
    <x v="38"/>
    <n v="0"/>
    <n v="0"/>
    <n v="0"/>
    <n v="0"/>
    <n v="123"/>
    <n v="0"/>
    <n v="0"/>
    <x v="214"/>
    <n v="123"/>
    <n v="123"/>
    <x v="1"/>
  </r>
  <r>
    <x v="2"/>
    <b v="0"/>
    <b v="0"/>
    <n v="0"/>
    <n v="0"/>
    <n v="0"/>
    <n v="0"/>
    <n v="709"/>
    <n v="0"/>
    <n v="709"/>
    <x v="38"/>
    <n v="0"/>
    <n v="0"/>
    <n v="0"/>
    <n v="0"/>
    <n v="709"/>
    <n v="0"/>
    <n v="0"/>
    <x v="215"/>
    <n v="709"/>
    <n v="709"/>
    <x v="1"/>
  </r>
  <r>
    <x v="2"/>
    <b v="0"/>
    <b v="0"/>
    <n v="0"/>
    <n v="0"/>
    <n v="0"/>
    <n v="0"/>
    <n v="791"/>
    <n v="0"/>
    <n v="791"/>
    <x v="38"/>
    <n v="0"/>
    <n v="0"/>
    <n v="0"/>
    <n v="0"/>
    <n v="791"/>
    <n v="0"/>
    <n v="0"/>
    <x v="216"/>
    <n v="791"/>
    <n v="791"/>
    <x v="1"/>
  </r>
  <r>
    <x v="2"/>
    <b v="0"/>
    <b v="0"/>
    <n v="0"/>
    <n v="0"/>
    <n v="0"/>
    <n v="0"/>
    <n v="209"/>
    <n v="0"/>
    <n v="209"/>
    <x v="38"/>
    <n v="0"/>
    <n v="0"/>
    <n v="0"/>
    <n v="0"/>
    <n v="209"/>
    <n v="0"/>
    <n v="0"/>
    <x v="217"/>
    <n v="209"/>
    <n v="209"/>
    <x v="1"/>
  </r>
  <r>
    <x v="2"/>
    <b v="0"/>
    <b v="0"/>
    <n v="0"/>
    <n v="0"/>
    <n v="0"/>
    <n v="725"/>
    <n v="0"/>
    <n v="0"/>
    <n v="725"/>
    <x v="38"/>
    <n v="0"/>
    <n v="0"/>
    <n v="0"/>
    <n v="0"/>
    <n v="725"/>
    <n v="0"/>
    <n v="0"/>
    <x v="218"/>
    <n v="725"/>
    <n v="725"/>
    <x v="1"/>
  </r>
  <r>
    <x v="2"/>
    <b v="0"/>
    <b v="0"/>
    <n v="0"/>
    <n v="0"/>
    <n v="0"/>
    <n v="0"/>
    <n v="295"/>
    <n v="0"/>
    <n v="295"/>
    <x v="38"/>
    <n v="0"/>
    <n v="0"/>
    <n v="0"/>
    <n v="0"/>
    <n v="295"/>
    <n v="0"/>
    <n v="0"/>
    <x v="219"/>
    <n v="295"/>
    <n v="295"/>
    <x v="1"/>
  </r>
  <r>
    <x v="2"/>
    <b v="0"/>
    <b v="0"/>
    <n v="0"/>
    <n v="0"/>
    <n v="0"/>
    <n v="0"/>
    <n v="290"/>
    <n v="0"/>
    <n v="290"/>
    <x v="38"/>
    <n v="0"/>
    <n v="0"/>
    <n v="0"/>
    <n v="0"/>
    <n v="290"/>
    <n v="0"/>
    <n v="0"/>
    <x v="220"/>
    <n v="290"/>
    <n v="290"/>
    <x v="1"/>
  </r>
  <r>
    <x v="2"/>
    <b v="0"/>
    <b v="0"/>
    <n v="0"/>
    <n v="0"/>
    <n v="0"/>
    <n v="0"/>
    <n v="231"/>
    <n v="0"/>
    <n v="231"/>
    <x v="38"/>
    <n v="0"/>
    <n v="0"/>
    <n v="0"/>
    <n v="0"/>
    <n v="231"/>
    <n v="0"/>
    <n v="0"/>
    <x v="221"/>
    <n v="231"/>
    <n v="231"/>
    <x v="1"/>
  </r>
  <r>
    <x v="2"/>
    <b v="0"/>
    <b v="0"/>
    <n v="0"/>
    <n v="0"/>
    <n v="0"/>
    <n v="0"/>
    <n v="332"/>
    <n v="0"/>
    <n v="332"/>
    <x v="38"/>
    <n v="0"/>
    <n v="0"/>
    <n v="0"/>
    <n v="0"/>
    <n v="332"/>
    <n v="0"/>
    <n v="0"/>
    <x v="222"/>
    <n v="332"/>
    <n v="332"/>
    <x v="1"/>
  </r>
  <r>
    <x v="2"/>
    <b v="0"/>
    <b v="0"/>
    <n v="0"/>
    <n v="0"/>
    <n v="0"/>
    <n v="0"/>
    <n v="257"/>
    <n v="0"/>
    <n v="257"/>
    <x v="38"/>
    <n v="0"/>
    <n v="0"/>
    <n v="0"/>
    <n v="0"/>
    <n v="257"/>
    <n v="0"/>
    <n v="0"/>
    <x v="223"/>
    <n v="257"/>
    <n v="257"/>
    <x v="1"/>
  </r>
  <r>
    <x v="2"/>
    <b v="0"/>
    <b v="0"/>
    <n v="0"/>
    <n v="0"/>
    <n v="0"/>
    <n v="0"/>
    <n v="277"/>
    <n v="0"/>
    <n v="277"/>
    <x v="38"/>
    <n v="0"/>
    <n v="0"/>
    <n v="0"/>
    <n v="0"/>
    <n v="277"/>
    <n v="0"/>
    <n v="0"/>
    <x v="224"/>
    <n v="277"/>
    <n v="277"/>
    <x v="1"/>
  </r>
  <r>
    <x v="2"/>
    <b v="0"/>
    <b v="0"/>
    <n v="0"/>
    <n v="0"/>
    <n v="0"/>
    <n v="0"/>
    <n v="216"/>
    <n v="0"/>
    <n v="216"/>
    <x v="38"/>
    <n v="0"/>
    <n v="0"/>
    <n v="0"/>
    <n v="0"/>
    <n v="216"/>
    <n v="0"/>
    <n v="0"/>
    <x v="225"/>
    <n v="216"/>
    <n v="216"/>
    <x v="1"/>
  </r>
  <r>
    <x v="2"/>
    <b v="0"/>
    <b v="0"/>
    <n v="0"/>
    <n v="0"/>
    <n v="0"/>
    <n v="0"/>
    <n v="273"/>
    <n v="0"/>
    <n v="273"/>
    <x v="38"/>
    <n v="0"/>
    <n v="0"/>
    <n v="0"/>
    <n v="0"/>
    <n v="273"/>
    <n v="0"/>
    <n v="0"/>
    <x v="226"/>
    <n v="273"/>
    <n v="273"/>
    <x v="1"/>
  </r>
  <r>
    <x v="2"/>
    <b v="0"/>
    <b v="0"/>
    <n v="0"/>
    <n v="0"/>
    <n v="0"/>
    <n v="0"/>
    <n v="255"/>
    <n v="0"/>
    <n v="255"/>
    <x v="38"/>
    <n v="0"/>
    <n v="0"/>
    <n v="0"/>
    <n v="0"/>
    <n v="255"/>
    <n v="0"/>
    <n v="0"/>
    <x v="227"/>
    <n v="255"/>
    <n v="255"/>
    <x v="1"/>
  </r>
  <r>
    <x v="2"/>
    <b v="0"/>
    <b v="0"/>
    <n v="0"/>
    <n v="0"/>
    <n v="0"/>
    <n v="0"/>
    <n v="301"/>
    <n v="0"/>
    <n v="301"/>
    <x v="38"/>
    <n v="0"/>
    <n v="0"/>
    <n v="0"/>
    <n v="0"/>
    <n v="301"/>
    <n v="0"/>
    <n v="0"/>
    <x v="228"/>
    <n v="301"/>
    <n v="301"/>
    <x v="1"/>
  </r>
  <r>
    <x v="2"/>
    <b v="0"/>
    <b v="0"/>
    <n v="0"/>
    <n v="0"/>
    <n v="0"/>
    <n v="0"/>
    <n v="0"/>
    <n v="0"/>
    <n v="0"/>
    <x v="38"/>
    <n v="0"/>
    <n v="0"/>
    <n v="0"/>
    <n v="0"/>
    <n v="0"/>
    <n v="0"/>
    <n v="0"/>
    <x v="228"/>
    <n v="0"/>
    <n v="0"/>
    <x v="1"/>
  </r>
  <r>
    <x v="2"/>
    <b v="0"/>
    <b v="0"/>
    <n v="0"/>
    <n v="0"/>
    <n v="0"/>
    <n v="0"/>
    <n v="313"/>
    <n v="0"/>
    <n v="313"/>
    <x v="38"/>
    <n v="0"/>
    <n v="0"/>
    <n v="0"/>
    <n v="0"/>
    <n v="313"/>
    <n v="0"/>
    <n v="0"/>
    <x v="229"/>
    <n v="313"/>
    <n v="313"/>
    <x v="1"/>
  </r>
  <r>
    <x v="2"/>
    <b v="0"/>
    <b v="0"/>
    <n v="0"/>
    <n v="0"/>
    <n v="0"/>
    <n v="0"/>
    <n v="0"/>
    <n v="0"/>
    <n v="0"/>
    <x v="38"/>
    <n v="0"/>
    <n v="0"/>
    <n v="0"/>
    <n v="0"/>
    <n v="0"/>
    <n v="0"/>
    <n v="0"/>
    <x v="229"/>
    <n v="0"/>
    <n v="0"/>
    <x v="1"/>
  </r>
  <r>
    <x v="2"/>
    <b v="0"/>
    <b v="0"/>
    <n v="0"/>
    <n v="0"/>
    <n v="0"/>
    <n v="0"/>
    <n v="294"/>
    <n v="0"/>
    <n v="294"/>
    <x v="38"/>
    <n v="0"/>
    <n v="0"/>
    <n v="0"/>
    <n v="0"/>
    <n v="294"/>
    <n v="0"/>
    <n v="0"/>
    <x v="230"/>
    <n v="294"/>
    <n v="294"/>
    <x v="1"/>
  </r>
  <r>
    <x v="2"/>
    <b v="0"/>
    <b v="0"/>
    <n v="0"/>
    <n v="0"/>
    <n v="0"/>
    <n v="0"/>
    <n v="0"/>
    <n v="0"/>
    <n v="0"/>
    <x v="38"/>
    <n v="0"/>
    <n v="0"/>
    <n v="0"/>
    <n v="0"/>
    <n v="0"/>
    <n v="0"/>
    <n v="0"/>
    <x v="231"/>
    <n v="0"/>
    <n v="0"/>
    <x v="1"/>
  </r>
  <r>
    <x v="2"/>
    <b v="0"/>
    <b v="0"/>
    <n v="0"/>
    <n v="0"/>
    <n v="0"/>
    <n v="0"/>
    <n v="0"/>
    <n v="0"/>
    <n v="0"/>
    <x v="38"/>
    <n v="0"/>
    <n v="0"/>
    <n v="0"/>
    <n v="0"/>
    <n v="0"/>
    <n v="0"/>
    <n v="0"/>
    <x v="232"/>
    <n v="0"/>
    <n v="0"/>
    <x v="1"/>
  </r>
  <r>
    <x v="2"/>
    <b v="0"/>
    <b v="0"/>
    <n v="0"/>
    <n v="0"/>
    <n v="0"/>
    <n v="0"/>
    <n v="0"/>
    <n v="0"/>
    <n v="0"/>
    <x v="38"/>
    <n v="0"/>
    <n v="0"/>
    <n v="0"/>
    <n v="0"/>
    <n v="0"/>
    <n v="0"/>
    <n v="0"/>
    <x v="233"/>
    <n v="0"/>
    <n v="0"/>
    <x v="1"/>
  </r>
  <r>
    <x v="3"/>
    <b v="0"/>
    <b v="0"/>
    <n v="175"/>
    <n v="0"/>
    <n v="0"/>
    <n v="1318"/>
    <n v="0"/>
    <n v="0"/>
    <n v="1493"/>
    <x v="38"/>
    <n v="0"/>
    <n v="0"/>
    <n v="0"/>
    <n v="14"/>
    <n v="1493"/>
    <n v="0"/>
    <n v="0"/>
    <x v="0"/>
    <n v="1507"/>
    <n v="1493"/>
    <x v="0"/>
  </r>
  <r>
    <x v="3"/>
    <b v="0"/>
    <b v="0"/>
    <n v="80"/>
    <n v="0"/>
    <n v="0"/>
    <n v="1303"/>
    <n v="0"/>
    <n v="0"/>
    <n v="1383"/>
    <x v="38"/>
    <n v="0"/>
    <n v="0"/>
    <n v="0"/>
    <n v="17"/>
    <n v="1383"/>
    <n v="0"/>
    <n v="0"/>
    <x v="1"/>
    <n v="1400"/>
    <n v="1383"/>
    <x v="0"/>
  </r>
  <r>
    <x v="3"/>
    <b v="0"/>
    <b v="0"/>
    <n v="38"/>
    <n v="0"/>
    <n v="0"/>
    <n v="1363"/>
    <n v="0"/>
    <n v="0"/>
    <n v="1401"/>
    <x v="38"/>
    <n v="0"/>
    <n v="0"/>
    <n v="0"/>
    <n v="22"/>
    <n v="1401"/>
    <n v="0"/>
    <n v="0"/>
    <x v="2"/>
    <n v="1423"/>
    <n v="1401"/>
    <x v="0"/>
  </r>
  <r>
    <x v="3"/>
    <b v="0"/>
    <b v="0"/>
    <n v="0"/>
    <n v="0"/>
    <n v="0"/>
    <n v="895"/>
    <n v="0"/>
    <n v="0"/>
    <n v="895"/>
    <x v="38"/>
    <n v="0"/>
    <n v="0"/>
    <n v="0"/>
    <n v="16"/>
    <n v="895"/>
    <n v="0"/>
    <n v="0"/>
    <x v="3"/>
    <n v="911"/>
    <n v="895"/>
    <x v="0"/>
  </r>
  <r>
    <x v="3"/>
    <b v="0"/>
    <b v="0"/>
    <n v="18"/>
    <n v="0"/>
    <n v="0"/>
    <n v="853"/>
    <n v="0"/>
    <n v="0"/>
    <n v="871"/>
    <x v="38"/>
    <n v="0"/>
    <n v="0"/>
    <n v="0"/>
    <n v="16"/>
    <n v="871"/>
    <n v="0"/>
    <n v="0"/>
    <x v="4"/>
    <n v="887"/>
    <n v="871"/>
    <x v="0"/>
  </r>
  <r>
    <x v="3"/>
    <b v="0"/>
    <b v="0"/>
    <n v="0"/>
    <n v="0"/>
    <n v="0"/>
    <n v="2290"/>
    <n v="0"/>
    <n v="0"/>
    <n v="2290"/>
    <x v="38"/>
    <n v="0"/>
    <n v="0"/>
    <n v="0"/>
    <n v="20"/>
    <n v="2290"/>
    <n v="0"/>
    <n v="0"/>
    <x v="5"/>
    <n v="2310"/>
    <n v="2290"/>
    <x v="0"/>
  </r>
  <r>
    <x v="3"/>
    <b v="0"/>
    <b v="0"/>
    <n v="0"/>
    <n v="0"/>
    <n v="0"/>
    <n v="2235"/>
    <n v="0"/>
    <n v="0"/>
    <n v="2235"/>
    <x v="38"/>
    <n v="0"/>
    <n v="0"/>
    <n v="0"/>
    <n v="16"/>
    <n v="2235"/>
    <n v="0"/>
    <n v="0"/>
    <x v="6"/>
    <n v="2251"/>
    <n v="2235"/>
    <x v="0"/>
  </r>
  <r>
    <x v="3"/>
    <b v="0"/>
    <b v="0"/>
    <n v="5"/>
    <n v="0"/>
    <n v="0"/>
    <n v="2040"/>
    <n v="0"/>
    <n v="0"/>
    <n v="2045"/>
    <x v="38"/>
    <n v="0"/>
    <n v="0"/>
    <n v="0"/>
    <n v="16"/>
    <n v="2045"/>
    <n v="0"/>
    <n v="0"/>
    <x v="7"/>
    <n v="2061"/>
    <n v="2045"/>
    <x v="0"/>
  </r>
  <r>
    <x v="3"/>
    <b v="0"/>
    <b v="0"/>
    <n v="0"/>
    <n v="0"/>
    <n v="0"/>
    <n v="2290"/>
    <n v="0"/>
    <n v="0"/>
    <n v="2290"/>
    <x v="38"/>
    <n v="0"/>
    <n v="0"/>
    <n v="0"/>
    <n v="20"/>
    <n v="2290"/>
    <n v="0"/>
    <n v="0"/>
    <x v="8"/>
    <n v="2310"/>
    <n v="2290"/>
    <x v="0"/>
  </r>
  <r>
    <x v="3"/>
    <b v="0"/>
    <b v="0"/>
    <n v="0"/>
    <n v="0"/>
    <n v="0"/>
    <n v="2170"/>
    <n v="0"/>
    <n v="0"/>
    <n v="2170"/>
    <x v="38"/>
    <n v="0"/>
    <n v="0"/>
    <n v="0"/>
    <n v="16"/>
    <n v="2170"/>
    <n v="0"/>
    <n v="0"/>
    <x v="9"/>
    <n v="2186"/>
    <n v="2170"/>
    <x v="0"/>
  </r>
  <r>
    <x v="3"/>
    <b v="0"/>
    <b v="0"/>
    <n v="0"/>
    <n v="0"/>
    <n v="0"/>
    <n v="2263"/>
    <n v="0"/>
    <n v="0"/>
    <n v="2263"/>
    <x v="38"/>
    <n v="0"/>
    <n v="0"/>
    <n v="0"/>
    <n v="0"/>
    <n v="2263"/>
    <n v="0"/>
    <n v="0"/>
    <x v="10"/>
    <n v="2263"/>
    <n v="2263"/>
    <x v="0"/>
  </r>
  <r>
    <x v="3"/>
    <b v="0"/>
    <b v="0"/>
    <n v="0"/>
    <n v="0"/>
    <n v="0"/>
    <n v="2228"/>
    <n v="0"/>
    <n v="0"/>
    <n v="2228"/>
    <x v="38"/>
    <n v="0"/>
    <n v="0"/>
    <n v="0"/>
    <n v="16"/>
    <n v="2228"/>
    <n v="0"/>
    <n v="0"/>
    <x v="11"/>
    <n v="2244"/>
    <n v="2228"/>
    <x v="0"/>
  </r>
  <r>
    <x v="3"/>
    <b v="0"/>
    <b v="0"/>
    <n v="0"/>
    <n v="0"/>
    <n v="0"/>
    <n v="0"/>
    <n v="0"/>
    <n v="0"/>
    <n v="0"/>
    <x v="38"/>
    <n v="0"/>
    <n v="0"/>
    <n v="0"/>
    <n v="0"/>
    <n v="0"/>
    <n v="0"/>
    <n v="0"/>
    <x v="12"/>
    <n v="0"/>
    <n v="0"/>
    <x v="0"/>
  </r>
  <r>
    <x v="3"/>
    <b v="0"/>
    <b v="0"/>
    <n v="63"/>
    <n v="0"/>
    <n v="0"/>
    <n v="2203"/>
    <n v="0"/>
    <n v="0"/>
    <n v="2266"/>
    <x v="38"/>
    <n v="0"/>
    <n v="0"/>
    <n v="0"/>
    <n v="18"/>
    <n v="2266"/>
    <n v="0"/>
    <n v="0"/>
    <x v="13"/>
    <n v="2284"/>
    <n v="2266"/>
    <x v="0"/>
  </r>
  <r>
    <x v="3"/>
    <b v="0"/>
    <b v="0"/>
    <n v="25"/>
    <n v="0"/>
    <n v="0"/>
    <n v="2198"/>
    <n v="0"/>
    <n v="0"/>
    <n v="2223"/>
    <x v="38"/>
    <n v="0"/>
    <n v="0"/>
    <n v="0"/>
    <n v="18"/>
    <n v="2223"/>
    <n v="0"/>
    <n v="0"/>
    <x v="14"/>
    <n v="2241"/>
    <n v="2223"/>
    <x v="0"/>
  </r>
  <r>
    <x v="3"/>
    <b v="0"/>
    <b v="0"/>
    <n v="93"/>
    <n v="0"/>
    <n v="0"/>
    <n v="2258"/>
    <n v="0"/>
    <n v="0"/>
    <n v="2351"/>
    <x v="38"/>
    <n v="0"/>
    <n v="0"/>
    <n v="0"/>
    <n v="18"/>
    <n v="2351"/>
    <n v="0"/>
    <n v="0"/>
    <x v="15"/>
    <n v="2369"/>
    <n v="2351"/>
    <x v="0"/>
  </r>
  <r>
    <x v="3"/>
    <b v="0"/>
    <b v="0"/>
    <n v="93"/>
    <n v="0"/>
    <n v="0"/>
    <n v="2373"/>
    <n v="0"/>
    <n v="0"/>
    <n v="2466"/>
    <x v="38"/>
    <n v="0"/>
    <n v="0"/>
    <n v="0"/>
    <n v="28"/>
    <n v="2466"/>
    <n v="0"/>
    <n v="0"/>
    <x v="16"/>
    <n v="2494"/>
    <n v="2466"/>
    <x v="0"/>
  </r>
  <r>
    <x v="3"/>
    <b v="0"/>
    <b v="0"/>
    <n v="45"/>
    <n v="0"/>
    <n v="0"/>
    <n v="2263"/>
    <n v="0"/>
    <n v="0"/>
    <n v="2308"/>
    <x v="38"/>
    <n v="0"/>
    <n v="0"/>
    <n v="0"/>
    <n v="26"/>
    <n v="2308"/>
    <n v="0"/>
    <n v="0"/>
    <x v="17"/>
    <n v="2334"/>
    <n v="2308"/>
    <x v="0"/>
  </r>
  <r>
    <x v="3"/>
    <b v="0"/>
    <b v="0"/>
    <n v="120"/>
    <n v="0"/>
    <n v="0"/>
    <n v="2290"/>
    <n v="0"/>
    <n v="0"/>
    <n v="2410"/>
    <x v="38"/>
    <n v="0"/>
    <n v="0"/>
    <n v="0"/>
    <n v="18"/>
    <n v="2410"/>
    <n v="0"/>
    <n v="0"/>
    <x v="18"/>
    <n v="2428"/>
    <n v="2410"/>
    <x v="1"/>
  </r>
  <r>
    <x v="3"/>
    <b v="0"/>
    <b v="0"/>
    <n v="340"/>
    <n v="0"/>
    <n v="0"/>
    <n v="2040"/>
    <n v="0"/>
    <n v="0"/>
    <n v="2380"/>
    <x v="38"/>
    <n v="0"/>
    <n v="0"/>
    <n v="0"/>
    <n v="16"/>
    <n v="2380"/>
    <n v="0"/>
    <n v="0"/>
    <x v="19"/>
    <n v="2396"/>
    <n v="2380"/>
    <x v="1"/>
  </r>
  <r>
    <x v="3"/>
    <b v="0"/>
    <b v="0"/>
    <n v="400"/>
    <n v="0"/>
    <n v="0"/>
    <n v="2290"/>
    <n v="0"/>
    <n v="0"/>
    <n v="2690"/>
    <x v="38"/>
    <n v="0"/>
    <n v="0"/>
    <n v="0"/>
    <n v="22"/>
    <n v="2690"/>
    <n v="0"/>
    <n v="0"/>
    <x v="20"/>
    <n v="2712"/>
    <n v="2690"/>
    <x v="1"/>
  </r>
  <r>
    <x v="3"/>
    <b v="0"/>
    <b v="0"/>
    <n v="368"/>
    <n v="0"/>
    <n v="0"/>
    <n v="2170"/>
    <n v="0"/>
    <n v="0"/>
    <n v="2538"/>
    <x v="38"/>
    <n v="0"/>
    <n v="0"/>
    <n v="0"/>
    <n v="16"/>
    <n v="2538"/>
    <n v="0"/>
    <n v="0"/>
    <x v="21"/>
    <n v="2554"/>
    <n v="2538"/>
    <x v="1"/>
  </r>
  <r>
    <x v="3"/>
    <b v="0"/>
    <b v="0"/>
    <n v="368"/>
    <n v="0"/>
    <n v="0"/>
    <n v="2263"/>
    <n v="0"/>
    <n v="0"/>
    <n v="2631"/>
    <x v="38"/>
    <n v="0"/>
    <n v="0"/>
    <n v="0"/>
    <n v="18"/>
    <n v="2631"/>
    <n v="0"/>
    <n v="0"/>
    <x v="22"/>
    <n v="2649"/>
    <n v="2631"/>
    <x v="1"/>
  </r>
  <r>
    <x v="3"/>
    <b v="0"/>
    <b v="0"/>
    <n v="578"/>
    <n v="0"/>
    <n v="0"/>
    <n v="2170"/>
    <n v="0"/>
    <n v="0"/>
    <n v="2748"/>
    <x v="38"/>
    <n v="0"/>
    <n v="0"/>
    <n v="0"/>
    <n v="16"/>
    <n v="2748"/>
    <n v="0"/>
    <n v="0"/>
    <x v="23"/>
    <n v="2764"/>
    <n v="2748"/>
    <x v="1"/>
  </r>
  <r>
    <x v="3"/>
    <b v="0"/>
    <b v="0"/>
    <n v="951"/>
    <n v="0"/>
    <n v="0"/>
    <n v="2235"/>
    <n v="0"/>
    <n v="0"/>
    <n v="3186"/>
    <x v="38"/>
    <n v="0"/>
    <n v="0"/>
    <n v="0"/>
    <n v="16"/>
    <n v="3186"/>
    <n v="0"/>
    <n v="0"/>
    <x v="24"/>
    <n v="3202"/>
    <n v="3186"/>
    <x v="1"/>
  </r>
  <r>
    <x v="3"/>
    <b v="0"/>
    <b v="0"/>
    <n v="740"/>
    <n v="0"/>
    <n v="0"/>
    <n v="2290"/>
    <n v="0"/>
    <n v="0"/>
    <n v="3030"/>
    <x v="38"/>
    <n v="0"/>
    <n v="0"/>
    <n v="0"/>
    <n v="20"/>
    <n v="3030"/>
    <n v="0"/>
    <n v="0"/>
    <x v="25"/>
    <n v="3050"/>
    <n v="3030"/>
    <x v="1"/>
  </r>
  <r>
    <x v="3"/>
    <b v="0"/>
    <b v="0"/>
    <n v="573"/>
    <n v="0"/>
    <n v="0"/>
    <n v="2170"/>
    <n v="0"/>
    <n v="0"/>
    <n v="2743"/>
    <x v="38"/>
    <n v="0"/>
    <n v="0"/>
    <n v="0"/>
    <n v="16"/>
    <n v="2743"/>
    <n v="0"/>
    <n v="0"/>
    <x v="26"/>
    <n v="2759"/>
    <n v="2743"/>
    <x v="1"/>
  </r>
  <r>
    <x v="3"/>
    <b v="0"/>
    <b v="0"/>
    <n v="315"/>
    <n v="0"/>
    <n v="0"/>
    <n v="2263"/>
    <n v="0"/>
    <n v="0"/>
    <n v="2578"/>
    <x v="38"/>
    <n v="0"/>
    <n v="0"/>
    <n v="0"/>
    <n v="20"/>
    <n v="2578"/>
    <n v="0"/>
    <n v="0"/>
    <x v="27"/>
    <n v="2598"/>
    <n v="2578"/>
    <x v="1"/>
  </r>
  <r>
    <x v="3"/>
    <b v="0"/>
    <b v="0"/>
    <n v="165"/>
    <n v="0"/>
    <n v="0"/>
    <n v="2208"/>
    <n v="0"/>
    <n v="0"/>
    <n v="2373"/>
    <x v="38"/>
    <n v="0"/>
    <n v="0"/>
    <n v="0"/>
    <n v="16"/>
    <n v="2373"/>
    <n v="0"/>
    <n v="0"/>
    <x v="28"/>
    <n v="2389"/>
    <n v="2373"/>
    <x v="1"/>
  </r>
  <r>
    <x v="3"/>
    <b v="0"/>
    <b v="0"/>
    <n v="0"/>
    <n v="0"/>
    <n v="0"/>
    <n v="2263"/>
    <n v="0"/>
    <n v="0"/>
    <n v="2263"/>
    <x v="38"/>
    <n v="0"/>
    <n v="0"/>
    <n v="0"/>
    <n v="18"/>
    <n v="2263"/>
    <n v="0"/>
    <n v="0"/>
    <x v="29"/>
    <n v="2281"/>
    <n v="2263"/>
    <x v="1"/>
  </r>
  <r>
    <x v="3"/>
    <b v="0"/>
    <b v="0"/>
    <n v="108"/>
    <n v="0"/>
    <n v="0"/>
    <n v="2318"/>
    <n v="0"/>
    <n v="0"/>
    <n v="2426"/>
    <x v="38"/>
    <n v="0"/>
    <n v="0"/>
    <n v="0"/>
    <n v="22"/>
    <n v="2426"/>
    <n v="0"/>
    <n v="0"/>
    <x v="30"/>
    <n v="2448"/>
    <n v="2426"/>
    <x v="2"/>
  </r>
  <r>
    <x v="3"/>
    <b v="0"/>
    <b v="0"/>
    <n v="8"/>
    <n v="0"/>
    <n v="0"/>
    <n v="2133"/>
    <n v="0"/>
    <n v="0"/>
    <n v="2141"/>
    <x v="38"/>
    <n v="0"/>
    <n v="0"/>
    <n v="0"/>
    <n v="18"/>
    <n v="2141"/>
    <n v="0"/>
    <n v="0"/>
    <x v="31"/>
    <n v="2159"/>
    <n v="2141"/>
    <x v="2"/>
  </r>
  <r>
    <x v="3"/>
    <b v="0"/>
    <b v="0"/>
    <n v="3"/>
    <n v="0"/>
    <n v="0"/>
    <n v="2235"/>
    <n v="0"/>
    <n v="0"/>
    <n v="2238"/>
    <x v="38"/>
    <n v="0"/>
    <n v="0"/>
    <n v="0"/>
    <n v="16"/>
    <n v="2238"/>
    <n v="0"/>
    <n v="0"/>
    <x v="32"/>
    <n v="2254"/>
    <n v="2238"/>
    <x v="2"/>
  </r>
  <r>
    <x v="3"/>
    <b v="0"/>
    <b v="0"/>
    <n v="8"/>
    <n v="0"/>
    <n v="0"/>
    <n v="2170"/>
    <n v="0"/>
    <n v="0"/>
    <n v="2178"/>
    <x v="38"/>
    <n v="0"/>
    <n v="0"/>
    <n v="0"/>
    <n v="16"/>
    <n v="2178"/>
    <n v="0"/>
    <n v="0"/>
    <x v="33"/>
    <n v="2194"/>
    <n v="2178"/>
    <x v="2"/>
  </r>
  <r>
    <x v="3"/>
    <b v="0"/>
    <b v="0"/>
    <n v="0"/>
    <n v="0"/>
    <n v="0"/>
    <n v="2318"/>
    <n v="0"/>
    <n v="0"/>
    <n v="2318"/>
    <x v="38"/>
    <n v="0"/>
    <n v="0"/>
    <n v="0"/>
    <n v="22"/>
    <n v="2318"/>
    <n v="0"/>
    <n v="0"/>
    <x v="34"/>
    <n v="2340"/>
    <n v="2318"/>
    <x v="2"/>
  </r>
  <r>
    <x v="3"/>
    <b v="0"/>
    <b v="0"/>
    <n v="0"/>
    <n v="0"/>
    <n v="0"/>
    <n v="2170"/>
    <n v="0"/>
    <n v="0"/>
    <n v="2170"/>
    <x v="38"/>
    <n v="0"/>
    <n v="0"/>
    <n v="0"/>
    <n v="16"/>
    <n v="2170"/>
    <n v="0"/>
    <n v="0"/>
    <x v="35"/>
    <n v="2186"/>
    <n v="2170"/>
    <x v="2"/>
  </r>
  <r>
    <x v="3"/>
    <b v="0"/>
    <b v="0"/>
    <n v="0"/>
    <n v="0"/>
    <n v="0"/>
    <n v="2290"/>
    <n v="0"/>
    <n v="0"/>
    <n v="2290"/>
    <x v="38"/>
    <n v="0"/>
    <n v="0"/>
    <n v="0"/>
    <n v="0"/>
    <n v="2290"/>
    <n v="0"/>
    <n v="0"/>
    <x v="36"/>
    <n v="2290"/>
    <n v="2290"/>
    <x v="2"/>
  </r>
  <r>
    <x v="3"/>
    <b v="0"/>
    <b v="0"/>
    <n v="740"/>
    <n v="0"/>
    <n v="0"/>
    <n v="2290"/>
    <n v="0"/>
    <n v="0"/>
    <n v="3030"/>
    <x v="38"/>
    <n v="0"/>
    <n v="0"/>
    <n v="0"/>
    <n v="20"/>
    <n v="3030"/>
    <n v="0"/>
    <n v="0"/>
    <x v="37"/>
    <n v="3050"/>
    <n v="3030"/>
    <x v="2"/>
  </r>
  <r>
    <x v="3"/>
    <b v="0"/>
    <b v="0"/>
    <n v="0"/>
    <n v="0"/>
    <n v="0"/>
    <n v="2198"/>
    <n v="0"/>
    <n v="0"/>
    <n v="2198"/>
    <x v="38"/>
    <n v="0"/>
    <n v="0"/>
    <n v="0"/>
    <n v="18"/>
    <n v="2198"/>
    <n v="0"/>
    <n v="0"/>
    <x v="38"/>
    <n v="2216"/>
    <n v="2198"/>
    <x v="2"/>
  </r>
  <r>
    <x v="3"/>
    <b v="0"/>
    <b v="0"/>
    <n v="0"/>
    <n v="0"/>
    <n v="0"/>
    <n v="2290"/>
    <n v="0"/>
    <n v="0"/>
    <n v="2290"/>
    <x v="38"/>
    <n v="0"/>
    <n v="0"/>
    <n v="0"/>
    <n v="20"/>
    <n v="2290"/>
    <n v="0"/>
    <n v="0"/>
    <x v="39"/>
    <n v="2310"/>
    <n v="2290"/>
    <x v="2"/>
  </r>
  <r>
    <x v="3"/>
    <b v="0"/>
    <b v="0"/>
    <n v="0"/>
    <n v="0"/>
    <n v="0"/>
    <n v="2170"/>
    <n v="0"/>
    <n v="0"/>
    <n v="2170"/>
    <x v="38"/>
    <n v="0"/>
    <n v="0"/>
    <n v="0"/>
    <n v="20"/>
    <n v="2170"/>
    <n v="0"/>
    <n v="0"/>
    <x v="40"/>
    <n v="2190"/>
    <n v="2170"/>
    <x v="2"/>
  </r>
  <r>
    <x v="3"/>
    <b v="0"/>
    <b v="0"/>
    <n v="0"/>
    <n v="0"/>
    <n v="0"/>
    <n v="2235"/>
    <n v="0"/>
    <n v="0"/>
    <n v="2235"/>
    <x v="38"/>
    <n v="0"/>
    <n v="0"/>
    <n v="0"/>
    <n v="16"/>
    <n v="2235"/>
    <n v="0"/>
    <n v="0"/>
    <x v="41"/>
    <n v="2251"/>
    <n v="2235"/>
    <x v="2"/>
  </r>
  <r>
    <x v="3"/>
    <b v="0"/>
    <b v="0"/>
    <n v="0"/>
    <n v="0"/>
    <n v="0"/>
    <n v="2318"/>
    <n v="0"/>
    <n v="0"/>
    <n v="2318"/>
    <x v="38"/>
    <n v="0"/>
    <n v="0"/>
    <n v="0"/>
    <n v="20"/>
    <n v="2318"/>
    <n v="0"/>
    <n v="0"/>
    <x v="42"/>
    <n v="2338"/>
    <n v="2318"/>
    <x v="1"/>
  </r>
  <r>
    <x v="3"/>
    <b v="0"/>
    <b v="0"/>
    <n v="0"/>
    <n v="0"/>
    <n v="0"/>
    <n v="2040"/>
    <n v="0"/>
    <n v="0"/>
    <n v="2040"/>
    <x v="38"/>
    <n v="0"/>
    <n v="0"/>
    <n v="0"/>
    <n v="16"/>
    <n v="2040"/>
    <n v="0"/>
    <n v="0"/>
    <x v="43"/>
    <n v="2056"/>
    <n v="2040"/>
    <x v="1"/>
  </r>
  <r>
    <x v="3"/>
    <b v="0"/>
    <b v="0"/>
    <n v="0"/>
    <n v="0"/>
    <n v="0"/>
    <n v="2235"/>
    <n v="0"/>
    <n v="0"/>
    <n v="2235"/>
    <x v="38"/>
    <n v="0"/>
    <n v="0"/>
    <n v="0"/>
    <n v="16"/>
    <n v="2235"/>
    <n v="0"/>
    <n v="0"/>
    <x v="44"/>
    <n v="2251"/>
    <n v="2235"/>
    <x v="1"/>
  </r>
  <r>
    <x v="3"/>
    <b v="0"/>
    <b v="0"/>
    <n v="0"/>
    <n v="0"/>
    <n v="0"/>
    <n v="2235"/>
    <n v="0"/>
    <n v="0"/>
    <n v="2235"/>
    <x v="38"/>
    <n v="0"/>
    <n v="0"/>
    <n v="0"/>
    <n v="16"/>
    <n v="2235"/>
    <n v="0"/>
    <n v="0"/>
    <x v="45"/>
    <n v="2251"/>
    <n v="2235"/>
    <x v="1"/>
  </r>
  <r>
    <x v="3"/>
    <b v="0"/>
    <b v="0"/>
    <n v="0"/>
    <n v="0"/>
    <n v="0"/>
    <n v="2263"/>
    <n v="0"/>
    <n v="0"/>
    <n v="2263"/>
    <x v="38"/>
    <n v="0"/>
    <n v="0"/>
    <n v="0"/>
    <n v="18"/>
    <n v="2263"/>
    <n v="0"/>
    <n v="0"/>
    <x v="46"/>
    <n v="2281"/>
    <n v="2263"/>
    <x v="1"/>
  </r>
  <r>
    <x v="3"/>
    <b v="0"/>
    <b v="0"/>
    <n v="0"/>
    <n v="0"/>
    <n v="0"/>
    <n v="2198"/>
    <n v="0"/>
    <n v="0"/>
    <n v="2198"/>
    <x v="38"/>
    <n v="0"/>
    <n v="0"/>
    <n v="0"/>
    <n v="18"/>
    <n v="2198"/>
    <n v="0"/>
    <n v="0"/>
    <x v="47"/>
    <n v="2216"/>
    <n v="2198"/>
    <x v="1"/>
  </r>
  <r>
    <x v="3"/>
    <b v="0"/>
    <b v="0"/>
    <n v="0"/>
    <n v="0"/>
    <n v="0"/>
    <n v="2290"/>
    <n v="0"/>
    <n v="0"/>
    <n v="2290"/>
    <x v="38"/>
    <n v="0"/>
    <n v="0"/>
    <n v="0"/>
    <n v="22"/>
    <n v="2290"/>
    <n v="0"/>
    <n v="0"/>
    <x v="48"/>
    <n v="2312"/>
    <n v="2290"/>
    <x v="1"/>
  </r>
  <r>
    <x v="3"/>
    <b v="0"/>
    <b v="0"/>
    <n v="0"/>
    <n v="0"/>
    <n v="0"/>
    <n v="2235"/>
    <n v="0"/>
    <n v="0"/>
    <n v="2235"/>
    <x v="38"/>
    <n v="0"/>
    <n v="0"/>
    <n v="0"/>
    <n v="16"/>
    <n v="2235"/>
    <n v="0"/>
    <n v="0"/>
    <x v="49"/>
    <n v="2251"/>
    <n v="2235"/>
    <x v="1"/>
  </r>
  <r>
    <x v="3"/>
    <b v="0"/>
    <b v="0"/>
    <n v="0"/>
    <n v="0"/>
    <n v="0"/>
    <n v="2198"/>
    <n v="0"/>
    <n v="0"/>
    <n v="2198"/>
    <x v="38"/>
    <n v="0"/>
    <n v="0"/>
    <n v="0"/>
    <n v="18"/>
    <n v="2198"/>
    <n v="0"/>
    <n v="0"/>
    <x v="50"/>
    <n v="2216"/>
    <n v="2198"/>
    <x v="1"/>
  </r>
  <r>
    <x v="3"/>
    <b v="0"/>
    <b v="0"/>
    <n v="0"/>
    <n v="0"/>
    <n v="0"/>
    <n v="2290"/>
    <n v="0"/>
    <n v="0"/>
    <n v="2290"/>
    <x v="38"/>
    <n v="0"/>
    <n v="0"/>
    <n v="0"/>
    <n v="20"/>
    <n v="2290"/>
    <n v="0"/>
    <n v="0"/>
    <x v="51"/>
    <n v="2310"/>
    <n v="2290"/>
    <x v="1"/>
  </r>
  <r>
    <x v="3"/>
    <b v="0"/>
    <b v="0"/>
    <n v="0"/>
    <n v="0"/>
    <n v="0"/>
    <n v="2170"/>
    <n v="0"/>
    <n v="0"/>
    <n v="2170"/>
    <x v="38"/>
    <n v="0"/>
    <n v="0"/>
    <n v="0"/>
    <n v="16"/>
    <n v="2170"/>
    <n v="0"/>
    <n v="0"/>
    <x v="52"/>
    <n v="2186"/>
    <n v="2170"/>
    <x v="1"/>
  </r>
  <r>
    <x v="3"/>
    <b v="0"/>
    <b v="0"/>
    <n v="0"/>
    <n v="0"/>
    <n v="0"/>
    <n v="2290"/>
    <n v="0"/>
    <n v="0"/>
    <n v="2290"/>
    <x v="38"/>
    <n v="0"/>
    <n v="0"/>
    <n v="0"/>
    <n v="18"/>
    <n v="2290"/>
    <n v="0"/>
    <n v="0"/>
    <x v="53"/>
    <n v="2308"/>
    <n v="2290"/>
    <x v="1"/>
  </r>
  <r>
    <x v="3"/>
    <b v="0"/>
    <b v="0"/>
    <n v="0"/>
    <n v="0"/>
    <n v="0"/>
    <n v="2290"/>
    <n v="0"/>
    <n v="0"/>
    <n v="2290"/>
    <x v="38"/>
    <n v="0"/>
    <n v="0"/>
    <n v="0"/>
    <n v="18"/>
    <n v="2290"/>
    <n v="0"/>
    <n v="0"/>
    <x v="54"/>
    <n v="2308"/>
    <n v="2290"/>
    <x v="1"/>
  </r>
  <r>
    <x v="3"/>
    <b v="0"/>
    <b v="0"/>
    <n v="0"/>
    <n v="0"/>
    <n v="0"/>
    <n v="2040"/>
    <n v="0"/>
    <n v="0"/>
    <n v="2040"/>
    <x v="38"/>
    <n v="0"/>
    <n v="0"/>
    <n v="0"/>
    <n v="16"/>
    <n v="2040"/>
    <n v="0"/>
    <n v="0"/>
    <x v="55"/>
    <n v="2056"/>
    <n v="2040"/>
    <x v="1"/>
  </r>
  <r>
    <x v="3"/>
    <b v="0"/>
    <b v="0"/>
    <n v="0"/>
    <n v="0"/>
    <n v="0"/>
    <n v="2170"/>
    <n v="0"/>
    <n v="0"/>
    <n v="2170"/>
    <x v="38"/>
    <n v="0"/>
    <n v="0"/>
    <n v="0"/>
    <n v="16"/>
    <n v="2170"/>
    <n v="0"/>
    <n v="0"/>
    <x v="56"/>
    <n v="2186"/>
    <n v="2170"/>
    <x v="1"/>
  </r>
  <r>
    <x v="3"/>
    <b v="0"/>
    <b v="0"/>
    <n v="0"/>
    <n v="0"/>
    <n v="0"/>
    <n v="2225"/>
    <n v="0"/>
    <n v="0"/>
    <n v="2225"/>
    <x v="38"/>
    <n v="0"/>
    <n v="0"/>
    <n v="0"/>
    <n v="20"/>
    <n v="2225"/>
    <n v="0"/>
    <n v="0"/>
    <x v="57"/>
    <n v="2245"/>
    <n v="2225"/>
    <x v="1"/>
  </r>
  <r>
    <x v="3"/>
    <b v="0"/>
    <b v="0"/>
    <n v="0"/>
    <n v="0"/>
    <n v="0"/>
    <n v="2235"/>
    <n v="0"/>
    <n v="0"/>
    <n v="2235"/>
    <x v="38"/>
    <n v="0"/>
    <n v="0"/>
    <n v="0"/>
    <n v="0"/>
    <n v="2235"/>
    <n v="0"/>
    <n v="0"/>
    <x v="58"/>
    <n v="2235"/>
    <n v="2235"/>
    <x v="1"/>
  </r>
  <r>
    <x v="3"/>
    <b v="0"/>
    <b v="0"/>
    <n v="0"/>
    <n v="0"/>
    <n v="0"/>
    <n v="2170"/>
    <n v="0"/>
    <n v="0"/>
    <n v="2170"/>
    <x v="38"/>
    <n v="0"/>
    <n v="0"/>
    <n v="0"/>
    <n v="16"/>
    <n v="2170"/>
    <n v="0"/>
    <n v="0"/>
    <x v="59"/>
    <n v="2186"/>
    <n v="2170"/>
    <x v="1"/>
  </r>
  <r>
    <x v="3"/>
    <b v="0"/>
    <b v="0"/>
    <n v="0"/>
    <n v="0"/>
    <n v="0"/>
    <n v="2290"/>
    <n v="0"/>
    <n v="0"/>
    <n v="2290"/>
    <x v="38"/>
    <n v="0"/>
    <n v="0"/>
    <n v="0"/>
    <n v="20"/>
    <n v="2290"/>
    <n v="0"/>
    <n v="0"/>
    <x v="60"/>
    <n v="2310"/>
    <n v="2290"/>
    <x v="1"/>
  </r>
  <r>
    <x v="3"/>
    <b v="0"/>
    <b v="0"/>
    <n v="0"/>
    <n v="0"/>
    <n v="0"/>
    <n v="2235"/>
    <n v="0"/>
    <n v="0"/>
    <n v="2235"/>
    <x v="38"/>
    <n v="0"/>
    <n v="0"/>
    <n v="0"/>
    <n v="17"/>
    <n v="2235"/>
    <n v="0"/>
    <n v="0"/>
    <x v="61"/>
    <n v="2252"/>
    <n v="2235"/>
    <x v="1"/>
  </r>
  <r>
    <x v="3"/>
    <b v="0"/>
    <b v="0"/>
    <n v="0"/>
    <n v="0"/>
    <n v="0"/>
    <n v="2225"/>
    <n v="0"/>
    <n v="0"/>
    <n v="2225"/>
    <x v="38"/>
    <n v="0"/>
    <n v="0"/>
    <n v="0"/>
    <n v="20"/>
    <n v="2225"/>
    <n v="0"/>
    <n v="0"/>
    <x v="62"/>
    <n v="2245"/>
    <n v="2225"/>
    <x v="1"/>
  </r>
  <r>
    <x v="3"/>
    <b v="0"/>
    <b v="0"/>
    <n v="0"/>
    <n v="0"/>
    <n v="0"/>
    <n v="2263"/>
    <n v="0"/>
    <n v="0"/>
    <n v="2263"/>
    <x v="38"/>
    <n v="0"/>
    <n v="0"/>
    <n v="0"/>
    <n v="18"/>
    <n v="2263"/>
    <n v="0"/>
    <n v="0"/>
    <x v="63"/>
    <n v="2281"/>
    <n v="2263"/>
    <x v="1"/>
  </r>
  <r>
    <x v="3"/>
    <b v="0"/>
    <b v="0"/>
    <n v="0"/>
    <n v="0"/>
    <n v="0"/>
    <n v="2040"/>
    <n v="0"/>
    <n v="0"/>
    <n v="2040"/>
    <x v="38"/>
    <n v="0"/>
    <n v="0"/>
    <n v="0"/>
    <n v="16"/>
    <n v="2040"/>
    <n v="0"/>
    <n v="0"/>
    <x v="64"/>
    <n v="2056"/>
    <n v="2040"/>
    <x v="1"/>
  </r>
  <r>
    <x v="3"/>
    <b v="0"/>
    <b v="0"/>
    <n v="0"/>
    <n v="0"/>
    <n v="0"/>
    <n v="1780"/>
    <n v="0"/>
    <n v="0"/>
    <n v="1780"/>
    <x v="38"/>
    <n v="0"/>
    <n v="0"/>
    <n v="0"/>
    <n v="0"/>
    <n v="1780"/>
    <n v="0"/>
    <n v="0"/>
    <x v="65"/>
    <n v="1780"/>
    <n v="1780"/>
    <x v="1"/>
  </r>
  <r>
    <x v="3"/>
    <b v="0"/>
    <b v="0"/>
    <n v="0"/>
    <n v="0"/>
    <n v="0"/>
    <n v="1283"/>
    <n v="0"/>
    <n v="0"/>
    <n v="1283"/>
    <x v="38"/>
    <n v="0"/>
    <n v="0"/>
    <n v="0"/>
    <n v="16"/>
    <n v="1283"/>
    <n v="0"/>
    <n v="0"/>
    <x v="66"/>
    <n v="1299"/>
    <n v="1283"/>
    <x v="2"/>
  </r>
  <r>
    <x v="3"/>
    <b v="0"/>
    <b v="0"/>
    <n v="0"/>
    <n v="0"/>
    <n v="0"/>
    <n v="2040"/>
    <n v="0"/>
    <n v="0"/>
    <n v="2040"/>
    <x v="38"/>
    <n v="0"/>
    <n v="0"/>
    <n v="0"/>
    <n v="16"/>
    <n v="2040"/>
    <n v="0"/>
    <n v="0"/>
    <x v="67"/>
    <n v="2056"/>
    <n v="2040"/>
    <x v="2"/>
  </r>
  <r>
    <x v="3"/>
    <b v="0"/>
    <b v="0"/>
    <n v="0"/>
    <n v="0"/>
    <n v="0"/>
    <n v="2170"/>
    <n v="0"/>
    <n v="0"/>
    <n v="2170"/>
    <x v="38"/>
    <n v="0"/>
    <n v="0"/>
    <n v="0"/>
    <n v="20"/>
    <n v="2170"/>
    <n v="0"/>
    <n v="0"/>
    <x v="68"/>
    <n v="2190"/>
    <n v="2170"/>
    <x v="2"/>
  </r>
  <r>
    <x v="3"/>
    <b v="0"/>
    <b v="0"/>
    <n v="0"/>
    <n v="0"/>
    <n v="0"/>
    <n v="2225"/>
    <n v="0"/>
    <n v="0"/>
    <n v="2225"/>
    <x v="38"/>
    <n v="0"/>
    <n v="0"/>
    <n v="0"/>
    <n v="20"/>
    <n v="2225"/>
    <n v="0"/>
    <n v="0"/>
    <x v="69"/>
    <n v="2245"/>
    <n v="2225"/>
    <x v="2"/>
  </r>
  <r>
    <x v="3"/>
    <b v="0"/>
    <b v="0"/>
    <n v="0"/>
    <n v="0"/>
    <n v="0"/>
    <n v="2215"/>
    <n v="0"/>
    <n v="0"/>
    <n v="2215"/>
    <x v="38"/>
    <n v="0"/>
    <n v="0"/>
    <n v="0"/>
    <n v="19"/>
    <n v="2215"/>
    <n v="0"/>
    <n v="0"/>
    <x v="70"/>
    <n v="2234"/>
    <n v="2215"/>
    <x v="2"/>
  </r>
  <r>
    <x v="3"/>
    <b v="0"/>
    <b v="0"/>
    <n v="0"/>
    <n v="0"/>
    <n v="0"/>
    <n v="2198"/>
    <n v="0"/>
    <n v="0"/>
    <n v="2198"/>
    <x v="38"/>
    <n v="0"/>
    <n v="0"/>
    <n v="0"/>
    <n v="18"/>
    <n v="2198"/>
    <n v="0"/>
    <n v="0"/>
    <x v="71"/>
    <n v="2216"/>
    <n v="2198"/>
    <x v="2"/>
  </r>
  <r>
    <x v="3"/>
    <b v="0"/>
    <b v="0"/>
    <n v="0"/>
    <n v="0"/>
    <n v="0"/>
    <n v="2273"/>
    <n v="0"/>
    <n v="0"/>
    <n v="2273"/>
    <x v="38"/>
    <n v="0"/>
    <n v="0"/>
    <n v="0"/>
    <n v="18"/>
    <n v="2273"/>
    <n v="0"/>
    <n v="0"/>
    <x v="72"/>
    <n v="2291"/>
    <n v="2273"/>
    <x v="2"/>
  </r>
  <r>
    <x v="3"/>
    <b v="0"/>
    <b v="0"/>
    <n v="0"/>
    <n v="0"/>
    <n v="0"/>
    <n v="2245"/>
    <n v="0"/>
    <n v="0"/>
    <n v="2245"/>
    <x v="38"/>
    <n v="0"/>
    <n v="0"/>
    <n v="0"/>
    <n v="18"/>
    <n v="2245"/>
    <n v="0"/>
    <n v="0"/>
    <x v="73"/>
    <n v="2263"/>
    <n v="2245"/>
    <x v="2"/>
  </r>
  <r>
    <x v="3"/>
    <b v="0"/>
    <b v="0"/>
    <n v="0"/>
    <n v="0"/>
    <n v="0"/>
    <n v="2255"/>
    <n v="0"/>
    <n v="0"/>
    <n v="2255"/>
    <x v="38"/>
    <n v="0"/>
    <n v="0"/>
    <n v="0"/>
    <n v="23"/>
    <n v="2255"/>
    <n v="0"/>
    <n v="0"/>
    <x v="74"/>
    <n v="2278"/>
    <n v="2255"/>
    <x v="2"/>
  </r>
  <r>
    <x v="3"/>
    <b v="0"/>
    <b v="0"/>
    <n v="0"/>
    <n v="0"/>
    <n v="0"/>
    <n v="2235"/>
    <n v="0"/>
    <n v="0"/>
    <n v="2235"/>
    <x v="38"/>
    <n v="0"/>
    <n v="0"/>
    <n v="0"/>
    <n v="17"/>
    <n v="2235"/>
    <n v="0"/>
    <n v="0"/>
    <x v="75"/>
    <n v="2252"/>
    <n v="2235"/>
    <x v="2"/>
  </r>
  <r>
    <x v="3"/>
    <b v="0"/>
    <b v="0"/>
    <n v="0"/>
    <n v="0"/>
    <n v="0"/>
    <n v="2000"/>
    <n v="0"/>
    <n v="0"/>
    <n v="2000"/>
    <x v="38"/>
    <n v="0"/>
    <n v="0"/>
    <n v="0"/>
    <n v="20"/>
    <n v="2000"/>
    <n v="0"/>
    <n v="0"/>
    <x v="76"/>
    <n v="2020"/>
    <n v="2000"/>
    <x v="2"/>
  </r>
  <r>
    <x v="3"/>
    <b v="0"/>
    <b v="0"/>
    <n v="0"/>
    <n v="0"/>
    <n v="0"/>
    <n v="1880"/>
    <n v="0"/>
    <n v="0"/>
    <n v="1880"/>
    <x v="38"/>
    <n v="0"/>
    <n v="0"/>
    <n v="0"/>
    <n v="30"/>
    <n v="1880"/>
    <n v="0"/>
    <n v="0"/>
    <x v="77"/>
    <n v="1910"/>
    <n v="1880"/>
    <x v="2"/>
  </r>
  <r>
    <x v="3"/>
    <b v="0"/>
    <b v="0"/>
    <n v="0"/>
    <n v="0"/>
    <n v="0"/>
    <n v="1478"/>
    <n v="0"/>
    <n v="0"/>
    <n v="1478"/>
    <x v="38"/>
    <n v="0"/>
    <n v="0"/>
    <n v="0"/>
    <n v="29"/>
    <n v="1478"/>
    <n v="0"/>
    <n v="0"/>
    <x v="78"/>
    <n v="1507"/>
    <n v="1478"/>
    <x v="0"/>
  </r>
  <r>
    <x v="3"/>
    <b v="0"/>
    <b v="0"/>
    <n v="0"/>
    <n v="0"/>
    <n v="0"/>
    <n v="2103"/>
    <n v="0"/>
    <n v="0"/>
    <n v="2103"/>
    <x v="38"/>
    <n v="0"/>
    <n v="0"/>
    <n v="0"/>
    <n v="16"/>
    <n v="2103"/>
    <n v="0"/>
    <n v="0"/>
    <x v="79"/>
    <n v="2119"/>
    <n v="2103"/>
    <x v="0"/>
  </r>
  <r>
    <x v="3"/>
    <b v="0"/>
    <b v="0"/>
    <n v="0"/>
    <n v="0"/>
    <n v="0"/>
    <n v="2290"/>
    <n v="0"/>
    <n v="0"/>
    <n v="2290"/>
    <x v="38"/>
    <n v="0"/>
    <n v="0"/>
    <n v="0"/>
    <n v="21"/>
    <n v="2290"/>
    <n v="0"/>
    <n v="0"/>
    <x v="80"/>
    <n v="2311"/>
    <n v="2290"/>
    <x v="0"/>
  </r>
  <r>
    <x v="3"/>
    <b v="0"/>
    <b v="0"/>
    <n v="0"/>
    <n v="0"/>
    <n v="0"/>
    <n v="2170"/>
    <n v="0"/>
    <n v="0"/>
    <n v="2170"/>
    <x v="38"/>
    <n v="0"/>
    <n v="0"/>
    <n v="0"/>
    <n v="18"/>
    <n v="2170"/>
    <n v="0"/>
    <n v="0"/>
    <x v="81"/>
    <n v="2188"/>
    <n v="2170"/>
    <x v="0"/>
  </r>
  <r>
    <x v="3"/>
    <b v="0"/>
    <b v="0"/>
    <n v="0"/>
    <n v="0"/>
    <n v="0"/>
    <n v="2243"/>
    <n v="0"/>
    <n v="0"/>
    <n v="2243"/>
    <x v="38"/>
    <n v="0"/>
    <n v="0"/>
    <n v="0"/>
    <n v="25"/>
    <n v="2243"/>
    <n v="0"/>
    <n v="0"/>
    <x v="82"/>
    <n v="2268"/>
    <n v="2243"/>
    <x v="0"/>
  </r>
  <r>
    <x v="3"/>
    <b v="0"/>
    <b v="0"/>
    <n v="0"/>
    <n v="0"/>
    <n v="0"/>
    <n v="2145"/>
    <n v="0"/>
    <n v="0"/>
    <n v="2145"/>
    <x v="38"/>
    <n v="0"/>
    <n v="0"/>
    <n v="0"/>
    <n v="27"/>
    <n v="2145"/>
    <n v="0"/>
    <n v="0"/>
    <x v="83"/>
    <n v="2172"/>
    <n v="2145"/>
    <x v="0"/>
  </r>
  <r>
    <x v="3"/>
    <b v="0"/>
    <b v="0"/>
    <n v="0"/>
    <n v="0"/>
    <n v="0"/>
    <n v="2245"/>
    <n v="0"/>
    <n v="0"/>
    <n v="2245"/>
    <x v="38"/>
    <n v="0"/>
    <n v="0"/>
    <n v="0"/>
    <n v="16"/>
    <n v="2245"/>
    <n v="0"/>
    <n v="0"/>
    <x v="84"/>
    <n v="2261"/>
    <n v="2245"/>
    <x v="0"/>
  </r>
  <r>
    <x v="3"/>
    <b v="0"/>
    <b v="0"/>
    <n v="0"/>
    <n v="0"/>
    <n v="0"/>
    <n v="2330"/>
    <n v="0"/>
    <n v="0"/>
    <n v="2330"/>
    <x v="38"/>
    <n v="0"/>
    <n v="0"/>
    <n v="0"/>
    <n v="23"/>
    <n v="2330"/>
    <n v="0"/>
    <n v="0"/>
    <x v="85"/>
    <n v="2353"/>
    <n v="2330"/>
    <x v="0"/>
  </r>
  <r>
    <x v="3"/>
    <b v="0"/>
    <b v="0"/>
    <n v="0"/>
    <n v="0"/>
    <n v="0"/>
    <n v="2203"/>
    <n v="0"/>
    <n v="0"/>
    <n v="2203"/>
    <x v="38"/>
    <n v="0"/>
    <n v="0"/>
    <n v="0"/>
    <n v="0"/>
    <n v="2203"/>
    <n v="0"/>
    <n v="0"/>
    <x v="86"/>
    <n v="2203"/>
    <n v="2203"/>
    <x v="0"/>
  </r>
  <r>
    <x v="3"/>
    <b v="0"/>
    <b v="0"/>
    <n v="0"/>
    <n v="0"/>
    <n v="0"/>
    <n v="2170"/>
    <n v="0"/>
    <n v="0"/>
    <n v="2170"/>
    <x v="38"/>
    <n v="0"/>
    <n v="0"/>
    <n v="0"/>
    <n v="0"/>
    <n v="2170"/>
    <n v="0"/>
    <n v="0"/>
    <x v="87"/>
    <n v="2170"/>
    <n v="2170"/>
    <x v="0"/>
  </r>
  <r>
    <x v="3"/>
    <b v="0"/>
    <b v="0"/>
    <n v="0"/>
    <n v="0"/>
    <n v="0"/>
    <n v="2000"/>
    <n v="0"/>
    <n v="0"/>
    <n v="2000"/>
    <x v="38"/>
    <n v="0"/>
    <n v="0"/>
    <n v="0"/>
    <n v="24"/>
    <n v="2000"/>
    <n v="0"/>
    <n v="0"/>
    <x v="88"/>
    <n v="2024"/>
    <n v="2000"/>
    <x v="0"/>
  </r>
  <r>
    <x v="3"/>
    <b v="0"/>
    <b v="0"/>
    <n v="0"/>
    <n v="0"/>
    <n v="0"/>
    <n v="2235"/>
    <n v="0"/>
    <n v="0"/>
    <n v="2235"/>
    <x v="38"/>
    <n v="0"/>
    <n v="0"/>
    <n v="0"/>
    <n v="16"/>
    <n v="2235"/>
    <n v="0"/>
    <n v="0"/>
    <x v="89"/>
    <n v="2251"/>
    <n v="2235"/>
    <x v="0"/>
  </r>
  <r>
    <x v="3"/>
    <b v="0"/>
    <b v="0"/>
    <n v="0"/>
    <n v="0"/>
    <n v="0"/>
    <n v="2263"/>
    <n v="0"/>
    <n v="0"/>
    <n v="2263"/>
    <x v="38"/>
    <n v="0"/>
    <n v="0"/>
    <n v="0"/>
    <n v="18"/>
    <n v="2263"/>
    <n v="0"/>
    <n v="0"/>
    <x v="90"/>
    <n v="2281"/>
    <n v="2263"/>
    <x v="2"/>
  </r>
  <r>
    <x v="3"/>
    <b v="0"/>
    <b v="0"/>
    <n v="0"/>
    <n v="0"/>
    <n v="0"/>
    <n v="2123"/>
    <n v="0"/>
    <n v="0"/>
    <n v="2123"/>
    <x v="38"/>
    <n v="0"/>
    <n v="0"/>
    <n v="0"/>
    <n v="14"/>
    <n v="2123"/>
    <n v="0"/>
    <n v="0"/>
    <x v="91"/>
    <n v="2137"/>
    <n v="2123"/>
    <x v="2"/>
  </r>
  <r>
    <x v="3"/>
    <b v="0"/>
    <b v="0"/>
    <n v="0"/>
    <n v="0"/>
    <n v="0"/>
    <n v="2373"/>
    <n v="0"/>
    <n v="0"/>
    <n v="2373"/>
    <x v="38"/>
    <n v="0"/>
    <n v="0"/>
    <n v="0"/>
    <n v="18"/>
    <n v="2373"/>
    <n v="0"/>
    <n v="0"/>
    <x v="92"/>
    <n v="2391"/>
    <n v="2373"/>
    <x v="2"/>
  </r>
  <r>
    <x v="3"/>
    <b v="0"/>
    <b v="0"/>
    <n v="0"/>
    <n v="0"/>
    <n v="0"/>
    <n v="2170"/>
    <n v="0"/>
    <n v="0"/>
    <n v="2170"/>
    <x v="38"/>
    <n v="0"/>
    <n v="0"/>
    <n v="0"/>
    <n v="16"/>
    <n v="2170"/>
    <n v="0"/>
    <n v="0"/>
    <x v="93"/>
    <n v="2186"/>
    <n v="2170"/>
    <x v="2"/>
  </r>
  <r>
    <x v="3"/>
    <b v="0"/>
    <b v="0"/>
    <n v="0"/>
    <n v="0"/>
    <n v="0"/>
    <n v="2270"/>
    <n v="0"/>
    <n v="0"/>
    <n v="2270"/>
    <x v="38"/>
    <n v="0"/>
    <n v="0"/>
    <n v="0"/>
    <n v="0"/>
    <n v="2270"/>
    <n v="33"/>
    <n v="0"/>
    <x v="94"/>
    <n v="2303"/>
    <n v="2270"/>
    <x v="2"/>
  </r>
  <r>
    <x v="3"/>
    <b v="0"/>
    <b v="0"/>
    <n v="0"/>
    <n v="0"/>
    <n v="0"/>
    <n v="2220"/>
    <n v="0"/>
    <n v="0"/>
    <n v="2220"/>
    <x v="38"/>
    <n v="0"/>
    <n v="0"/>
    <n v="0"/>
    <n v="36"/>
    <n v="2220"/>
    <n v="0"/>
    <n v="0"/>
    <x v="95"/>
    <n v="2256"/>
    <n v="2220"/>
    <x v="2"/>
  </r>
  <r>
    <x v="3"/>
    <b v="0"/>
    <b v="0"/>
    <n v="148"/>
    <n v="0"/>
    <n v="0"/>
    <n v="2245"/>
    <n v="0"/>
    <n v="0"/>
    <n v="2393"/>
    <x v="38"/>
    <n v="0"/>
    <n v="0"/>
    <n v="0"/>
    <n v="13"/>
    <n v="2393"/>
    <n v="0"/>
    <n v="0"/>
    <x v="96"/>
    <n v="2406"/>
    <n v="2393"/>
    <x v="2"/>
  </r>
  <r>
    <x v="3"/>
    <b v="0"/>
    <b v="0"/>
    <n v="373"/>
    <n v="0"/>
    <n v="0"/>
    <n v="2195"/>
    <n v="0"/>
    <n v="0"/>
    <n v="2568"/>
    <x v="38"/>
    <n v="0"/>
    <n v="0"/>
    <n v="0"/>
    <n v="24"/>
    <n v="2568"/>
    <n v="0"/>
    <n v="0"/>
    <x v="97"/>
    <n v="2592"/>
    <n v="2568"/>
    <x v="2"/>
  </r>
  <r>
    <x v="3"/>
    <b v="0"/>
    <b v="0"/>
    <n v="165"/>
    <n v="0"/>
    <n v="0"/>
    <n v="2023"/>
    <n v="0"/>
    <n v="0"/>
    <n v="2188"/>
    <x v="38"/>
    <n v="0"/>
    <n v="0"/>
    <n v="0"/>
    <n v="10"/>
    <n v="2188"/>
    <n v="0"/>
    <n v="0"/>
    <x v="98"/>
    <n v="2198"/>
    <n v="2188"/>
    <x v="2"/>
  </r>
  <r>
    <x v="3"/>
    <b v="0"/>
    <b v="0"/>
    <n v="125"/>
    <n v="0"/>
    <n v="0"/>
    <n v="173"/>
    <n v="0"/>
    <n v="0"/>
    <n v="298"/>
    <x v="38"/>
    <n v="0"/>
    <n v="0"/>
    <n v="0"/>
    <n v="13"/>
    <n v="298"/>
    <n v="0"/>
    <n v="0"/>
    <x v="99"/>
    <n v="311"/>
    <n v="298"/>
    <x v="2"/>
  </r>
  <r>
    <x v="3"/>
    <b v="0"/>
    <b v="0"/>
    <n v="135"/>
    <n v="0"/>
    <n v="0"/>
    <n v="0"/>
    <n v="0"/>
    <n v="0"/>
    <n v="135"/>
    <x v="38"/>
    <n v="0"/>
    <n v="0"/>
    <n v="0"/>
    <n v="27"/>
    <n v="135"/>
    <n v="0"/>
    <n v="0"/>
    <x v="100"/>
    <n v="162"/>
    <n v="135"/>
    <x v="2"/>
  </r>
  <r>
    <x v="3"/>
    <b v="0"/>
    <b v="0"/>
    <n v="143"/>
    <n v="0"/>
    <n v="0"/>
    <n v="148"/>
    <n v="0"/>
    <n v="0"/>
    <n v="291"/>
    <x v="38"/>
    <n v="0"/>
    <n v="0"/>
    <n v="0"/>
    <n v="12"/>
    <n v="291"/>
    <n v="0"/>
    <n v="0"/>
    <x v="101"/>
    <n v="303"/>
    <n v="291"/>
    <x v="2"/>
  </r>
  <r>
    <x v="3"/>
    <b v="0"/>
    <b v="0"/>
    <n v="75"/>
    <n v="0"/>
    <n v="0"/>
    <n v="228"/>
    <n v="0"/>
    <n v="0"/>
    <n v="303"/>
    <x v="38"/>
    <n v="0"/>
    <n v="0"/>
    <n v="0"/>
    <n v="5"/>
    <n v="303"/>
    <n v="0"/>
    <n v="0"/>
    <x v="102"/>
    <n v="308"/>
    <n v="303"/>
    <x v="1"/>
  </r>
  <r>
    <x v="3"/>
    <b v="0"/>
    <b v="0"/>
    <n v="88"/>
    <n v="0"/>
    <n v="0"/>
    <n v="2043"/>
    <n v="0"/>
    <n v="0"/>
    <n v="2131"/>
    <x v="38"/>
    <n v="0"/>
    <n v="0"/>
    <n v="0"/>
    <n v="10"/>
    <n v="2131"/>
    <n v="0"/>
    <n v="0"/>
    <x v="103"/>
    <n v="2141"/>
    <n v="2131"/>
    <x v="1"/>
  </r>
  <r>
    <x v="3"/>
    <b v="0"/>
    <b v="0"/>
    <n v="135"/>
    <n v="0"/>
    <n v="0"/>
    <n v="2238"/>
    <n v="0"/>
    <n v="0"/>
    <n v="2373"/>
    <x v="38"/>
    <n v="0"/>
    <n v="0"/>
    <n v="0"/>
    <n v="10"/>
    <n v="2373"/>
    <n v="0"/>
    <n v="0"/>
    <x v="104"/>
    <n v="2383"/>
    <n v="2373"/>
    <x v="1"/>
  </r>
  <r>
    <x v="3"/>
    <b v="0"/>
    <b v="0"/>
    <n v="173"/>
    <n v="0"/>
    <n v="0"/>
    <n v="2175"/>
    <n v="0"/>
    <n v="0"/>
    <n v="2348"/>
    <x v="38"/>
    <n v="0"/>
    <n v="0"/>
    <n v="0"/>
    <n v="13"/>
    <n v="2348"/>
    <n v="0"/>
    <n v="0"/>
    <x v="105"/>
    <n v="2361"/>
    <n v="2348"/>
    <x v="1"/>
  </r>
  <r>
    <x v="3"/>
    <b v="0"/>
    <b v="0"/>
    <n v="155"/>
    <n v="0"/>
    <n v="0"/>
    <n v="2225"/>
    <n v="0"/>
    <n v="0"/>
    <n v="2380"/>
    <x v="38"/>
    <n v="0"/>
    <n v="0"/>
    <n v="0"/>
    <n v="14"/>
    <n v="2380"/>
    <n v="0"/>
    <n v="0"/>
    <x v="106"/>
    <n v="2394"/>
    <n v="2380"/>
    <x v="1"/>
  </r>
  <r>
    <x v="3"/>
    <b v="0"/>
    <b v="0"/>
    <n v="0"/>
    <n v="0"/>
    <n v="0"/>
    <n v="260"/>
    <n v="0"/>
    <n v="0"/>
    <n v="260"/>
    <x v="38"/>
    <n v="0"/>
    <n v="0"/>
    <n v="0"/>
    <n v="18"/>
    <n v="260"/>
    <n v="0"/>
    <n v="0"/>
    <x v="107"/>
    <n v="278"/>
    <n v="260"/>
    <x v="1"/>
  </r>
  <r>
    <x v="3"/>
    <b v="0"/>
    <b v="0"/>
    <n v="0"/>
    <n v="0"/>
    <n v="0"/>
    <n v="215"/>
    <n v="0"/>
    <n v="0"/>
    <n v="215"/>
    <x v="38"/>
    <n v="0"/>
    <n v="0"/>
    <n v="0"/>
    <n v="20"/>
    <n v="215"/>
    <n v="0"/>
    <n v="0"/>
    <x v="108"/>
    <n v="235"/>
    <n v="215"/>
    <x v="1"/>
  </r>
  <r>
    <x v="3"/>
    <b v="0"/>
    <b v="0"/>
    <n v="0"/>
    <n v="0"/>
    <n v="0"/>
    <n v="210"/>
    <n v="0"/>
    <n v="0"/>
    <n v="210"/>
    <x v="38"/>
    <n v="0"/>
    <n v="0"/>
    <n v="0"/>
    <n v="20"/>
    <n v="210"/>
    <n v="0"/>
    <n v="0"/>
    <x v="109"/>
    <n v="230"/>
    <n v="210"/>
    <x v="1"/>
  </r>
  <r>
    <x v="3"/>
    <b v="0"/>
    <b v="0"/>
    <n v="0"/>
    <n v="0"/>
    <n v="0"/>
    <n v="328"/>
    <n v="0"/>
    <n v="0"/>
    <n v="328"/>
    <x v="38"/>
    <n v="0"/>
    <n v="0"/>
    <n v="0"/>
    <n v="37"/>
    <n v="328"/>
    <n v="0"/>
    <n v="0"/>
    <x v="110"/>
    <n v="365"/>
    <n v="328"/>
    <x v="1"/>
  </r>
  <r>
    <x v="3"/>
    <b v="0"/>
    <b v="0"/>
    <n v="10"/>
    <n v="0"/>
    <n v="0"/>
    <n v="328"/>
    <n v="0"/>
    <n v="0"/>
    <n v="338"/>
    <x v="38"/>
    <n v="0"/>
    <n v="0"/>
    <n v="0"/>
    <n v="44"/>
    <n v="338"/>
    <n v="0"/>
    <n v="0"/>
    <x v="111"/>
    <n v="382"/>
    <n v="338"/>
    <x v="1"/>
  </r>
  <r>
    <x v="3"/>
    <b v="0"/>
    <b v="0"/>
    <n v="38"/>
    <n v="0"/>
    <n v="0"/>
    <n v="343"/>
    <n v="0"/>
    <n v="0"/>
    <n v="381"/>
    <x v="38"/>
    <n v="0"/>
    <n v="0"/>
    <n v="0"/>
    <n v="2"/>
    <n v="381"/>
    <n v="0"/>
    <n v="0"/>
    <x v="112"/>
    <n v="383"/>
    <n v="381"/>
    <x v="1"/>
  </r>
  <r>
    <x v="3"/>
    <b v="0"/>
    <b v="0"/>
    <n v="3"/>
    <n v="0"/>
    <n v="0"/>
    <n v="245"/>
    <n v="0"/>
    <n v="0"/>
    <n v="248"/>
    <x v="38"/>
    <n v="0"/>
    <n v="0"/>
    <n v="0"/>
    <n v="1"/>
    <n v="248"/>
    <n v="0"/>
    <n v="0"/>
    <x v="113"/>
    <n v="249"/>
    <n v="248"/>
    <x v="1"/>
  </r>
  <r>
    <x v="3"/>
    <b v="0"/>
    <b v="0"/>
    <n v="0"/>
    <n v="0"/>
    <n v="0"/>
    <n v="278"/>
    <n v="0"/>
    <n v="0"/>
    <n v="278"/>
    <x v="38"/>
    <n v="0"/>
    <n v="0"/>
    <n v="0"/>
    <n v="15"/>
    <n v="278"/>
    <n v="0"/>
    <n v="0"/>
    <x v="114"/>
    <n v="293"/>
    <n v="278"/>
    <x v="1"/>
  </r>
  <r>
    <x v="3"/>
    <b v="0"/>
    <b v="0"/>
    <n v="30"/>
    <n v="0"/>
    <n v="0"/>
    <n v="185"/>
    <n v="0"/>
    <n v="0"/>
    <n v="215"/>
    <x v="38"/>
    <n v="0"/>
    <n v="0"/>
    <n v="0"/>
    <n v="2"/>
    <n v="215"/>
    <n v="0"/>
    <n v="0"/>
    <x v="115"/>
    <n v="217"/>
    <n v="215"/>
    <x v="1"/>
  </r>
  <r>
    <x v="3"/>
    <b v="0"/>
    <b v="0"/>
    <n v="53"/>
    <n v="0"/>
    <n v="0"/>
    <n v="125"/>
    <n v="0"/>
    <n v="0"/>
    <n v="178"/>
    <x v="38"/>
    <n v="0"/>
    <n v="0"/>
    <n v="0"/>
    <n v="7"/>
    <n v="178"/>
    <n v="0"/>
    <n v="0"/>
    <x v="116"/>
    <n v="185"/>
    <n v="178"/>
    <x v="1"/>
  </r>
  <r>
    <x v="3"/>
    <b v="0"/>
    <b v="0"/>
    <n v="0"/>
    <n v="0"/>
    <n v="0"/>
    <n v="208"/>
    <n v="0"/>
    <n v="0"/>
    <n v="208"/>
    <x v="38"/>
    <n v="0"/>
    <n v="0"/>
    <n v="0"/>
    <n v="10"/>
    <n v="208"/>
    <n v="0"/>
    <n v="0"/>
    <x v="117"/>
    <n v="218"/>
    <n v="208"/>
    <x v="1"/>
  </r>
  <r>
    <x v="3"/>
    <b v="0"/>
    <b v="0"/>
    <n v="0"/>
    <n v="0"/>
    <n v="0"/>
    <n v="225"/>
    <n v="0"/>
    <n v="0"/>
    <n v="225"/>
    <x v="38"/>
    <n v="0"/>
    <n v="0"/>
    <n v="0"/>
    <n v="17"/>
    <n v="225"/>
    <n v="0"/>
    <n v="0"/>
    <x v="118"/>
    <n v="242"/>
    <n v="225"/>
    <x v="1"/>
  </r>
  <r>
    <x v="3"/>
    <b v="0"/>
    <b v="0"/>
    <n v="28"/>
    <n v="0"/>
    <n v="0"/>
    <n v="203"/>
    <n v="0"/>
    <n v="0"/>
    <n v="231"/>
    <x v="38"/>
    <n v="0"/>
    <n v="0"/>
    <n v="0"/>
    <n v="21"/>
    <n v="231"/>
    <n v="0"/>
    <n v="0"/>
    <x v="119"/>
    <n v="252"/>
    <n v="231"/>
    <x v="1"/>
  </r>
  <r>
    <x v="3"/>
    <b v="0"/>
    <b v="0"/>
    <n v="83"/>
    <n v="0"/>
    <n v="0"/>
    <n v="195"/>
    <n v="0"/>
    <n v="0"/>
    <n v="278"/>
    <x v="38"/>
    <n v="0"/>
    <n v="0"/>
    <n v="0"/>
    <n v="18"/>
    <n v="278"/>
    <n v="0"/>
    <n v="0"/>
    <x v="120"/>
    <n v="296"/>
    <n v="278"/>
    <x v="1"/>
  </r>
  <r>
    <x v="3"/>
    <b v="0"/>
    <b v="0"/>
    <n v="0"/>
    <n v="0"/>
    <n v="0"/>
    <n v="285"/>
    <n v="0"/>
    <n v="0"/>
    <n v="285"/>
    <x v="38"/>
    <n v="0"/>
    <n v="0"/>
    <n v="0"/>
    <n v="16"/>
    <n v="285"/>
    <n v="0"/>
    <n v="0"/>
    <x v="121"/>
    <n v="301"/>
    <n v="285"/>
    <x v="1"/>
  </r>
  <r>
    <x v="3"/>
    <b v="0"/>
    <b v="0"/>
    <n v="8"/>
    <n v="0"/>
    <n v="0"/>
    <n v="208"/>
    <n v="0"/>
    <n v="0"/>
    <n v="216"/>
    <x v="38"/>
    <n v="0"/>
    <n v="0"/>
    <n v="0"/>
    <n v="0"/>
    <n v="216"/>
    <n v="0"/>
    <n v="0"/>
    <x v="122"/>
    <n v="216"/>
    <n v="216"/>
    <x v="1"/>
  </r>
  <r>
    <x v="3"/>
    <b v="0"/>
    <b v="0"/>
    <n v="0"/>
    <n v="0"/>
    <n v="0"/>
    <n v="238"/>
    <n v="0"/>
    <n v="0"/>
    <n v="238"/>
    <x v="38"/>
    <n v="0"/>
    <n v="0"/>
    <n v="0"/>
    <n v="0"/>
    <n v="238"/>
    <n v="0"/>
    <n v="0"/>
    <x v="123"/>
    <n v="238"/>
    <n v="238"/>
    <x v="1"/>
  </r>
  <r>
    <x v="3"/>
    <b v="0"/>
    <b v="0"/>
    <n v="0"/>
    <n v="0"/>
    <n v="0"/>
    <n v="78"/>
    <n v="0"/>
    <n v="0"/>
    <n v="78"/>
    <x v="38"/>
    <n v="0"/>
    <n v="0"/>
    <n v="0"/>
    <n v="0"/>
    <n v="78"/>
    <n v="0"/>
    <n v="0"/>
    <x v="124"/>
    <n v="78"/>
    <n v="78"/>
    <x v="1"/>
  </r>
  <r>
    <x v="3"/>
    <b v="0"/>
    <b v="0"/>
    <n v="0"/>
    <n v="0"/>
    <n v="0"/>
    <n v="55"/>
    <n v="0"/>
    <n v="0"/>
    <n v="55"/>
    <x v="38"/>
    <n v="0"/>
    <n v="0"/>
    <n v="0"/>
    <n v="0"/>
    <n v="55"/>
    <n v="0"/>
    <n v="0"/>
    <x v="125"/>
    <n v="55"/>
    <n v="55"/>
    <x v="1"/>
  </r>
  <r>
    <x v="3"/>
    <b v="0"/>
    <b v="0"/>
    <n v="0"/>
    <n v="0"/>
    <n v="0"/>
    <n v="418"/>
    <n v="0"/>
    <n v="0"/>
    <n v="418"/>
    <x v="38"/>
    <n v="0"/>
    <n v="0"/>
    <n v="0"/>
    <n v="0"/>
    <n v="418"/>
    <n v="0"/>
    <n v="0"/>
    <x v="126"/>
    <n v="418"/>
    <n v="418"/>
    <x v="1"/>
  </r>
  <r>
    <x v="3"/>
    <b v="0"/>
    <b v="0"/>
    <n v="0"/>
    <n v="0"/>
    <n v="0"/>
    <n v="564"/>
    <n v="0"/>
    <n v="0"/>
    <n v="564"/>
    <x v="38"/>
    <n v="0"/>
    <n v="0"/>
    <n v="0"/>
    <n v="3"/>
    <n v="564"/>
    <n v="0"/>
    <n v="0"/>
    <x v="127"/>
    <n v="567"/>
    <n v="564"/>
    <x v="1"/>
  </r>
  <r>
    <x v="3"/>
    <b v="0"/>
    <b v="0"/>
    <n v="0"/>
    <n v="0"/>
    <n v="0"/>
    <n v="816"/>
    <n v="0"/>
    <n v="0"/>
    <n v="816"/>
    <x v="38"/>
    <n v="0"/>
    <n v="0"/>
    <n v="0"/>
    <n v="0"/>
    <n v="816"/>
    <n v="0"/>
    <n v="0"/>
    <x v="128"/>
    <n v="816"/>
    <n v="816"/>
    <x v="1"/>
  </r>
  <r>
    <x v="3"/>
    <b v="0"/>
    <b v="0"/>
    <n v="0"/>
    <n v="0"/>
    <n v="0"/>
    <n v="738"/>
    <n v="0"/>
    <n v="0"/>
    <n v="738"/>
    <x v="38"/>
    <n v="0"/>
    <n v="0"/>
    <n v="0"/>
    <n v="0"/>
    <n v="738"/>
    <n v="0"/>
    <n v="0"/>
    <x v="129"/>
    <n v="738"/>
    <n v="738"/>
    <x v="1"/>
  </r>
  <r>
    <x v="3"/>
    <b v="0"/>
    <b v="0"/>
    <n v="0"/>
    <n v="0"/>
    <n v="0"/>
    <n v="1368"/>
    <n v="0"/>
    <n v="0"/>
    <n v="1368"/>
    <x v="38"/>
    <n v="0"/>
    <n v="0"/>
    <n v="0"/>
    <n v="0"/>
    <n v="1368"/>
    <n v="0"/>
    <n v="0"/>
    <x v="130"/>
    <n v="1368"/>
    <n v="1368"/>
    <x v="1"/>
  </r>
  <r>
    <x v="3"/>
    <b v="0"/>
    <b v="0"/>
    <n v="0"/>
    <n v="0"/>
    <n v="0"/>
    <n v="1266"/>
    <n v="0"/>
    <n v="0"/>
    <n v="1266"/>
    <x v="38"/>
    <n v="0"/>
    <n v="0"/>
    <n v="0"/>
    <n v="0"/>
    <n v="1266"/>
    <n v="0"/>
    <n v="0"/>
    <x v="131"/>
    <n v="1266"/>
    <n v="1266"/>
    <x v="1"/>
  </r>
  <r>
    <x v="3"/>
    <b v="0"/>
    <b v="0"/>
    <n v="0"/>
    <n v="0"/>
    <n v="0"/>
    <n v="954"/>
    <n v="0"/>
    <n v="0"/>
    <n v="954"/>
    <x v="38"/>
    <n v="0"/>
    <n v="0"/>
    <n v="0"/>
    <n v="54"/>
    <n v="954"/>
    <n v="0"/>
    <n v="0"/>
    <x v="132"/>
    <n v="1008"/>
    <n v="954"/>
    <x v="1"/>
  </r>
  <r>
    <x v="3"/>
    <b v="0"/>
    <b v="0"/>
    <n v="0"/>
    <n v="0"/>
    <n v="0"/>
    <n v="670"/>
    <n v="0"/>
    <n v="0"/>
    <n v="670"/>
    <x v="38"/>
    <n v="0"/>
    <n v="0"/>
    <n v="0"/>
    <n v="35"/>
    <n v="670"/>
    <n v="0"/>
    <n v="0"/>
    <x v="133"/>
    <n v="705"/>
    <n v="670"/>
    <x v="1"/>
  </r>
  <r>
    <x v="3"/>
    <b v="0"/>
    <b v="0"/>
    <n v="83"/>
    <n v="0"/>
    <n v="0"/>
    <n v="616"/>
    <n v="0"/>
    <n v="0"/>
    <n v="699"/>
    <x v="38"/>
    <n v="0"/>
    <n v="0"/>
    <n v="0"/>
    <n v="12"/>
    <n v="699"/>
    <n v="0"/>
    <n v="0"/>
    <x v="134"/>
    <n v="711"/>
    <n v="699"/>
    <x v="1"/>
  </r>
  <r>
    <x v="3"/>
    <b v="0"/>
    <b v="0"/>
    <n v="48"/>
    <n v="0"/>
    <n v="0"/>
    <n v="0"/>
    <n v="0"/>
    <n v="0"/>
    <n v="48"/>
    <x v="38"/>
    <n v="0"/>
    <n v="0"/>
    <n v="0"/>
    <n v="1"/>
    <n v="48"/>
    <n v="0"/>
    <n v="0"/>
    <x v="135"/>
    <n v="49"/>
    <n v="48"/>
    <x v="1"/>
  </r>
  <r>
    <x v="3"/>
    <b v="0"/>
    <b v="0"/>
    <n v="93"/>
    <n v="0"/>
    <n v="0"/>
    <n v="0"/>
    <n v="0"/>
    <n v="0"/>
    <n v="93"/>
    <x v="38"/>
    <n v="0"/>
    <n v="0"/>
    <n v="0"/>
    <n v="0"/>
    <n v="93"/>
    <n v="0"/>
    <n v="0"/>
    <x v="136"/>
    <n v="93"/>
    <n v="93"/>
    <x v="1"/>
  </r>
  <r>
    <x v="3"/>
    <b v="0"/>
    <b v="0"/>
    <n v="18"/>
    <n v="0"/>
    <n v="0"/>
    <n v="505"/>
    <n v="0"/>
    <n v="0"/>
    <n v="523"/>
    <x v="38"/>
    <n v="0"/>
    <n v="0"/>
    <n v="0"/>
    <n v="0"/>
    <n v="523"/>
    <n v="0"/>
    <n v="0"/>
    <x v="137"/>
    <n v="523"/>
    <n v="523"/>
    <x v="1"/>
  </r>
  <r>
    <x v="3"/>
    <b v="0"/>
    <b v="0"/>
    <n v="55"/>
    <n v="0"/>
    <n v="0"/>
    <n v="433"/>
    <n v="0"/>
    <n v="0"/>
    <n v="488"/>
    <x v="38"/>
    <n v="0"/>
    <n v="0"/>
    <n v="0"/>
    <n v="0"/>
    <n v="488"/>
    <n v="0"/>
    <n v="0"/>
    <x v="138"/>
    <n v="488"/>
    <n v="488"/>
    <x v="3"/>
  </r>
  <r>
    <x v="3"/>
    <b v="0"/>
    <b v="0"/>
    <n v="128"/>
    <n v="0"/>
    <n v="0"/>
    <n v="163"/>
    <n v="0"/>
    <n v="0"/>
    <n v="291"/>
    <x v="38"/>
    <n v="0"/>
    <n v="0"/>
    <n v="0"/>
    <n v="4"/>
    <n v="291"/>
    <n v="0"/>
    <n v="0"/>
    <x v="139"/>
    <n v="295"/>
    <n v="291"/>
    <x v="3"/>
  </r>
  <r>
    <x v="3"/>
    <b v="0"/>
    <b v="0"/>
    <n v="141"/>
    <n v="0"/>
    <n v="0"/>
    <n v="412"/>
    <n v="0"/>
    <n v="0"/>
    <n v="553"/>
    <x v="38"/>
    <n v="0"/>
    <n v="0"/>
    <n v="0"/>
    <n v="0"/>
    <n v="553"/>
    <n v="5"/>
    <n v="0"/>
    <x v="140"/>
    <n v="558"/>
    <n v="553"/>
    <x v="3"/>
  </r>
  <r>
    <x v="3"/>
    <b v="0"/>
    <b v="0"/>
    <n v="147"/>
    <n v="0"/>
    <n v="0"/>
    <n v="371"/>
    <n v="0"/>
    <n v="0"/>
    <n v="518"/>
    <x v="38"/>
    <n v="0"/>
    <n v="0"/>
    <n v="0"/>
    <n v="0"/>
    <n v="518"/>
    <n v="0"/>
    <n v="0"/>
    <x v="141"/>
    <n v="518"/>
    <n v="518"/>
    <x v="3"/>
  </r>
  <r>
    <x v="3"/>
    <b v="0"/>
    <b v="0"/>
    <n v="552"/>
    <n v="0"/>
    <n v="0"/>
    <n v="0"/>
    <n v="0"/>
    <n v="0"/>
    <n v="552"/>
    <x v="38"/>
    <n v="0"/>
    <n v="0"/>
    <n v="0"/>
    <n v="10"/>
    <n v="552"/>
    <n v="0"/>
    <n v="0"/>
    <x v="142"/>
    <n v="562"/>
    <n v="552"/>
    <x v="3"/>
  </r>
  <r>
    <x v="3"/>
    <b v="0"/>
    <b v="0"/>
    <n v="657"/>
    <n v="0"/>
    <n v="0"/>
    <n v="0"/>
    <n v="0"/>
    <n v="0"/>
    <n v="657"/>
    <x v="38"/>
    <n v="0"/>
    <n v="0"/>
    <n v="0"/>
    <n v="19"/>
    <n v="657"/>
    <n v="0"/>
    <n v="0"/>
    <x v="143"/>
    <n v="676"/>
    <n v="657"/>
    <x v="3"/>
  </r>
  <r>
    <x v="3"/>
    <b v="0"/>
    <b v="0"/>
    <n v="237"/>
    <n v="0"/>
    <n v="0"/>
    <n v="649"/>
    <n v="0"/>
    <n v="0"/>
    <n v="886"/>
    <x v="38"/>
    <n v="0"/>
    <n v="0"/>
    <n v="0"/>
    <n v="9"/>
    <n v="886"/>
    <n v="0"/>
    <n v="0"/>
    <x v="144"/>
    <n v="895"/>
    <n v="886"/>
    <x v="3"/>
  </r>
  <r>
    <x v="3"/>
    <b v="0"/>
    <b v="0"/>
    <n v="144"/>
    <n v="0"/>
    <n v="0"/>
    <n v="0"/>
    <n v="0"/>
    <n v="0"/>
    <n v="144"/>
    <x v="38"/>
    <n v="0"/>
    <n v="0"/>
    <n v="0"/>
    <n v="0"/>
    <n v="144"/>
    <n v="0"/>
    <n v="0"/>
    <x v="145"/>
    <n v="144"/>
    <n v="144"/>
    <x v="3"/>
  </r>
  <r>
    <x v="3"/>
    <b v="0"/>
    <b v="0"/>
    <n v="48"/>
    <n v="0"/>
    <n v="0"/>
    <n v="0"/>
    <n v="0"/>
    <n v="0"/>
    <n v="48"/>
    <x v="38"/>
    <n v="0"/>
    <n v="0"/>
    <n v="0"/>
    <n v="0"/>
    <n v="48"/>
    <n v="0"/>
    <n v="0"/>
    <x v="146"/>
    <n v="48"/>
    <n v="48"/>
    <x v="3"/>
  </r>
  <r>
    <x v="3"/>
    <b v="0"/>
    <b v="0"/>
    <n v="165"/>
    <n v="0"/>
    <n v="0"/>
    <n v="0"/>
    <n v="0"/>
    <n v="0"/>
    <n v="165"/>
    <x v="38"/>
    <n v="0"/>
    <n v="0"/>
    <n v="0"/>
    <n v="0"/>
    <n v="165"/>
    <n v="0"/>
    <n v="0"/>
    <x v="147"/>
    <n v="165"/>
    <n v="165"/>
    <x v="3"/>
  </r>
  <r>
    <x v="3"/>
    <b v="0"/>
    <b v="0"/>
    <n v="108"/>
    <n v="0"/>
    <n v="0"/>
    <n v="0"/>
    <n v="0"/>
    <n v="0"/>
    <n v="108"/>
    <x v="38"/>
    <n v="0"/>
    <n v="0"/>
    <n v="0"/>
    <n v="0"/>
    <n v="108"/>
    <n v="0"/>
    <n v="0"/>
    <x v="148"/>
    <n v="108"/>
    <n v="108"/>
    <x v="3"/>
  </r>
  <r>
    <x v="3"/>
    <b v="0"/>
    <b v="0"/>
    <n v="21"/>
    <n v="0"/>
    <n v="0"/>
    <n v="586"/>
    <n v="0"/>
    <n v="0"/>
    <n v="607"/>
    <x v="38"/>
    <n v="0"/>
    <n v="0"/>
    <n v="0"/>
    <n v="0"/>
    <n v="607"/>
    <n v="0"/>
    <n v="0"/>
    <x v="149"/>
    <n v="607"/>
    <n v="607"/>
    <x v="3"/>
  </r>
  <r>
    <x v="3"/>
    <b v="0"/>
    <b v="0"/>
    <n v="138"/>
    <n v="0"/>
    <n v="0"/>
    <n v="0"/>
    <n v="0"/>
    <n v="0"/>
    <n v="138"/>
    <x v="38"/>
    <n v="0"/>
    <n v="0"/>
    <n v="0"/>
    <n v="0"/>
    <n v="138"/>
    <n v="0"/>
    <n v="0"/>
    <x v="150"/>
    <n v="138"/>
    <n v="138"/>
    <x v="4"/>
  </r>
  <r>
    <x v="3"/>
    <b v="0"/>
    <b v="0"/>
    <n v="102"/>
    <n v="0"/>
    <n v="0"/>
    <n v="116"/>
    <n v="0"/>
    <n v="0"/>
    <n v="218"/>
    <x v="38"/>
    <n v="0"/>
    <n v="0"/>
    <n v="0"/>
    <n v="1"/>
    <n v="218"/>
    <n v="0"/>
    <n v="0"/>
    <x v="151"/>
    <n v="219"/>
    <n v="218"/>
    <x v="4"/>
  </r>
  <r>
    <x v="3"/>
    <b v="0"/>
    <b v="0"/>
    <n v="0"/>
    <n v="0"/>
    <n v="0"/>
    <n v="247"/>
    <n v="0"/>
    <n v="0"/>
    <n v="247"/>
    <x v="38"/>
    <n v="0"/>
    <n v="0"/>
    <n v="0"/>
    <n v="0"/>
    <n v="247"/>
    <n v="0"/>
    <n v="0"/>
    <x v="152"/>
    <n v="247"/>
    <n v="247"/>
    <x v="4"/>
  </r>
  <r>
    <x v="3"/>
    <b v="0"/>
    <b v="0"/>
    <n v="105"/>
    <n v="0"/>
    <n v="0"/>
    <n v="0"/>
    <n v="0"/>
    <n v="0"/>
    <n v="105"/>
    <x v="38"/>
    <n v="0"/>
    <n v="0"/>
    <n v="0"/>
    <n v="0"/>
    <n v="105"/>
    <n v="0"/>
    <n v="0"/>
    <x v="153"/>
    <n v="105"/>
    <n v="105"/>
    <x v="4"/>
  </r>
  <r>
    <x v="3"/>
    <b v="0"/>
    <b v="0"/>
    <n v="384"/>
    <n v="0"/>
    <n v="0"/>
    <n v="0"/>
    <n v="0"/>
    <n v="0"/>
    <n v="384"/>
    <x v="38"/>
    <n v="0"/>
    <n v="0"/>
    <n v="0"/>
    <n v="3"/>
    <n v="384"/>
    <n v="0"/>
    <n v="0"/>
    <x v="154"/>
    <n v="387"/>
    <n v="384"/>
    <x v="4"/>
  </r>
  <r>
    <x v="3"/>
    <b v="0"/>
    <b v="0"/>
    <n v="555"/>
    <n v="0"/>
    <n v="0"/>
    <n v="0"/>
    <n v="0"/>
    <n v="0"/>
    <n v="555"/>
    <x v="38"/>
    <n v="0"/>
    <n v="0"/>
    <n v="0"/>
    <n v="14"/>
    <n v="555"/>
    <n v="0"/>
    <n v="0"/>
    <x v="155"/>
    <n v="569"/>
    <n v="555"/>
    <x v="4"/>
  </r>
  <r>
    <x v="3"/>
    <b v="0"/>
    <b v="0"/>
    <n v="738"/>
    <n v="0"/>
    <n v="0"/>
    <n v="0"/>
    <n v="0"/>
    <n v="0"/>
    <n v="738"/>
    <x v="38"/>
    <n v="0"/>
    <n v="0"/>
    <n v="0"/>
    <n v="30"/>
    <n v="738"/>
    <n v="0"/>
    <n v="0"/>
    <x v="156"/>
    <n v="768"/>
    <n v="738"/>
    <x v="4"/>
  </r>
  <r>
    <x v="3"/>
    <b v="0"/>
    <b v="0"/>
    <n v="372"/>
    <n v="0"/>
    <n v="0"/>
    <n v="0"/>
    <n v="0"/>
    <n v="0"/>
    <n v="372"/>
    <x v="38"/>
    <n v="0"/>
    <n v="0"/>
    <n v="0"/>
    <n v="3"/>
    <n v="372"/>
    <n v="0"/>
    <n v="0"/>
    <x v="157"/>
    <n v="375"/>
    <n v="372"/>
    <x v="4"/>
  </r>
  <r>
    <x v="3"/>
    <b v="0"/>
    <b v="0"/>
    <n v="171"/>
    <n v="0"/>
    <n v="0"/>
    <n v="0"/>
    <n v="0"/>
    <n v="0"/>
    <n v="171"/>
    <x v="38"/>
    <n v="0"/>
    <n v="0"/>
    <n v="0"/>
    <n v="0"/>
    <n v="171"/>
    <n v="0"/>
    <n v="0"/>
    <x v="158"/>
    <n v="171"/>
    <n v="171"/>
    <x v="4"/>
  </r>
  <r>
    <x v="3"/>
    <b v="0"/>
    <b v="0"/>
    <n v="171"/>
    <n v="0"/>
    <n v="0"/>
    <n v="0"/>
    <n v="0"/>
    <n v="0"/>
    <n v="171"/>
    <x v="38"/>
    <n v="0"/>
    <n v="0"/>
    <n v="0"/>
    <n v="0"/>
    <n v="171"/>
    <n v="0"/>
    <n v="0"/>
    <x v="159"/>
    <n v="171"/>
    <n v="171"/>
    <x v="4"/>
  </r>
  <r>
    <x v="3"/>
    <b v="0"/>
    <b v="0"/>
    <n v="0"/>
    <n v="0"/>
    <n v="0"/>
    <n v="99"/>
    <n v="0"/>
    <n v="0"/>
    <n v="99"/>
    <x v="38"/>
    <n v="0"/>
    <n v="0"/>
    <n v="0"/>
    <n v="0"/>
    <n v="99"/>
    <n v="0"/>
    <n v="0"/>
    <x v="160"/>
    <n v="99"/>
    <n v="99"/>
    <x v="4"/>
  </r>
  <r>
    <x v="3"/>
    <b v="0"/>
    <b v="0"/>
    <n v="260"/>
    <n v="0"/>
    <n v="0"/>
    <n v="2"/>
    <n v="0"/>
    <n v="0"/>
    <n v="262"/>
    <x v="264"/>
    <n v="0"/>
    <n v="0"/>
    <n v="90"/>
    <n v="0"/>
    <n v="262"/>
    <n v="0"/>
    <n v="0"/>
    <x v="161"/>
    <n v="352"/>
    <n v="262"/>
    <x v="4"/>
  </r>
  <r>
    <x v="3"/>
    <b v="0"/>
    <b v="0"/>
    <n v="135"/>
    <n v="0"/>
    <n v="0"/>
    <n v="6"/>
    <n v="0"/>
    <n v="0"/>
    <n v="141"/>
    <x v="38"/>
    <n v="0"/>
    <n v="0"/>
    <n v="0"/>
    <n v="9"/>
    <n v="141"/>
    <n v="1"/>
    <n v="0"/>
    <x v="162"/>
    <n v="151"/>
    <n v="141"/>
    <x v="4"/>
  </r>
  <r>
    <x v="3"/>
    <b v="0"/>
    <b v="0"/>
    <n v="207"/>
    <n v="0"/>
    <n v="0"/>
    <n v="0"/>
    <n v="0"/>
    <n v="0"/>
    <n v="207"/>
    <x v="38"/>
    <n v="0"/>
    <n v="0"/>
    <n v="0"/>
    <n v="7"/>
    <n v="207"/>
    <n v="0"/>
    <n v="0"/>
    <x v="163"/>
    <n v="214"/>
    <n v="207"/>
    <x v="4"/>
  </r>
  <r>
    <x v="3"/>
    <b v="0"/>
    <b v="0"/>
    <n v="324"/>
    <n v="0"/>
    <n v="0"/>
    <n v="0"/>
    <n v="0"/>
    <n v="0"/>
    <n v="324"/>
    <x v="38"/>
    <n v="0"/>
    <n v="0"/>
    <n v="0"/>
    <n v="19"/>
    <n v="324"/>
    <n v="0"/>
    <n v="0"/>
    <x v="164"/>
    <n v="343"/>
    <n v="324"/>
    <x v="4"/>
  </r>
  <r>
    <x v="3"/>
    <b v="0"/>
    <b v="0"/>
    <n v="369"/>
    <n v="0"/>
    <n v="0"/>
    <n v="0"/>
    <n v="0"/>
    <n v="0"/>
    <n v="369"/>
    <x v="38"/>
    <n v="0"/>
    <n v="0"/>
    <n v="0"/>
    <n v="24"/>
    <n v="369"/>
    <n v="0"/>
    <n v="0"/>
    <x v="165"/>
    <n v="393"/>
    <n v="369"/>
    <x v="4"/>
  </r>
  <r>
    <x v="3"/>
    <b v="0"/>
    <b v="0"/>
    <n v="198"/>
    <n v="0"/>
    <n v="0"/>
    <n v="0"/>
    <n v="0"/>
    <n v="0"/>
    <n v="198"/>
    <x v="38"/>
    <n v="0"/>
    <n v="0"/>
    <n v="0"/>
    <n v="7"/>
    <n v="198"/>
    <n v="0"/>
    <n v="0"/>
    <x v="166"/>
    <n v="205"/>
    <n v="198"/>
    <x v="4"/>
  </r>
  <r>
    <x v="3"/>
    <b v="0"/>
    <b v="0"/>
    <n v="201"/>
    <n v="0"/>
    <n v="0"/>
    <n v="0"/>
    <n v="0"/>
    <n v="0"/>
    <n v="201"/>
    <x v="38"/>
    <n v="0"/>
    <n v="0"/>
    <n v="0"/>
    <n v="15"/>
    <n v="201"/>
    <n v="0"/>
    <n v="0"/>
    <x v="167"/>
    <n v="216"/>
    <n v="201"/>
    <x v="4"/>
  </r>
  <r>
    <x v="3"/>
    <b v="0"/>
    <b v="0"/>
    <n v="618"/>
    <n v="1"/>
    <n v="0"/>
    <n v="0"/>
    <n v="0"/>
    <n v="0"/>
    <n v="619"/>
    <x v="38"/>
    <n v="0"/>
    <n v="0"/>
    <n v="0"/>
    <n v="27"/>
    <n v="619"/>
    <n v="0"/>
    <n v="0"/>
    <x v="168"/>
    <n v="646"/>
    <n v="619"/>
    <x v="4"/>
  </r>
  <r>
    <x v="3"/>
    <b v="0"/>
    <b v="0"/>
    <n v="255"/>
    <n v="0"/>
    <n v="0"/>
    <n v="0"/>
    <n v="0"/>
    <n v="0"/>
    <n v="255"/>
    <x v="38"/>
    <n v="0"/>
    <n v="0"/>
    <n v="0"/>
    <n v="10"/>
    <n v="255"/>
    <n v="0"/>
    <n v="0"/>
    <x v="169"/>
    <n v="265"/>
    <n v="255"/>
    <x v="4"/>
  </r>
  <r>
    <x v="3"/>
    <b v="0"/>
    <b v="0"/>
    <n v="57"/>
    <n v="0"/>
    <n v="0"/>
    <n v="125"/>
    <n v="0"/>
    <n v="0"/>
    <n v="182"/>
    <x v="38"/>
    <n v="0"/>
    <n v="0"/>
    <n v="0"/>
    <n v="0"/>
    <n v="182"/>
    <n v="0"/>
    <n v="0"/>
    <x v="170"/>
    <n v="182"/>
    <n v="182"/>
    <x v="4"/>
  </r>
  <r>
    <x v="3"/>
    <b v="0"/>
    <b v="0"/>
    <n v="0"/>
    <n v="0"/>
    <n v="0"/>
    <n v="165"/>
    <n v="0"/>
    <n v="0"/>
    <n v="165"/>
    <x v="38"/>
    <n v="0"/>
    <n v="0"/>
    <n v="0"/>
    <n v="0"/>
    <n v="165"/>
    <n v="0"/>
    <n v="0"/>
    <x v="171"/>
    <n v="165"/>
    <n v="165"/>
    <x v="4"/>
  </r>
  <r>
    <x v="3"/>
    <b v="0"/>
    <b v="0"/>
    <n v="0"/>
    <n v="0"/>
    <n v="0"/>
    <n v="84"/>
    <n v="0"/>
    <n v="0"/>
    <n v="84"/>
    <x v="38"/>
    <n v="0"/>
    <n v="0"/>
    <n v="0"/>
    <n v="0"/>
    <n v="84"/>
    <n v="0"/>
    <n v="0"/>
    <x v="172"/>
    <n v="84"/>
    <n v="84"/>
    <x v="4"/>
  </r>
  <r>
    <x v="3"/>
    <b v="0"/>
    <b v="0"/>
    <n v="6"/>
    <n v="0"/>
    <n v="0"/>
    <n v="46"/>
    <n v="0"/>
    <n v="0"/>
    <n v="52"/>
    <x v="38"/>
    <n v="0"/>
    <n v="0"/>
    <n v="0"/>
    <n v="0"/>
    <n v="52"/>
    <n v="0"/>
    <n v="0"/>
    <x v="173"/>
    <n v="52"/>
    <n v="52"/>
    <x v="4"/>
  </r>
  <r>
    <x v="3"/>
    <b v="0"/>
    <b v="0"/>
    <n v="21"/>
    <n v="0"/>
    <n v="0"/>
    <n v="49"/>
    <n v="0"/>
    <n v="0"/>
    <n v="70"/>
    <x v="38"/>
    <n v="0"/>
    <n v="0"/>
    <n v="0"/>
    <n v="0"/>
    <n v="70"/>
    <n v="0"/>
    <n v="0"/>
    <x v="174"/>
    <n v="70"/>
    <n v="70"/>
    <x v="0"/>
  </r>
  <r>
    <x v="3"/>
    <b v="0"/>
    <b v="0"/>
    <n v="12"/>
    <n v="0"/>
    <n v="0"/>
    <n v="32"/>
    <n v="0"/>
    <n v="0"/>
    <n v="44"/>
    <x v="38"/>
    <n v="0"/>
    <n v="0"/>
    <n v="0"/>
    <n v="0"/>
    <n v="44"/>
    <n v="0"/>
    <n v="0"/>
    <x v="175"/>
    <n v="44"/>
    <n v="44"/>
    <x v="0"/>
  </r>
  <r>
    <x v="3"/>
    <b v="0"/>
    <b v="0"/>
    <n v="15"/>
    <n v="0"/>
    <n v="0"/>
    <n v="41"/>
    <n v="0"/>
    <n v="0"/>
    <n v="56"/>
    <x v="38"/>
    <n v="0"/>
    <n v="0"/>
    <n v="0"/>
    <n v="0"/>
    <n v="56"/>
    <n v="0"/>
    <n v="0"/>
    <x v="176"/>
    <n v="56"/>
    <n v="56"/>
    <x v="0"/>
  </r>
  <r>
    <x v="3"/>
    <b v="0"/>
    <b v="0"/>
    <n v="33"/>
    <n v="0"/>
    <n v="0"/>
    <n v="90"/>
    <n v="0"/>
    <n v="0"/>
    <n v="123"/>
    <x v="38"/>
    <n v="0"/>
    <n v="0"/>
    <n v="0"/>
    <n v="0"/>
    <n v="123"/>
    <n v="0"/>
    <n v="0"/>
    <x v="177"/>
    <n v="123"/>
    <n v="123"/>
    <x v="0"/>
  </r>
  <r>
    <x v="3"/>
    <b v="0"/>
    <b v="0"/>
    <n v="30"/>
    <n v="0"/>
    <n v="0"/>
    <n v="61"/>
    <n v="0"/>
    <n v="0"/>
    <n v="91"/>
    <x v="38"/>
    <n v="0"/>
    <n v="0"/>
    <n v="0"/>
    <n v="0"/>
    <n v="91"/>
    <n v="0"/>
    <n v="0"/>
    <x v="178"/>
    <n v="91"/>
    <n v="91"/>
    <x v="0"/>
  </r>
  <r>
    <x v="3"/>
    <b v="0"/>
    <b v="0"/>
    <n v="201"/>
    <n v="0"/>
    <n v="0"/>
    <n v="0"/>
    <n v="0"/>
    <n v="0"/>
    <n v="201"/>
    <x v="38"/>
    <n v="0"/>
    <n v="0"/>
    <n v="0"/>
    <n v="15"/>
    <n v="201"/>
    <n v="0"/>
    <n v="0"/>
    <x v="179"/>
    <n v="216"/>
    <n v="201"/>
    <x v="0"/>
  </r>
  <r>
    <x v="3"/>
    <b v="0"/>
    <b v="0"/>
    <n v="288"/>
    <n v="0"/>
    <n v="0"/>
    <n v="185"/>
    <n v="0"/>
    <n v="0"/>
    <n v="473"/>
    <x v="38"/>
    <n v="0"/>
    <n v="0"/>
    <n v="0"/>
    <n v="31"/>
    <n v="473"/>
    <n v="0"/>
    <n v="0"/>
    <x v="180"/>
    <n v="504"/>
    <n v="473"/>
    <x v="0"/>
  </r>
  <r>
    <x v="3"/>
    <b v="0"/>
    <b v="0"/>
    <n v="244"/>
    <n v="0"/>
    <n v="0"/>
    <n v="0"/>
    <n v="0"/>
    <n v="0"/>
    <n v="244"/>
    <x v="38"/>
    <n v="0"/>
    <n v="0"/>
    <n v="0"/>
    <n v="12"/>
    <n v="244"/>
    <n v="0"/>
    <n v="0"/>
    <x v="181"/>
    <n v="256"/>
    <n v="244"/>
    <x v="0"/>
  </r>
  <r>
    <x v="3"/>
    <b v="0"/>
    <b v="0"/>
    <n v="89"/>
    <n v="0"/>
    <n v="0"/>
    <n v="120"/>
    <n v="0"/>
    <n v="0"/>
    <n v="209"/>
    <x v="38"/>
    <n v="0"/>
    <n v="0"/>
    <n v="0"/>
    <n v="0"/>
    <n v="209"/>
    <n v="0"/>
    <n v="0"/>
    <x v="182"/>
    <n v="209"/>
    <n v="209"/>
    <x v="0"/>
  </r>
  <r>
    <x v="3"/>
    <b v="0"/>
    <b v="0"/>
    <n v="60"/>
    <n v="0"/>
    <n v="0"/>
    <n v="140"/>
    <n v="0"/>
    <n v="0"/>
    <n v="200"/>
    <x v="38"/>
    <n v="0"/>
    <n v="0"/>
    <n v="0"/>
    <n v="0"/>
    <n v="200"/>
    <n v="0"/>
    <n v="0"/>
    <x v="183"/>
    <n v="200"/>
    <n v="200"/>
    <x v="0"/>
  </r>
  <r>
    <x v="3"/>
    <b v="0"/>
    <b v="0"/>
    <n v="40"/>
    <n v="0"/>
    <n v="0"/>
    <n v="76"/>
    <n v="0"/>
    <n v="0"/>
    <n v="116"/>
    <x v="38"/>
    <n v="0"/>
    <n v="0"/>
    <n v="0"/>
    <n v="0"/>
    <n v="116"/>
    <n v="0"/>
    <n v="0"/>
    <x v="184"/>
    <n v="116"/>
    <n v="116"/>
    <x v="0"/>
  </r>
  <r>
    <x v="3"/>
    <b v="0"/>
    <b v="0"/>
    <n v="21"/>
    <n v="0"/>
    <n v="0"/>
    <n v="501"/>
    <n v="0"/>
    <n v="0"/>
    <n v="522"/>
    <x v="38"/>
    <n v="0"/>
    <n v="0"/>
    <n v="0"/>
    <n v="0"/>
    <n v="522"/>
    <n v="0"/>
    <n v="0"/>
    <x v="185"/>
    <n v="522"/>
    <n v="522"/>
    <x v="0"/>
  </r>
  <r>
    <x v="3"/>
    <b v="0"/>
    <b v="0"/>
    <n v="0"/>
    <n v="0"/>
    <n v="0"/>
    <n v="38"/>
    <n v="0"/>
    <n v="0"/>
    <n v="38"/>
    <x v="38"/>
    <n v="0"/>
    <n v="0"/>
    <n v="0"/>
    <n v="0"/>
    <n v="38"/>
    <n v="0"/>
    <n v="0"/>
    <x v="186"/>
    <n v="38"/>
    <n v="38"/>
    <x v="1"/>
  </r>
  <r>
    <x v="3"/>
    <b v="0"/>
    <b v="0"/>
    <n v="0"/>
    <n v="0"/>
    <n v="0"/>
    <n v="32"/>
    <n v="0"/>
    <n v="0"/>
    <n v="32"/>
    <x v="38"/>
    <n v="0"/>
    <n v="0"/>
    <n v="0"/>
    <n v="0"/>
    <n v="32"/>
    <n v="0"/>
    <n v="0"/>
    <x v="187"/>
    <n v="32"/>
    <n v="32"/>
    <x v="1"/>
  </r>
  <r>
    <x v="3"/>
    <b v="0"/>
    <b v="0"/>
    <n v="0"/>
    <n v="0"/>
    <n v="0"/>
    <n v="49"/>
    <n v="0"/>
    <n v="0"/>
    <n v="49"/>
    <x v="38"/>
    <n v="0"/>
    <n v="0"/>
    <n v="0"/>
    <n v="0"/>
    <n v="49"/>
    <n v="0"/>
    <n v="0"/>
    <x v="188"/>
    <n v="49"/>
    <n v="49"/>
    <x v="1"/>
  </r>
  <r>
    <x v="3"/>
    <b v="0"/>
    <b v="0"/>
    <n v="0"/>
    <n v="0"/>
    <n v="0"/>
    <n v="90"/>
    <n v="0"/>
    <n v="0"/>
    <n v="90"/>
    <x v="38"/>
    <n v="0"/>
    <n v="0"/>
    <n v="0"/>
    <n v="0"/>
    <n v="90"/>
    <n v="0"/>
    <n v="0"/>
    <x v="189"/>
    <n v="90"/>
    <n v="90"/>
    <x v="1"/>
  </r>
  <r>
    <x v="3"/>
    <b v="0"/>
    <b v="0"/>
    <n v="0"/>
    <n v="0"/>
    <n v="0"/>
    <n v="197"/>
    <n v="0"/>
    <n v="0"/>
    <n v="197"/>
    <x v="38"/>
    <n v="0"/>
    <n v="0"/>
    <n v="0"/>
    <n v="0"/>
    <n v="197"/>
    <n v="0"/>
    <n v="0"/>
    <x v="190"/>
    <n v="197"/>
    <n v="197"/>
    <x v="1"/>
  </r>
  <r>
    <x v="3"/>
    <b v="0"/>
    <b v="0"/>
    <n v="0"/>
    <n v="0"/>
    <n v="0"/>
    <n v="93"/>
    <n v="0"/>
    <n v="0"/>
    <n v="93"/>
    <x v="38"/>
    <n v="0"/>
    <n v="0"/>
    <n v="0"/>
    <n v="5"/>
    <n v="93"/>
    <n v="0"/>
    <n v="0"/>
    <x v="191"/>
    <n v="98"/>
    <n v="93"/>
    <x v="1"/>
  </r>
  <r>
    <x v="3"/>
    <b v="0"/>
    <b v="0"/>
    <n v="291"/>
    <n v="0"/>
    <n v="0"/>
    <n v="194"/>
    <n v="0"/>
    <n v="0"/>
    <n v="485"/>
    <x v="38"/>
    <n v="0"/>
    <n v="0"/>
    <n v="0"/>
    <n v="49"/>
    <n v="485"/>
    <n v="0"/>
    <n v="0"/>
    <x v="192"/>
    <n v="534"/>
    <n v="485"/>
    <x v="1"/>
  </r>
  <r>
    <x v="3"/>
    <b v="0"/>
    <b v="0"/>
    <n v="264"/>
    <n v="0"/>
    <n v="0"/>
    <n v="0"/>
    <n v="0"/>
    <n v="0"/>
    <n v="264"/>
    <x v="38"/>
    <n v="0"/>
    <n v="0"/>
    <n v="0"/>
    <n v="0"/>
    <n v="264"/>
    <n v="0"/>
    <n v="0"/>
    <x v="193"/>
    <n v="264"/>
    <n v="264"/>
    <x v="1"/>
  </r>
  <r>
    <x v="3"/>
    <b v="0"/>
    <b v="0"/>
    <n v="94"/>
    <n v="0"/>
    <n v="0"/>
    <n v="110"/>
    <n v="0"/>
    <n v="0"/>
    <n v="204"/>
    <x v="38"/>
    <n v="0"/>
    <n v="0"/>
    <n v="0"/>
    <n v="0"/>
    <n v="204"/>
    <n v="0"/>
    <n v="0"/>
    <x v="194"/>
    <n v="204"/>
    <n v="204"/>
    <x v="1"/>
  </r>
  <r>
    <x v="3"/>
    <b v="0"/>
    <b v="0"/>
    <n v="65"/>
    <n v="0"/>
    <n v="0"/>
    <n v="149"/>
    <n v="0"/>
    <n v="0"/>
    <n v="214"/>
    <x v="38"/>
    <n v="0"/>
    <n v="0"/>
    <n v="0"/>
    <n v="0"/>
    <n v="214"/>
    <n v="0"/>
    <n v="0"/>
    <x v="195"/>
    <n v="214"/>
    <n v="214"/>
    <x v="1"/>
  </r>
  <r>
    <x v="3"/>
    <b v="0"/>
    <b v="0"/>
    <n v="46"/>
    <n v="0"/>
    <n v="0"/>
    <n v="85"/>
    <n v="0"/>
    <n v="0"/>
    <n v="131"/>
    <x v="38"/>
    <n v="0"/>
    <n v="0"/>
    <n v="0"/>
    <n v="0"/>
    <n v="131"/>
    <n v="0"/>
    <n v="0"/>
    <x v="196"/>
    <n v="131"/>
    <n v="131"/>
    <x v="1"/>
  </r>
  <r>
    <x v="3"/>
    <b v="0"/>
    <b v="0"/>
    <n v="27"/>
    <n v="0"/>
    <n v="0"/>
    <n v="0"/>
    <n v="0"/>
    <n v="0"/>
    <n v="27"/>
    <x v="38"/>
    <n v="0"/>
    <n v="0"/>
    <n v="0"/>
    <n v="0"/>
    <n v="27"/>
    <n v="0"/>
    <n v="0"/>
    <x v="197"/>
    <n v="27"/>
    <n v="27"/>
    <x v="1"/>
  </r>
  <r>
    <x v="3"/>
    <b v="0"/>
    <b v="0"/>
    <n v="48"/>
    <n v="0"/>
    <n v="0"/>
    <n v="0"/>
    <n v="0"/>
    <n v="0"/>
    <n v="48"/>
    <x v="38"/>
    <n v="0"/>
    <n v="0"/>
    <n v="0"/>
    <n v="0"/>
    <n v="48"/>
    <n v="0"/>
    <n v="0"/>
    <x v="198"/>
    <n v="48"/>
    <n v="48"/>
    <x v="1"/>
  </r>
  <r>
    <x v="3"/>
    <b v="0"/>
    <b v="0"/>
    <n v="66"/>
    <n v="0"/>
    <n v="0"/>
    <n v="81"/>
    <n v="0"/>
    <n v="0"/>
    <n v="147"/>
    <x v="38"/>
    <n v="0"/>
    <n v="0"/>
    <n v="0"/>
    <n v="2"/>
    <n v="147"/>
    <n v="0"/>
    <n v="0"/>
    <x v="199"/>
    <n v="149"/>
    <n v="147"/>
    <x v="1"/>
  </r>
  <r>
    <x v="3"/>
    <b v="0"/>
    <b v="0"/>
    <n v="18"/>
    <n v="0"/>
    <n v="0"/>
    <n v="183"/>
    <n v="0"/>
    <n v="0"/>
    <n v="201"/>
    <x v="38"/>
    <n v="0"/>
    <n v="0"/>
    <n v="0"/>
    <n v="4"/>
    <n v="201"/>
    <n v="0"/>
    <n v="0"/>
    <x v="200"/>
    <n v="205"/>
    <n v="201"/>
    <x v="1"/>
  </r>
  <r>
    <x v="3"/>
    <b v="0"/>
    <b v="0"/>
    <n v="198"/>
    <n v="0"/>
    <n v="0"/>
    <n v="84"/>
    <n v="0"/>
    <n v="0"/>
    <n v="282"/>
    <x v="38"/>
    <n v="0"/>
    <n v="0"/>
    <n v="0"/>
    <n v="0"/>
    <n v="282"/>
    <n v="0"/>
    <n v="0"/>
    <x v="201"/>
    <n v="282"/>
    <n v="282"/>
    <x v="1"/>
  </r>
  <r>
    <x v="3"/>
    <b v="0"/>
    <b v="0"/>
    <n v="216"/>
    <n v="0"/>
    <n v="0"/>
    <n v="200"/>
    <n v="0"/>
    <n v="0"/>
    <n v="416"/>
    <x v="38"/>
    <n v="0"/>
    <n v="0"/>
    <n v="0"/>
    <n v="0"/>
    <n v="416"/>
    <n v="0"/>
    <n v="0"/>
    <x v="202"/>
    <n v="416"/>
    <n v="416"/>
    <x v="1"/>
  </r>
  <r>
    <x v="3"/>
    <b v="0"/>
    <b v="0"/>
    <n v="180"/>
    <n v="0"/>
    <n v="0"/>
    <n v="215"/>
    <n v="0"/>
    <n v="0"/>
    <n v="395"/>
    <x v="38"/>
    <n v="0"/>
    <n v="0"/>
    <n v="0"/>
    <n v="0"/>
    <n v="395"/>
    <n v="0"/>
    <n v="0"/>
    <x v="203"/>
    <n v="395"/>
    <n v="395"/>
    <x v="1"/>
  </r>
  <r>
    <x v="3"/>
    <b v="0"/>
    <b v="0"/>
    <n v="0"/>
    <n v="0"/>
    <n v="0"/>
    <n v="264"/>
    <n v="0"/>
    <n v="0"/>
    <n v="264"/>
    <x v="38"/>
    <n v="0"/>
    <n v="0"/>
    <n v="0"/>
    <n v="0"/>
    <n v="264"/>
    <n v="0"/>
    <n v="0"/>
    <x v="204"/>
    <n v="264"/>
    <n v="264"/>
    <x v="1"/>
  </r>
  <r>
    <x v="3"/>
    <b v="0"/>
    <b v="0"/>
    <n v="0"/>
    <n v="0"/>
    <n v="0"/>
    <n v="212"/>
    <n v="0"/>
    <n v="0"/>
    <n v="212"/>
    <x v="38"/>
    <n v="0"/>
    <n v="0"/>
    <n v="0"/>
    <n v="0"/>
    <n v="212"/>
    <n v="0"/>
    <n v="0"/>
    <x v="205"/>
    <n v="212"/>
    <n v="212"/>
    <x v="1"/>
  </r>
  <r>
    <x v="3"/>
    <b v="0"/>
    <b v="0"/>
    <n v="0"/>
    <n v="0"/>
    <n v="0"/>
    <n v="142"/>
    <n v="0"/>
    <n v="0"/>
    <n v="142"/>
    <x v="38"/>
    <n v="0"/>
    <n v="0"/>
    <n v="0"/>
    <n v="0"/>
    <n v="142"/>
    <n v="0"/>
    <n v="0"/>
    <x v="206"/>
    <n v="142"/>
    <n v="142"/>
    <x v="1"/>
  </r>
  <r>
    <x v="3"/>
    <b v="0"/>
    <b v="0"/>
    <n v="0"/>
    <n v="0"/>
    <n v="0"/>
    <n v="145"/>
    <n v="0"/>
    <n v="0"/>
    <n v="145"/>
    <x v="38"/>
    <n v="0"/>
    <n v="0"/>
    <n v="0"/>
    <n v="0"/>
    <n v="145"/>
    <n v="0"/>
    <n v="0"/>
    <x v="207"/>
    <n v="145"/>
    <n v="145"/>
    <x v="1"/>
  </r>
  <r>
    <x v="3"/>
    <b v="0"/>
    <b v="0"/>
    <n v="0"/>
    <n v="0"/>
    <n v="0"/>
    <n v="87"/>
    <n v="0"/>
    <n v="0"/>
    <n v="87"/>
    <x v="38"/>
    <n v="0"/>
    <n v="0"/>
    <n v="0"/>
    <n v="0"/>
    <n v="87"/>
    <n v="0"/>
    <n v="0"/>
    <x v="208"/>
    <n v="87"/>
    <n v="87"/>
    <x v="1"/>
  </r>
  <r>
    <x v="3"/>
    <b v="0"/>
    <b v="0"/>
    <n v="0"/>
    <n v="0"/>
    <n v="0"/>
    <n v="87"/>
    <n v="0"/>
    <n v="0"/>
    <n v="87"/>
    <x v="38"/>
    <n v="0"/>
    <n v="0"/>
    <n v="0"/>
    <n v="0"/>
    <n v="87"/>
    <n v="0"/>
    <n v="0"/>
    <x v="209"/>
    <n v="87"/>
    <n v="87"/>
    <x v="1"/>
  </r>
  <r>
    <x v="3"/>
    <b v="0"/>
    <b v="0"/>
    <n v="60"/>
    <n v="0"/>
    <n v="0"/>
    <n v="32"/>
    <n v="0"/>
    <n v="0"/>
    <n v="92"/>
    <x v="38"/>
    <n v="0"/>
    <n v="0"/>
    <n v="0"/>
    <n v="0"/>
    <n v="92"/>
    <n v="0"/>
    <n v="0"/>
    <x v="210"/>
    <n v="92"/>
    <n v="92"/>
    <x v="1"/>
  </r>
  <r>
    <x v="3"/>
    <b v="0"/>
    <b v="0"/>
    <n v="0"/>
    <n v="0"/>
    <n v="0"/>
    <n v="621"/>
    <n v="0"/>
    <n v="0"/>
    <n v="621"/>
    <x v="38"/>
    <n v="0"/>
    <n v="0"/>
    <n v="0"/>
    <n v="41"/>
    <n v="621"/>
    <n v="0"/>
    <n v="0"/>
    <x v="211"/>
    <n v="662"/>
    <n v="621"/>
    <x v="1"/>
  </r>
  <r>
    <x v="3"/>
    <b v="0"/>
    <b v="0"/>
    <n v="18"/>
    <n v="7"/>
    <n v="0"/>
    <n v="832"/>
    <n v="0"/>
    <n v="0"/>
    <n v="857"/>
    <x v="38"/>
    <n v="0"/>
    <n v="0"/>
    <n v="0"/>
    <n v="50"/>
    <n v="857"/>
    <n v="0"/>
    <n v="0"/>
    <x v="212"/>
    <n v="907"/>
    <n v="857"/>
    <x v="1"/>
  </r>
  <r>
    <x v="3"/>
    <b v="0"/>
    <b v="0"/>
    <n v="0"/>
    <n v="0"/>
    <n v="0"/>
    <n v="980"/>
    <n v="0"/>
    <n v="0"/>
    <n v="980"/>
    <x v="38"/>
    <n v="0"/>
    <n v="0"/>
    <n v="0"/>
    <n v="64"/>
    <n v="980"/>
    <n v="0"/>
    <n v="0"/>
    <x v="213"/>
    <n v="1044"/>
    <n v="980"/>
    <x v="1"/>
  </r>
  <r>
    <x v="3"/>
    <b v="0"/>
    <b v="0"/>
    <n v="0"/>
    <n v="0"/>
    <n v="0"/>
    <n v="1027"/>
    <n v="0"/>
    <n v="0"/>
    <n v="1027"/>
    <x v="38"/>
    <n v="0"/>
    <n v="0"/>
    <n v="0"/>
    <n v="73"/>
    <n v="1027"/>
    <n v="0"/>
    <n v="0"/>
    <x v="214"/>
    <n v="1100"/>
    <n v="1027"/>
    <x v="1"/>
  </r>
  <r>
    <x v="3"/>
    <b v="0"/>
    <b v="0"/>
    <n v="0"/>
    <n v="0"/>
    <n v="0"/>
    <n v="922"/>
    <n v="0"/>
    <n v="0"/>
    <n v="922"/>
    <x v="38"/>
    <n v="0"/>
    <n v="0"/>
    <n v="0"/>
    <n v="62"/>
    <n v="922"/>
    <n v="0"/>
    <n v="0"/>
    <x v="215"/>
    <n v="984"/>
    <n v="922"/>
    <x v="1"/>
  </r>
  <r>
    <x v="3"/>
    <b v="0"/>
    <b v="0"/>
    <n v="0"/>
    <n v="0"/>
    <n v="0"/>
    <n v="705"/>
    <n v="0"/>
    <n v="0"/>
    <n v="705"/>
    <x v="38"/>
    <n v="0"/>
    <n v="0"/>
    <n v="0"/>
    <n v="45"/>
    <n v="705"/>
    <n v="0"/>
    <n v="0"/>
    <x v="216"/>
    <n v="750"/>
    <n v="705"/>
    <x v="1"/>
  </r>
  <r>
    <x v="3"/>
    <b v="0"/>
    <b v="0"/>
    <n v="0"/>
    <n v="0"/>
    <n v="0"/>
    <n v="734"/>
    <n v="0"/>
    <n v="0"/>
    <n v="734"/>
    <x v="38"/>
    <n v="0"/>
    <n v="0"/>
    <n v="0"/>
    <n v="39"/>
    <n v="734"/>
    <n v="0"/>
    <n v="0"/>
    <x v="217"/>
    <n v="773"/>
    <n v="734"/>
    <x v="1"/>
  </r>
  <r>
    <x v="3"/>
    <b v="0"/>
    <b v="0"/>
    <n v="0"/>
    <n v="0"/>
    <n v="0"/>
    <n v="809"/>
    <n v="0"/>
    <n v="0"/>
    <n v="809"/>
    <x v="38"/>
    <n v="0"/>
    <n v="0"/>
    <n v="0"/>
    <n v="50"/>
    <n v="809"/>
    <n v="0"/>
    <n v="0"/>
    <x v="218"/>
    <n v="859"/>
    <n v="809"/>
    <x v="1"/>
  </r>
  <r>
    <x v="3"/>
    <b v="0"/>
    <b v="0"/>
    <n v="0"/>
    <n v="0"/>
    <n v="0"/>
    <n v="731"/>
    <n v="0"/>
    <n v="0"/>
    <n v="731"/>
    <x v="38"/>
    <n v="0"/>
    <n v="0"/>
    <n v="0"/>
    <n v="54"/>
    <n v="731"/>
    <n v="0"/>
    <n v="0"/>
    <x v="219"/>
    <n v="785"/>
    <n v="731"/>
    <x v="1"/>
  </r>
  <r>
    <x v="3"/>
    <b v="0"/>
    <b v="0"/>
    <n v="0"/>
    <n v="0"/>
    <n v="0"/>
    <n v="505"/>
    <n v="0"/>
    <n v="0"/>
    <n v="505"/>
    <x v="38"/>
    <n v="0"/>
    <n v="0"/>
    <n v="0"/>
    <n v="0"/>
    <n v="505"/>
    <n v="0"/>
    <n v="0"/>
    <x v="220"/>
    <n v="505"/>
    <n v="505"/>
    <x v="1"/>
  </r>
  <r>
    <x v="3"/>
    <b v="0"/>
    <b v="0"/>
    <n v="0"/>
    <n v="0"/>
    <n v="0"/>
    <n v="487"/>
    <n v="0"/>
    <n v="0"/>
    <n v="487"/>
    <x v="38"/>
    <n v="0"/>
    <n v="0"/>
    <n v="0"/>
    <n v="45"/>
    <n v="487"/>
    <n v="0"/>
    <n v="0"/>
    <x v="221"/>
    <n v="532"/>
    <n v="487"/>
    <x v="1"/>
  </r>
  <r>
    <x v="3"/>
    <b v="0"/>
    <b v="0"/>
    <n v="0"/>
    <n v="0"/>
    <n v="0"/>
    <n v="510"/>
    <n v="0"/>
    <n v="0"/>
    <n v="510"/>
    <x v="38"/>
    <n v="0"/>
    <n v="0"/>
    <n v="0"/>
    <n v="34"/>
    <n v="510"/>
    <n v="0"/>
    <n v="0"/>
    <x v="222"/>
    <n v="544"/>
    <n v="510"/>
    <x v="1"/>
  </r>
  <r>
    <x v="3"/>
    <b v="0"/>
    <b v="0"/>
    <n v="0"/>
    <n v="0"/>
    <n v="0"/>
    <n v="571"/>
    <n v="0"/>
    <n v="0"/>
    <n v="571"/>
    <x v="38"/>
    <n v="0"/>
    <n v="0"/>
    <n v="0"/>
    <n v="35"/>
    <n v="571"/>
    <n v="0"/>
    <n v="0"/>
    <x v="223"/>
    <n v="606"/>
    <n v="571"/>
    <x v="1"/>
  </r>
  <r>
    <x v="3"/>
    <b v="0"/>
    <b v="0"/>
    <n v="0"/>
    <n v="0"/>
    <n v="0"/>
    <n v="484"/>
    <n v="0"/>
    <n v="0"/>
    <n v="484"/>
    <x v="38"/>
    <n v="0"/>
    <n v="0"/>
    <n v="0"/>
    <n v="36"/>
    <n v="484"/>
    <n v="0"/>
    <n v="0"/>
    <x v="224"/>
    <n v="520"/>
    <n v="484"/>
    <x v="1"/>
  </r>
  <r>
    <x v="3"/>
    <b v="0"/>
    <b v="0"/>
    <n v="0"/>
    <n v="0"/>
    <n v="0"/>
    <n v="38"/>
    <n v="0"/>
    <n v="0"/>
    <n v="38"/>
    <x v="38"/>
    <n v="0"/>
    <n v="0"/>
    <n v="0"/>
    <n v="2"/>
    <n v="38"/>
    <n v="0"/>
    <n v="0"/>
    <x v="225"/>
    <n v="40"/>
    <n v="38"/>
    <x v="1"/>
  </r>
  <r>
    <x v="3"/>
    <b v="1"/>
    <b v="0"/>
    <n v="0"/>
    <n v="0"/>
    <n v="0"/>
    <n v="0"/>
    <n v="0"/>
    <n v="0"/>
    <n v="0"/>
    <x v="38"/>
    <n v="0"/>
    <n v="0"/>
    <n v="0"/>
    <n v="0"/>
    <n v="0"/>
    <n v="0"/>
    <n v="0"/>
    <x v="226"/>
    <n v="0"/>
    <n v="0"/>
    <x v="1"/>
  </r>
  <r>
    <x v="3"/>
    <b v="0"/>
    <b v="0"/>
    <n v="0"/>
    <n v="0"/>
    <n v="0"/>
    <n v="0"/>
    <n v="180"/>
    <n v="0"/>
    <n v="180"/>
    <x v="38"/>
    <n v="0"/>
    <n v="0"/>
    <n v="0"/>
    <n v="0"/>
    <n v="180"/>
    <n v="0"/>
    <n v="0"/>
    <x v="227"/>
    <n v="180"/>
    <n v="180"/>
    <x v="1"/>
  </r>
  <r>
    <x v="3"/>
    <b v="0"/>
    <b v="0"/>
    <n v="0"/>
    <n v="0"/>
    <n v="0"/>
    <n v="0"/>
    <n v="171"/>
    <n v="0"/>
    <n v="171"/>
    <x v="38"/>
    <n v="0"/>
    <n v="0"/>
    <n v="0"/>
    <n v="0"/>
    <n v="171"/>
    <n v="0"/>
    <n v="0"/>
    <x v="228"/>
    <n v="171"/>
    <n v="171"/>
    <x v="1"/>
  </r>
  <r>
    <x v="3"/>
    <b v="0"/>
    <b v="0"/>
    <n v="0"/>
    <n v="0"/>
    <n v="0"/>
    <n v="0"/>
    <n v="0"/>
    <n v="0"/>
    <n v="0"/>
    <x v="38"/>
    <n v="0"/>
    <n v="0"/>
    <n v="0"/>
    <n v="0"/>
    <n v="0"/>
    <n v="0"/>
    <n v="0"/>
    <x v="228"/>
    <n v="0"/>
    <n v="0"/>
    <x v="1"/>
  </r>
  <r>
    <x v="3"/>
    <b v="0"/>
    <b v="0"/>
    <n v="0"/>
    <n v="0"/>
    <n v="0"/>
    <n v="0"/>
    <n v="114"/>
    <n v="0"/>
    <n v="114"/>
    <x v="38"/>
    <n v="0"/>
    <n v="0"/>
    <n v="0"/>
    <n v="0"/>
    <n v="114"/>
    <n v="0"/>
    <n v="0"/>
    <x v="229"/>
    <n v="114"/>
    <n v="114"/>
    <x v="1"/>
  </r>
  <r>
    <x v="3"/>
    <b v="0"/>
    <b v="0"/>
    <n v="0"/>
    <n v="0"/>
    <n v="0"/>
    <n v="0"/>
    <n v="0"/>
    <n v="0"/>
    <n v="0"/>
    <x v="38"/>
    <n v="0"/>
    <n v="0"/>
    <n v="0"/>
    <n v="0"/>
    <n v="0"/>
    <n v="0"/>
    <n v="0"/>
    <x v="229"/>
    <n v="0"/>
    <n v="0"/>
    <x v="1"/>
  </r>
  <r>
    <x v="3"/>
    <b v="0"/>
    <b v="0"/>
    <n v="0"/>
    <n v="0"/>
    <n v="0"/>
    <n v="0"/>
    <n v="136"/>
    <n v="0"/>
    <n v="136"/>
    <x v="38"/>
    <n v="0"/>
    <n v="0"/>
    <n v="0"/>
    <n v="0"/>
    <n v="136"/>
    <n v="0"/>
    <n v="0"/>
    <x v="230"/>
    <n v="136"/>
    <n v="136"/>
    <x v="1"/>
  </r>
  <r>
    <x v="3"/>
    <b v="0"/>
    <b v="0"/>
    <n v="0"/>
    <n v="0"/>
    <n v="0"/>
    <n v="0"/>
    <n v="0"/>
    <n v="0"/>
    <n v="0"/>
    <x v="38"/>
    <n v="0"/>
    <n v="0"/>
    <n v="0"/>
    <n v="0"/>
    <n v="0"/>
    <n v="0"/>
    <n v="0"/>
    <x v="231"/>
    <n v="0"/>
    <n v="0"/>
    <x v="1"/>
  </r>
  <r>
    <x v="3"/>
    <b v="0"/>
    <b v="0"/>
    <n v="0"/>
    <n v="0"/>
    <n v="0"/>
    <n v="0"/>
    <n v="0"/>
    <n v="0"/>
    <n v="0"/>
    <x v="38"/>
    <n v="0"/>
    <n v="0"/>
    <n v="0"/>
    <n v="0"/>
    <n v="0"/>
    <n v="0"/>
    <n v="0"/>
    <x v="232"/>
    <n v="0"/>
    <n v="0"/>
    <x v="1"/>
  </r>
  <r>
    <x v="3"/>
    <b v="0"/>
    <b v="0"/>
    <n v="0"/>
    <n v="0"/>
    <n v="0"/>
    <n v="0"/>
    <n v="0"/>
    <n v="0"/>
    <n v="0"/>
    <x v="38"/>
    <n v="0"/>
    <n v="0"/>
    <n v="0"/>
    <n v="0"/>
    <n v="0"/>
    <n v="0"/>
    <n v="0"/>
    <x v="233"/>
    <n v="0"/>
    <n v="0"/>
    <x v="1"/>
  </r>
  <r>
    <x v="4"/>
    <b v="0"/>
    <b v="0"/>
    <n v="2695"/>
    <n v="0"/>
    <n v="0"/>
    <n v="1063"/>
    <n v="0"/>
    <n v="0"/>
    <n v="3758"/>
    <x v="265"/>
    <n v="0"/>
    <n v="552"/>
    <n v="4543"/>
    <n v="0"/>
    <n v="8301"/>
    <n v="0"/>
    <n v="0"/>
    <x v="0"/>
    <n v="8301"/>
    <n v="3758"/>
    <x v="0"/>
  </r>
  <r>
    <x v="4"/>
    <b v="0"/>
    <b v="0"/>
    <n v="2695"/>
    <n v="0"/>
    <n v="0"/>
    <n v="1083"/>
    <n v="0"/>
    <n v="0"/>
    <n v="3778"/>
    <x v="266"/>
    <n v="0"/>
    <n v="360"/>
    <n v="4804"/>
    <n v="0"/>
    <n v="8582"/>
    <n v="0"/>
    <n v="0"/>
    <x v="1"/>
    <n v="8582"/>
    <n v="3778"/>
    <x v="0"/>
  </r>
  <r>
    <x v="4"/>
    <b v="0"/>
    <b v="0"/>
    <n v="1898"/>
    <n v="0"/>
    <n v="0"/>
    <n v="432"/>
    <n v="0"/>
    <n v="0"/>
    <n v="2330"/>
    <x v="267"/>
    <n v="0"/>
    <n v="279"/>
    <n v="3103"/>
    <n v="0"/>
    <n v="5433"/>
    <n v="0"/>
    <n v="0"/>
    <x v="2"/>
    <n v="5433"/>
    <n v="2330"/>
    <x v="0"/>
  </r>
  <r>
    <x v="4"/>
    <b v="0"/>
    <b v="0"/>
    <n v="678"/>
    <n v="0"/>
    <n v="0"/>
    <n v="316"/>
    <n v="0"/>
    <n v="0"/>
    <n v="994"/>
    <x v="268"/>
    <n v="0"/>
    <n v="101"/>
    <n v="1100"/>
    <n v="0"/>
    <n v="2094"/>
    <n v="0"/>
    <n v="0"/>
    <x v="3"/>
    <n v="2094"/>
    <n v="994"/>
    <x v="0"/>
  </r>
  <r>
    <x v="4"/>
    <b v="0"/>
    <b v="0"/>
    <n v="263"/>
    <n v="0"/>
    <n v="0"/>
    <n v="420"/>
    <n v="0"/>
    <n v="0"/>
    <n v="683"/>
    <x v="131"/>
    <n v="0"/>
    <n v="10"/>
    <n v="600"/>
    <n v="0"/>
    <n v="1283"/>
    <n v="0"/>
    <n v="0"/>
    <x v="4"/>
    <n v="1283"/>
    <n v="683"/>
    <x v="0"/>
  </r>
  <r>
    <x v="4"/>
    <b v="0"/>
    <b v="0"/>
    <n v="98"/>
    <n v="0"/>
    <n v="0"/>
    <n v="458"/>
    <n v="0"/>
    <n v="0"/>
    <n v="556"/>
    <x v="269"/>
    <n v="0"/>
    <n v="0"/>
    <n v="239"/>
    <n v="0"/>
    <n v="795"/>
    <n v="0"/>
    <n v="0"/>
    <x v="5"/>
    <n v="795"/>
    <n v="556"/>
    <x v="0"/>
  </r>
  <r>
    <x v="4"/>
    <b v="0"/>
    <b v="0"/>
    <n v="183"/>
    <n v="0"/>
    <n v="0"/>
    <n v="468"/>
    <n v="0"/>
    <n v="0"/>
    <n v="651"/>
    <x v="270"/>
    <n v="0"/>
    <n v="0"/>
    <n v="392"/>
    <n v="0"/>
    <n v="1043"/>
    <n v="0"/>
    <n v="0"/>
    <x v="6"/>
    <n v="1043"/>
    <n v="651"/>
    <x v="0"/>
  </r>
  <r>
    <x v="4"/>
    <b v="0"/>
    <b v="0"/>
    <n v="298"/>
    <n v="0"/>
    <n v="0"/>
    <n v="550"/>
    <n v="0"/>
    <n v="0"/>
    <n v="848"/>
    <x v="271"/>
    <n v="0"/>
    <n v="0"/>
    <n v="383"/>
    <n v="0"/>
    <n v="1231"/>
    <n v="0"/>
    <n v="0"/>
    <x v="7"/>
    <n v="1231"/>
    <n v="848"/>
    <x v="0"/>
  </r>
  <r>
    <x v="4"/>
    <b v="0"/>
    <b v="0"/>
    <n v="835"/>
    <n v="0"/>
    <n v="0"/>
    <n v="604"/>
    <n v="0"/>
    <n v="0"/>
    <n v="1439"/>
    <x v="272"/>
    <n v="0"/>
    <n v="0"/>
    <n v="738"/>
    <n v="0"/>
    <n v="2177"/>
    <n v="0"/>
    <n v="0"/>
    <x v="8"/>
    <n v="2177"/>
    <n v="1439"/>
    <x v="0"/>
  </r>
  <r>
    <x v="4"/>
    <b v="0"/>
    <b v="0"/>
    <n v="1023"/>
    <n v="0"/>
    <n v="0"/>
    <n v="380"/>
    <n v="0"/>
    <n v="0"/>
    <n v="1403"/>
    <x v="273"/>
    <n v="0"/>
    <n v="93"/>
    <n v="1457"/>
    <n v="0"/>
    <n v="2860"/>
    <n v="0"/>
    <n v="0"/>
    <x v="9"/>
    <n v="2860"/>
    <n v="1403"/>
    <x v="0"/>
  </r>
  <r>
    <x v="4"/>
    <b v="0"/>
    <b v="0"/>
    <n v="1713"/>
    <n v="0"/>
    <n v="0"/>
    <n v="754"/>
    <n v="0"/>
    <n v="0"/>
    <n v="2467"/>
    <x v="274"/>
    <n v="0"/>
    <n v="0"/>
    <n v="2270"/>
    <n v="0"/>
    <n v="4737"/>
    <n v="0"/>
    <n v="0"/>
    <x v="10"/>
    <n v="4737"/>
    <n v="2467"/>
    <x v="0"/>
  </r>
  <r>
    <x v="4"/>
    <b v="0"/>
    <b v="0"/>
    <n v="3408"/>
    <n v="0"/>
    <n v="0"/>
    <n v="1032"/>
    <n v="0"/>
    <n v="0"/>
    <n v="4440"/>
    <x v="275"/>
    <n v="0"/>
    <n v="200"/>
    <n v="3909"/>
    <n v="0"/>
    <n v="8349"/>
    <n v="0"/>
    <n v="0"/>
    <x v="11"/>
    <n v="8349"/>
    <n v="4440"/>
    <x v="0"/>
  </r>
  <r>
    <x v="4"/>
    <b v="0"/>
    <b v="0"/>
    <n v="2695"/>
    <n v="0"/>
    <n v="0"/>
    <n v="1063"/>
    <n v="0"/>
    <n v="0"/>
    <n v="3758"/>
    <x v="276"/>
    <n v="0"/>
    <n v="535"/>
    <n v="4359"/>
    <n v="0"/>
    <n v="8117"/>
    <n v="0"/>
    <n v="0"/>
    <x v="12"/>
    <n v="8117"/>
    <n v="3758"/>
    <x v="0"/>
  </r>
  <r>
    <x v="4"/>
    <b v="0"/>
    <b v="0"/>
    <n v="2695"/>
    <n v="0"/>
    <n v="0"/>
    <n v="1063"/>
    <n v="0"/>
    <n v="0"/>
    <n v="3758"/>
    <x v="277"/>
    <n v="0"/>
    <n v="175"/>
    <n v="4298"/>
    <n v="0"/>
    <n v="8056"/>
    <n v="0"/>
    <n v="0"/>
    <x v="13"/>
    <n v="8056"/>
    <n v="3758"/>
    <x v="0"/>
  </r>
  <r>
    <x v="4"/>
    <b v="0"/>
    <b v="0"/>
    <n v="1838"/>
    <n v="0"/>
    <n v="0"/>
    <n v="862"/>
    <n v="0"/>
    <n v="0"/>
    <n v="2700"/>
    <x v="278"/>
    <n v="0"/>
    <n v="144"/>
    <n v="2403"/>
    <n v="0"/>
    <n v="5103"/>
    <n v="0"/>
    <n v="0"/>
    <x v="14"/>
    <n v="5103"/>
    <n v="2700"/>
    <x v="0"/>
  </r>
  <r>
    <x v="4"/>
    <b v="0"/>
    <b v="0"/>
    <n v="743"/>
    <n v="0"/>
    <n v="0"/>
    <n v="890"/>
    <n v="0"/>
    <n v="0"/>
    <n v="1633"/>
    <x v="279"/>
    <n v="0"/>
    <n v="148"/>
    <n v="1539"/>
    <n v="0"/>
    <n v="3172"/>
    <n v="0"/>
    <n v="0"/>
    <x v="15"/>
    <n v="3172"/>
    <n v="1633"/>
    <x v="0"/>
  </r>
  <r>
    <x v="4"/>
    <b v="0"/>
    <b v="0"/>
    <n v="413"/>
    <n v="0"/>
    <n v="0"/>
    <n v="870"/>
    <n v="0"/>
    <n v="0"/>
    <n v="1283"/>
    <x v="172"/>
    <n v="0"/>
    <n v="0"/>
    <n v="414"/>
    <n v="0"/>
    <n v="1697"/>
    <n v="0"/>
    <n v="0"/>
    <x v="16"/>
    <n v="1697"/>
    <n v="1283"/>
    <x v="0"/>
  </r>
  <r>
    <x v="4"/>
    <b v="0"/>
    <b v="0"/>
    <n v="278"/>
    <n v="0"/>
    <n v="0"/>
    <n v="890"/>
    <n v="0"/>
    <n v="0"/>
    <n v="1168"/>
    <x v="280"/>
    <n v="0"/>
    <n v="0"/>
    <n v="270"/>
    <n v="0"/>
    <n v="1438"/>
    <n v="0"/>
    <n v="0"/>
    <x v="17"/>
    <n v="1438"/>
    <n v="1168"/>
    <x v="0"/>
  </r>
  <r>
    <x v="4"/>
    <b v="0"/>
    <b v="0"/>
    <n v="355"/>
    <n v="0"/>
    <n v="0"/>
    <n v="890"/>
    <n v="0"/>
    <n v="0"/>
    <n v="1245"/>
    <x v="281"/>
    <n v="0"/>
    <n v="24"/>
    <n v="357"/>
    <n v="0"/>
    <n v="1602"/>
    <n v="0"/>
    <n v="0"/>
    <x v="18"/>
    <n v="1602"/>
    <n v="1245"/>
    <x v="1"/>
  </r>
  <r>
    <x v="4"/>
    <b v="0"/>
    <b v="0"/>
    <n v="876"/>
    <n v="0"/>
    <n v="0"/>
    <n v="800"/>
    <n v="0"/>
    <n v="0"/>
    <n v="1676"/>
    <x v="282"/>
    <n v="0"/>
    <n v="0"/>
    <n v="338"/>
    <n v="0"/>
    <n v="2014"/>
    <n v="0"/>
    <n v="0"/>
    <x v="19"/>
    <n v="2014"/>
    <n v="1676"/>
    <x v="1"/>
  </r>
  <r>
    <x v="4"/>
    <b v="0"/>
    <b v="0"/>
    <n v="1078"/>
    <n v="0"/>
    <n v="0"/>
    <n v="0"/>
    <n v="936"/>
    <n v="0"/>
    <n v="2014"/>
    <x v="283"/>
    <n v="0"/>
    <n v="30"/>
    <n v="944"/>
    <n v="0"/>
    <n v="2958"/>
    <n v="0"/>
    <n v="0"/>
    <x v="20"/>
    <n v="2958"/>
    <n v="2014"/>
    <x v="1"/>
  </r>
  <r>
    <x v="4"/>
    <b v="0"/>
    <b v="0"/>
    <n v="978"/>
    <n v="0"/>
    <n v="0"/>
    <n v="640"/>
    <n v="0"/>
    <n v="0"/>
    <n v="1618"/>
    <x v="284"/>
    <n v="0"/>
    <n v="45"/>
    <n v="1193"/>
    <n v="0"/>
    <n v="2811"/>
    <n v="0"/>
    <n v="0"/>
    <x v="21"/>
    <n v="2811"/>
    <n v="1618"/>
    <x v="1"/>
  </r>
  <r>
    <x v="4"/>
    <b v="0"/>
    <b v="0"/>
    <n v="2090"/>
    <n v="0"/>
    <n v="0"/>
    <n v="648"/>
    <n v="0"/>
    <n v="0"/>
    <n v="2738"/>
    <x v="285"/>
    <n v="0"/>
    <n v="0"/>
    <n v="2574"/>
    <n v="0"/>
    <n v="5312"/>
    <n v="0"/>
    <n v="0"/>
    <x v="22"/>
    <n v="5312"/>
    <n v="2738"/>
    <x v="1"/>
  </r>
  <r>
    <x v="4"/>
    <b v="0"/>
    <b v="0"/>
    <n v="3240"/>
    <n v="0"/>
    <n v="0"/>
    <n v="862"/>
    <n v="0"/>
    <n v="0"/>
    <n v="4102"/>
    <x v="286"/>
    <n v="0"/>
    <n v="0"/>
    <n v="3111"/>
    <n v="0"/>
    <n v="7213"/>
    <n v="0"/>
    <n v="0"/>
    <x v="23"/>
    <n v="7213"/>
    <n v="4102"/>
    <x v="1"/>
  </r>
  <r>
    <x v="4"/>
    <b v="0"/>
    <b v="0"/>
    <n v="2695"/>
    <n v="0"/>
    <n v="0"/>
    <n v="1063"/>
    <n v="0"/>
    <n v="0"/>
    <n v="3758"/>
    <x v="287"/>
    <n v="0"/>
    <n v="0"/>
    <n v="3740"/>
    <n v="0"/>
    <n v="7498"/>
    <n v="0"/>
    <n v="0"/>
    <x v="24"/>
    <n v="7498"/>
    <n v="3758"/>
    <x v="1"/>
  </r>
  <r>
    <x v="4"/>
    <b v="0"/>
    <b v="0"/>
    <n v="2695"/>
    <n v="0"/>
    <n v="0"/>
    <n v="1063"/>
    <n v="0"/>
    <n v="0"/>
    <n v="3758"/>
    <x v="288"/>
    <n v="0"/>
    <n v="0"/>
    <n v="4070"/>
    <n v="0"/>
    <n v="7828"/>
    <n v="0"/>
    <n v="0"/>
    <x v="25"/>
    <n v="7828"/>
    <n v="3758"/>
    <x v="1"/>
  </r>
  <r>
    <x v="4"/>
    <b v="0"/>
    <b v="0"/>
    <n v="1755"/>
    <n v="0"/>
    <n v="0"/>
    <n v="62"/>
    <n v="0"/>
    <n v="0"/>
    <n v="1817"/>
    <x v="289"/>
    <n v="0"/>
    <n v="0"/>
    <n v="1935"/>
    <n v="0"/>
    <n v="3752"/>
    <n v="0"/>
    <n v="0"/>
    <x v="26"/>
    <n v="3752"/>
    <n v="1817"/>
    <x v="1"/>
  </r>
  <r>
    <x v="4"/>
    <b v="0"/>
    <b v="0"/>
    <n v="458"/>
    <n v="0"/>
    <n v="0"/>
    <n v="860"/>
    <n v="0"/>
    <n v="0"/>
    <n v="1318"/>
    <x v="290"/>
    <n v="0"/>
    <n v="140"/>
    <n v="1711"/>
    <n v="0"/>
    <n v="3029"/>
    <n v="0"/>
    <n v="0"/>
    <x v="27"/>
    <n v="3029"/>
    <n v="1318"/>
    <x v="1"/>
  </r>
  <r>
    <x v="4"/>
    <b v="0"/>
    <b v="0"/>
    <n v="360"/>
    <n v="0"/>
    <n v="0"/>
    <n v="900"/>
    <n v="0"/>
    <n v="0"/>
    <n v="1260"/>
    <x v="291"/>
    <n v="0"/>
    <n v="60"/>
    <n v="785"/>
    <n v="0"/>
    <n v="2045"/>
    <n v="0"/>
    <n v="0"/>
    <x v="28"/>
    <n v="2045"/>
    <n v="1260"/>
    <x v="1"/>
  </r>
  <r>
    <x v="4"/>
    <b v="0"/>
    <b v="0"/>
    <n v="243"/>
    <n v="0"/>
    <n v="0"/>
    <n v="890"/>
    <n v="0"/>
    <n v="0"/>
    <n v="1133"/>
    <x v="292"/>
    <n v="0"/>
    <n v="0"/>
    <n v="621"/>
    <n v="0"/>
    <n v="1754"/>
    <n v="0"/>
    <n v="0"/>
    <x v="29"/>
    <n v="1754"/>
    <n v="1133"/>
    <x v="1"/>
  </r>
  <r>
    <x v="4"/>
    <b v="0"/>
    <b v="0"/>
    <n v="260"/>
    <n v="0"/>
    <n v="0"/>
    <n v="950"/>
    <n v="0"/>
    <n v="0"/>
    <n v="1210"/>
    <x v="293"/>
    <n v="0"/>
    <n v="0"/>
    <n v="702"/>
    <n v="0"/>
    <n v="1912"/>
    <n v="0"/>
    <n v="0"/>
    <x v="30"/>
    <n v="1912"/>
    <n v="1210"/>
    <x v="2"/>
  </r>
  <r>
    <x v="4"/>
    <b v="0"/>
    <b v="0"/>
    <n v="370"/>
    <n v="0"/>
    <n v="0"/>
    <n v="880"/>
    <n v="0"/>
    <n v="0"/>
    <n v="1250"/>
    <x v="294"/>
    <n v="0"/>
    <n v="0"/>
    <n v="887"/>
    <n v="0"/>
    <n v="2137"/>
    <n v="0"/>
    <n v="0"/>
    <x v="31"/>
    <n v="2137"/>
    <n v="1250"/>
    <x v="2"/>
  </r>
  <r>
    <x v="4"/>
    <b v="0"/>
    <b v="0"/>
    <n v="1038"/>
    <n v="0"/>
    <n v="0"/>
    <n v="860"/>
    <n v="0"/>
    <n v="0"/>
    <n v="1898"/>
    <x v="295"/>
    <n v="0"/>
    <n v="30"/>
    <n v="1605"/>
    <n v="0"/>
    <n v="3503"/>
    <n v="0"/>
    <n v="0"/>
    <x v="32"/>
    <n v="3503"/>
    <n v="1898"/>
    <x v="2"/>
  </r>
  <r>
    <x v="4"/>
    <b v="0"/>
    <b v="0"/>
    <n v="1223"/>
    <n v="0"/>
    <n v="0"/>
    <n v="840"/>
    <n v="0"/>
    <n v="0"/>
    <n v="2063"/>
    <x v="296"/>
    <n v="0"/>
    <n v="228"/>
    <n v="2547"/>
    <n v="0"/>
    <n v="4610"/>
    <n v="0"/>
    <n v="0"/>
    <x v="33"/>
    <n v="4610"/>
    <n v="2063"/>
    <x v="2"/>
  </r>
  <r>
    <x v="4"/>
    <b v="0"/>
    <b v="0"/>
    <n v="1473"/>
    <n v="0"/>
    <n v="0"/>
    <n v="948"/>
    <n v="0"/>
    <n v="0"/>
    <n v="2421"/>
    <x v="98"/>
    <n v="0"/>
    <n v="430"/>
    <n v="2727"/>
    <n v="0"/>
    <n v="5148"/>
    <n v="0"/>
    <n v="0"/>
    <x v="34"/>
    <n v="5148"/>
    <n v="2421"/>
    <x v="2"/>
  </r>
  <r>
    <x v="4"/>
    <b v="0"/>
    <b v="0"/>
    <n v="2860"/>
    <n v="0"/>
    <n v="0"/>
    <n v="840"/>
    <n v="0"/>
    <n v="0"/>
    <n v="3700"/>
    <x v="297"/>
    <n v="0"/>
    <n v="650"/>
    <n v="3572"/>
    <n v="0"/>
    <n v="7272"/>
    <n v="0"/>
    <n v="0"/>
    <x v="35"/>
    <n v="7272"/>
    <n v="3700"/>
    <x v="2"/>
  </r>
  <r>
    <x v="4"/>
    <b v="0"/>
    <b v="0"/>
    <n v="2695"/>
    <n v="0"/>
    <n v="0"/>
    <n v="1063"/>
    <n v="0"/>
    <n v="0"/>
    <n v="3758"/>
    <x v="298"/>
    <n v="0"/>
    <n v="600"/>
    <n v="4358"/>
    <n v="0"/>
    <n v="8116"/>
    <n v="0"/>
    <n v="0"/>
    <x v="36"/>
    <n v="8116"/>
    <n v="3758"/>
    <x v="2"/>
  </r>
  <r>
    <x v="4"/>
    <b v="0"/>
    <b v="0"/>
    <n v="3695"/>
    <n v="0"/>
    <n v="0"/>
    <n v="1063"/>
    <n v="0"/>
    <n v="0"/>
    <n v="4758"/>
    <x v="299"/>
    <n v="0"/>
    <n v="1050"/>
    <n v="4240"/>
    <n v="0"/>
    <n v="8998"/>
    <n v="0"/>
    <n v="0"/>
    <x v="37"/>
    <n v="8998"/>
    <n v="4758"/>
    <x v="2"/>
  </r>
  <r>
    <x v="4"/>
    <b v="0"/>
    <b v="0"/>
    <n v="2123"/>
    <n v="0"/>
    <n v="0"/>
    <n v="900"/>
    <n v="0"/>
    <n v="0"/>
    <n v="3023"/>
    <x v="300"/>
    <n v="0"/>
    <n v="450"/>
    <n v="2363"/>
    <n v="0"/>
    <n v="5386"/>
    <n v="0"/>
    <n v="0"/>
    <x v="38"/>
    <n v="5386"/>
    <n v="3023"/>
    <x v="2"/>
  </r>
  <r>
    <x v="4"/>
    <b v="0"/>
    <b v="0"/>
    <n v="518"/>
    <n v="0"/>
    <n v="0"/>
    <n v="620"/>
    <n v="0"/>
    <n v="0"/>
    <n v="1138"/>
    <x v="301"/>
    <n v="0"/>
    <n v="0"/>
    <n v="765"/>
    <n v="0"/>
    <n v="1903"/>
    <n v="0"/>
    <n v="0"/>
    <x v="39"/>
    <n v="1903"/>
    <n v="1138"/>
    <x v="2"/>
  </r>
  <r>
    <x v="4"/>
    <b v="0"/>
    <b v="0"/>
    <n v="355"/>
    <n v="0"/>
    <n v="0"/>
    <n v="600"/>
    <n v="0"/>
    <n v="0"/>
    <n v="955"/>
    <x v="302"/>
    <n v="0"/>
    <n v="60"/>
    <n v="596"/>
    <n v="0"/>
    <n v="1551"/>
    <n v="0"/>
    <n v="0"/>
    <x v="40"/>
    <n v="1551"/>
    <n v="955"/>
    <x v="2"/>
  </r>
  <r>
    <x v="4"/>
    <b v="0"/>
    <b v="0"/>
    <n v="198"/>
    <n v="0"/>
    <n v="0"/>
    <n v="620"/>
    <n v="0"/>
    <n v="0"/>
    <n v="818"/>
    <x v="303"/>
    <n v="0"/>
    <n v="0"/>
    <n v="153"/>
    <n v="0"/>
    <n v="971"/>
    <n v="0"/>
    <n v="0"/>
    <x v="41"/>
    <n v="971"/>
    <n v="818"/>
    <x v="2"/>
  </r>
  <r>
    <x v="4"/>
    <b v="0"/>
    <b v="0"/>
    <n v="208"/>
    <n v="0"/>
    <n v="0"/>
    <n v="620"/>
    <n v="0"/>
    <n v="0"/>
    <n v="828"/>
    <x v="304"/>
    <n v="0"/>
    <n v="0"/>
    <n v="599"/>
    <n v="0"/>
    <n v="1427"/>
    <n v="0"/>
    <n v="0"/>
    <x v="42"/>
    <n v="1427"/>
    <n v="828"/>
    <x v="1"/>
  </r>
  <r>
    <x v="4"/>
    <b v="0"/>
    <b v="0"/>
    <n v="310"/>
    <n v="0"/>
    <n v="0"/>
    <n v="10"/>
    <n v="0"/>
    <n v="0"/>
    <n v="320"/>
    <x v="305"/>
    <n v="0"/>
    <n v="0"/>
    <n v="576"/>
    <n v="0"/>
    <n v="896"/>
    <n v="0"/>
    <n v="0"/>
    <x v="43"/>
    <n v="896"/>
    <n v="320"/>
    <x v="1"/>
  </r>
  <r>
    <x v="4"/>
    <b v="0"/>
    <b v="0"/>
    <n v="695"/>
    <n v="0"/>
    <n v="0"/>
    <n v="0"/>
    <n v="0"/>
    <n v="0"/>
    <n v="695"/>
    <x v="306"/>
    <n v="0"/>
    <n v="0"/>
    <n v="918"/>
    <n v="0"/>
    <n v="1613"/>
    <n v="0"/>
    <n v="0"/>
    <x v="44"/>
    <n v="1613"/>
    <n v="695"/>
    <x v="1"/>
  </r>
  <r>
    <x v="4"/>
    <b v="0"/>
    <b v="0"/>
    <n v="585"/>
    <n v="0"/>
    <n v="0"/>
    <n v="0"/>
    <n v="0"/>
    <n v="0"/>
    <n v="585"/>
    <x v="307"/>
    <n v="0"/>
    <n v="0"/>
    <n v="805"/>
    <n v="0"/>
    <n v="1390"/>
    <n v="0"/>
    <n v="0"/>
    <x v="45"/>
    <n v="1390"/>
    <n v="585"/>
    <x v="1"/>
  </r>
  <r>
    <x v="4"/>
    <b v="0"/>
    <b v="0"/>
    <n v="1553"/>
    <n v="0"/>
    <n v="0"/>
    <n v="930"/>
    <n v="0"/>
    <n v="0"/>
    <n v="2483"/>
    <x v="308"/>
    <n v="0"/>
    <n v="0"/>
    <n v="924"/>
    <n v="0"/>
    <n v="3407"/>
    <n v="0"/>
    <n v="0"/>
    <x v="46"/>
    <n v="3407"/>
    <n v="2483"/>
    <x v="1"/>
  </r>
  <r>
    <x v="4"/>
    <b v="0"/>
    <b v="0"/>
    <n v="1510"/>
    <n v="0"/>
    <n v="0"/>
    <n v="548"/>
    <n v="0"/>
    <n v="0"/>
    <n v="2058"/>
    <x v="309"/>
    <n v="0"/>
    <n v="150"/>
    <n v="1879"/>
    <n v="0"/>
    <n v="3937"/>
    <n v="0"/>
    <n v="0"/>
    <x v="47"/>
    <n v="3937"/>
    <n v="2058"/>
    <x v="1"/>
  </r>
  <r>
    <x v="4"/>
    <b v="0"/>
    <b v="0"/>
    <n v="2695"/>
    <n v="0"/>
    <n v="0"/>
    <n v="1063"/>
    <n v="77"/>
    <n v="0"/>
    <n v="3835"/>
    <x v="310"/>
    <n v="0"/>
    <n v="100"/>
    <n v="2991"/>
    <n v="0"/>
    <n v="6826"/>
    <n v="0"/>
    <n v="0"/>
    <x v="48"/>
    <n v="6825"/>
    <n v="3835"/>
    <x v="1"/>
  </r>
  <r>
    <x v="4"/>
    <b v="0"/>
    <b v="0"/>
    <n v="2695"/>
    <n v="0"/>
    <n v="0"/>
    <n v="1063"/>
    <n v="66"/>
    <n v="0"/>
    <n v="3824"/>
    <x v="311"/>
    <n v="0"/>
    <n v="0"/>
    <n v="2037"/>
    <n v="0"/>
    <n v="5861"/>
    <n v="0"/>
    <n v="0"/>
    <x v="49"/>
    <n v="5861"/>
    <n v="3824"/>
    <x v="1"/>
  </r>
  <r>
    <x v="4"/>
    <b v="0"/>
    <b v="0"/>
    <n v="1173"/>
    <n v="0"/>
    <n v="0"/>
    <n v="150"/>
    <n v="51"/>
    <n v="0"/>
    <n v="1374"/>
    <x v="312"/>
    <n v="0"/>
    <n v="0"/>
    <n v="977"/>
    <n v="0"/>
    <n v="2351"/>
    <n v="0"/>
    <n v="0"/>
    <x v="50"/>
    <n v="2351"/>
    <n v="1374"/>
    <x v="1"/>
  </r>
  <r>
    <x v="4"/>
    <b v="0"/>
    <b v="0"/>
    <n v="633"/>
    <n v="0"/>
    <n v="0"/>
    <n v="0"/>
    <n v="473"/>
    <n v="0"/>
    <n v="1106"/>
    <x v="38"/>
    <n v="0"/>
    <n v="0"/>
    <n v="0"/>
    <n v="0"/>
    <n v="1106"/>
    <n v="0"/>
    <n v="0"/>
    <x v="51"/>
    <n v="1106"/>
    <n v="1106"/>
    <x v="1"/>
  </r>
  <r>
    <x v="4"/>
    <b v="0"/>
    <b v="0"/>
    <n v="315"/>
    <n v="0"/>
    <n v="0"/>
    <n v="0"/>
    <n v="0"/>
    <n v="0"/>
    <n v="315"/>
    <x v="231"/>
    <n v="0"/>
    <n v="0"/>
    <n v="252"/>
    <n v="0"/>
    <n v="567"/>
    <n v="0"/>
    <n v="0"/>
    <x v="52"/>
    <n v="567"/>
    <n v="315"/>
    <x v="1"/>
  </r>
  <r>
    <x v="4"/>
    <b v="0"/>
    <b v="0"/>
    <n v="133"/>
    <n v="0"/>
    <n v="0"/>
    <n v="732"/>
    <n v="0"/>
    <n v="0"/>
    <n v="865"/>
    <x v="313"/>
    <n v="0"/>
    <n v="0"/>
    <n v="167"/>
    <n v="0"/>
    <n v="1032"/>
    <n v="0"/>
    <n v="0"/>
    <x v="53"/>
    <n v="1032"/>
    <n v="865"/>
    <x v="1"/>
  </r>
  <r>
    <x v="4"/>
    <b v="0"/>
    <b v="0"/>
    <n v="230"/>
    <n v="0"/>
    <n v="0"/>
    <n v="2328"/>
    <n v="0"/>
    <n v="0"/>
    <n v="2558"/>
    <x v="314"/>
    <n v="0"/>
    <n v="0"/>
    <n v="180"/>
    <n v="0"/>
    <n v="2738"/>
    <n v="0"/>
    <n v="0"/>
    <x v="54"/>
    <n v="2738"/>
    <n v="2558"/>
    <x v="1"/>
  </r>
  <r>
    <x v="4"/>
    <b v="0"/>
    <b v="0"/>
    <n v="283"/>
    <n v="0"/>
    <n v="0"/>
    <n v="2368"/>
    <n v="0"/>
    <n v="0"/>
    <n v="2651"/>
    <x v="315"/>
    <n v="0"/>
    <n v="0"/>
    <n v="329"/>
    <n v="0"/>
    <n v="2980"/>
    <n v="0"/>
    <n v="0"/>
    <x v="55"/>
    <n v="2980"/>
    <n v="2651"/>
    <x v="1"/>
  </r>
  <r>
    <x v="4"/>
    <b v="0"/>
    <b v="0"/>
    <n v="360"/>
    <n v="0"/>
    <n v="0"/>
    <n v="2180"/>
    <n v="0"/>
    <n v="0"/>
    <n v="2540"/>
    <x v="316"/>
    <n v="0"/>
    <n v="0"/>
    <n v="302"/>
    <n v="0"/>
    <n v="2842"/>
    <n v="0"/>
    <n v="0"/>
    <x v="56"/>
    <n v="2842"/>
    <n v="2540"/>
    <x v="1"/>
  </r>
  <r>
    <x v="4"/>
    <b v="0"/>
    <b v="0"/>
    <n v="493"/>
    <n v="0"/>
    <n v="0"/>
    <n v="3188"/>
    <n v="0"/>
    <n v="0"/>
    <n v="3681"/>
    <x v="317"/>
    <n v="0"/>
    <n v="0"/>
    <n v="651"/>
    <n v="0"/>
    <n v="4332"/>
    <n v="0"/>
    <n v="0"/>
    <x v="57"/>
    <n v="4332"/>
    <n v="3681"/>
    <x v="1"/>
  </r>
  <r>
    <x v="4"/>
    <b v="0"/>
    <b v="0"/>
    <n v="1028"/>
    <n v="0"/>
    <n v="0"/>
    <n v="3990"/>
    <n v="0"/>
    <n v="0"/>
    <n v="5018"/>
    <x v="318"/>
    <n v="0"/>
    <n v="0"/>
    <n v="510"/>
    <n v="0"/>
    <n v="5528"/>
    <n v="0"/>
    <n v="0"/>
    <x v="58"/>
    <n v="5528"/>
    <n v="5018"/>
    <x v="1"/>
  </r>
  <r>
    <x v="4"/>
    <b v="0"/>
    <b v="0"/>
    <n v="2268"/>
    <n v="0"/>
    <n v="0"/>
    <n v="4332"/>
    <n v="0"/>
    <n v="0"/>
    <n v="6600"/>
    <x v="319"/>
    <n v="0"/>
    <n v="0"/>
    <n v="2301"/>
    <n v="0"/>
    <n v="8901"/>
    <n v="0"/>
    <n v="0"/>
    <x v="59"/>
    <n v="8901"/>
    <n v="6600"/>
    <x v="1"/>
  </r>
  <r>
    <x v="4"/>
    <b v="0"/>
    <b v="0"/>
    <n v="2695"/>
    <n v="0"/>
    <n v="0"/>
    <n v="1063"/>
    <n v="0"/>
    <n v="0"/>
    <n v="3758"/>
    <x v="320"/>
    <n v="0"/>
    <n v="0"/>
    <n v="3467"/>
    <n v="0"/>
    <n v="7225"/>
    <n v="0"/>
    <n v="0"/>
    <x v="60"/>
    <n v="7225"/>
    <n v="3758"/>
    <x v="1"/>
  </r>
  <r>
    <x v="4"/>
    <b v="0"/>
    <b v="0"/>
    <n v="2695"/>
    <n v="0"/>
    <n v="0"/>
    <n v="1063"/>
    <n v="0"/>
    <n v="0"/>
    <n v="3758"/>
    <x v="321"/>
    <n v="0"/>
    <n v="0"/>
    <n v="3216"/>
    <n v="0"/>
    <n v="6974"/>
    <n v="0"/>
    <n v="0"/>
    <x v="61"/>
    <n v="6974"/>
    <n v="3758"/>
    <x v="1"/>
  </r>
  <r>
    <x v="4"/>
    <b v="0"/>
    <b v="0"/>
    <n v="1548"/>
    <n v="0"/>
    <n v="0"/>
    <n v="3370"/>
    <n v="0"/>
    <n v="0"/>
    <n v="4918"/>
    <x v="322"/>
    <n v="0"/>
    <n v="0"/>
    <n v="2399"/>
    <n v="0"/>
    <n v="7317"/>
    <n v="0"/>
    <n v="0"/>
    <x v="62"/>
    <n v="7317"/>
    <n v="4918"/>
    <x v="1"/>
  </r>
  <r>
    <x v="4"/>
    <b v="0"/>
    <b v="0"/>
    <n v="730"/>
    <n v="0"/>
    <n v="0"/>
    <n v="2978"/>
    <n v="0"/>
    <n v="0"/>
    <n v="3708"/>
    <x v="323"/>
    <n v="0"/>
    <n v="0"/>
    <n v="945"/>
    <n v="0"/>
    <n v="4653"/>
    <n v="0"/>
    <n v="0"/>
    <x v="63"/>
    <n v="4653"/>
    <n v="3708"/>
    <x v="1"/>
  </r>
  <r>
    <x v="4"/>
    <b v="0"/>
    <b v="0"/>
    <n v="408"/>
    <n v="0"/>
    <n v="0"/>
    <n v="1790"/>
    <n v="0"/>
    <n v="0"/>
    <n v="2198"/>
    <x v="324"/>
    <n v="0"/>
    <n v="0"/>
    <n v="567"/>
    <n v="0"/>
    <n v="2765"/>
    <n v="0"/>
    <n v="0"/>
    <x v="64"/>
    <n v="2765"/>
    <n v="2198"/>
    <x v="1"/>
  </r>
  <r>
    <x v="4"/>
    <b v="0"/>
    <b v="0"/>
    <n v="275"/>
    <n v="0"/>
    <n v="0"/>
    <n v="1888"/>
    <n v="0"/>
    <n v="0"/>
    <n v="2163"/>
    <x v="244"/>
    <n v="0"/>
    <n v="0"/>
    <n v="238"/>
    <n v="0"/>
    <n v="2401"/>
    <n v="0"/>
    <n v="0"/>
    <x v="65"/>
    <n v="2401"/>
    <n v="2163"/>
    <x v="1"/>
  </r>
  <r>
    <x v="4"/>
    <b v="0"/>
    <b v="0"/>
    <n v="385"/>
    <n v="0"/>
    <n v="0"/>
    <n v="2138"/>
    <n v="0"/>
    <n v="0"/>
    <n v="2523"/>
    <x v="325"/>
    <n v="0"/>
    <n v="0"/>
    <n v="229"/>
    <n v="0"/>
    <n v="2752"/>
    <n v="0"/>
    <n v="0"/>
    <x v="66"/>
    <n v="2752"/>
    <n v="2523"/>
    <x v="2"/>
  </r>
  <r>
    <x v="4"/>
    <b v="0"/>
    <b v="0"/>
    <n v="400"/>
    <n v="0"/>
    <n v="0"/>
    <n v="2135"/>
    <n v="0"/>
    <n v="0"/>
    <n v="2535"/>
    <x v="326"/>
    <n v="0"/>
    <n v="0"/>
    <n v="282"/>
    <n v="0"/>
    <n v="2817"/>
    <n v="0"/>
    <n v="0"/>
    <x v="67"/>
    <n v="2817"/>
    <n v="2535"/>
    <x v="2"/>
  </r>
  <r>
    <x v="4"/>
    <b v="0"/>
    <b v="0"/>
    <n v="873"/>
    <n v="0"/>
    <n v="0"/>
    <n v="3655"/>
    <n v="0"/>
    <n v="0"/>
    <n v="4528"/>
    <x v="327"/>
    <n v="0"/>
    <n v="0"/>
    <n v="686"/>
    <n v="0"/>
    <n v="5214"/>
    <n v="0"/>
    <n v="0"/>
    <x v="68"/>
    <n v="5214"/>
    <n v="4528"/>
    <x v="2"/>
  </r>
  <r>
    <x v="4"/>
    <b v="0"/>
    <b v="0"/>
    <n v="480"/>
    <n v="0"/>
    <n v="0"/>
    <n v="3538"/>
    <n v="0"/>
    <n v="0"/>
    <n v="4018"/>
    <x v="328"/>
    <n v="0"/>
    <n v="0"/>
    <n v="1021"/>
    <n v="0"/>
    <n v="5039"/>
    <n v="0"/>
    <n v="0"/>
    <x v="69"/>
    <n v="5039"/>
    <n v="4018"/>
    <x v="2"/>
  </r>
  <r>
    <x v="4"/>
    <b v="0"/>
    <b v="0"/>
    <n v="1905"/>
    <n v="0"/>
    <n v="0"/>
    <n v="4573"/>
    <n v="0"/>
    <n v="0"/>
    <n v="6478"/>
    <x v="329"/>
    <n v="0"/>
    <n v="0"/>
    <n v="1888"/>
    <n v="0"/>
    <n v="8366"/>
    <n v="0"/>
    <n v="0"/>
    <x v="70"/>
    <n v="8366"/>
    <n v="6478"/>
    <x v="2"/>
  </r>
  <r>
    <x v="4"/>
    <b v="0"/>
    <b v="0"/>
    <n v="3000"/>
    <n v="0"/>
    <n v="0"/>
    <n v="5148"/>
    <n v="0"/>
    <n v="0"/>
    <n v="8148"/>
    <x v="330"/>
    <n v="0"/>
    <n v="0"/>
    <n v="2548"/>
    <n v="0"/>
    <n v="10696"/>
    <n v="0"/>
    <n v="0"/>
    <x v="71"/>
    <n v="10696"/>
    <n v="8148"/>
    <x v="2"/>
  </r>
  <r>
    <x v="4"/>
    <b v="0"/>
    <b v="0"/>
    <n v="3560"/>
    <n v="0"/>
    <n v="0"/>
    <n v="6665"/>
    <n v="0"/>
    <n v="0"/>
    <n v="10225"/>
    <x v="331"/>
    <n v="0"/>
    <n v="0"/>
    <n v="3441"/>
    <n v="0"/>
    <n v="13666"/>
    <n v="0"/>
    <n v="0"/>
    <x v="72"/>
    <n v="13666"/>
    <n v="10225"/>
    <x v="2"/>
  </r>
  <r>
    <x v="4"/>
    <b v="0"/>
    <b v="0"/>
    <n v="2523"/>
    <n v="0"/>
    <n v="0"/>
    <n v="6035"/>
    <n v="0"/>
    <n v="0"/>
    <n v="8558"/>
    <x v="165"/>
    <n v="0"/>
    <n v="0"/>
    <n v="3410"/>
    <n v="0"/>
    <n v="11968"/>
    <n v="0"/>
    <n v="0"/>
    <x v="73"/>
    <n v="11968"/>
    <n v="8558"/>
    <x v="2"/>
  </r>
  <r>
    <x v="4"/>
    <b v="0"/>
    <b v="0"/>
    <n v="2040"/>
    <n v="0"/>
    <n v="0"/>
    <n v="4500"/>
    <n v="0"/>
    <n v="0"/>
    <n v="6540"/>
    <x v="332"/>
    <n v="0"/>
    <n v="0"/>
    <n v="1580"/>
    <n v="0"/>
    <n v="8120"/>
    <n v="0"/>
    <n v="0"/>
    <x v="74"/>
    <n v="8120"/>
    <n v="6540"/>
    <x v="2"/>
  </r>
  <r>
    <x v="4"/>
    <b v="0"/>
    <b v="0"/>
    <n v="455"/>
    <n v="0"/>
    <n v="0"/>
    <n v="3025"/>
    <n v="0"/>
    <n v="0"/>
    <n v="3480"/>
    <x v="333"/>
    <n v="0"/>
    <n v="0"/>
    <n v="484"/>
    <n v="0"/>
    <n v="3964"/>
    <n v="0"/>
    <n v="0"/>
    <x v="75"/>
    <n v="3964"/>
    <n v="3480"/>
    <x v="2"/>
  </r>
  <r>
    <x v="4"/>
    <b v="0"/>
    <b v="0"/>
    <n v="425"/>
    <n v="0"/>
    <n v="0"/>
    <n v="3405"/>
    <n v="0"/>
    <n v="0"/>
    <n v="3830"/>
    <x v="334"/>
    <n v="0"/>
    <n v="0"/>
    <n v="761"/>
    <n v="0"/>
    <n v="4591"/>
    <n v="0"/>
    <n v="0"/>
    <x v="76"/>
    <n v="4591"/>
    <n v="3830"/>
    <x v="2"/>
  </r>
  <r>
    <x v="4"/>
    <b v="0"/>
    <b v="0"/>
    <n v="228"/>
    <n v="0"/>
    <n v="0"/>
    <n v="1760"/>
    <n v="0"/>
    <n v="0"/>
    <n v="1988"/>
    <x v="335"/>
    <n v="0"/>
    <n v="0"/>
    <n v="361"/>
    <n v="0"/>
    <n v="2349"/>
    <n v="0"/>
    <n v="0"/>
    <x v="77"/>
    <n v="2349"/>
    <n v="1988"/>
    <x v="2"/>
  </r>
  <r>
    <x v="4"/>
    <b v="0"/>
    <b v="0"/>
    <n v="425"/>
    <n v="0"/>
    <n v="0"/>
    <n v="1395"/>
    <n v="0"/>
    <n v="0"/>
    <n v="1820"/>
    <x v="336"/>
    <n v="0"/>
    <n v="0"/>
    <n v="141"/>
    <n v="0"/>
    <n v="1961"/>
    <n v="0"/>
    <n v="0"/>
    <x v="78"/>
    <n v="1961"/>
    <n v="1820"/>
    <x v="0"/>
  </r>
  <r>
    <x v="4"/>
    <b v="0"/>
    <b v="0"/>
    <n v="418"/>
    <n v="0"/>
    <n v="0"/>
    <n v="1983"/>
    <n v="0"/>
    <n v="0"/>
    <n v="2401"/>
    <x v="67"/>
    <n v="0"/>
    <n v="0"/>
    <n v="312"/>
    <n v="0"/>
    <n v="2713"/>
    <n v="0"/>
    <n v="0"/>
    <x v="79"/>
    <n v="2713"/>
    <n v="2401"/>
    <x v="0"/>
  </r>
  <r>
    <x v="4"/>
    <b v="0"/>
    <b v="0"/>
    <n v="1263"/>
    <n v="0"/>
    <n v="0"/>
    <n v="3658"/>
    <n v="0"/>
    <n v="0"/>
    <n v="4921"/>
    <x v="337"/>
    <n v="0"/>
    <n v="0"/>
    <n v="783"/>
    <n v="0"/>
    <n v="5704"/>
    <n v="0"/>
    <n v="0"/>
    <x v="80"/>
    <n v="5704"/>
    <n v="4921"/>
    <x v="0"/>
  </r>
  <r>
    <x v="4"/>
    <b v="0"/>
    <b v="0"/>
    <n v="1433"/>
    <n v="0"/>
    <n v="0"/>
    <n v="3845"/>
    <n v="0"/>
    <n v="0"/>
    <n v="5278"/>
    <x v="338"/>
    <n v="0"/>
    <n v="0"/>
    <n v="1087"/>
    <n v="0"/>
    <n v="6365"/>
    <n v="0"/>
    <n v="0"/>
    <x v="81"/>
    <n v="6365"/>
    <n v="5278"/>
    <x v="0"/>
  </r>
  <r>
    <x v="4"/>
    <b v="0"/>
    <b v="0"/>
    <n v="2260"/>
    <n v="0"/>
    <n v="0"/>
    <n v="4850"/>
    <n v="0"/>
    <n v="0"/>
    <n v="7110"/>
    <x v="339"/>
    <n v="0"/>
    <n v="378"/>
    <n v="2763"/>
    <n v="0"/>
    <n v="9873"/>
    <n v="0"/>
    <n v="0"/>
    <x v="82"/>
    <n v="9873"/>
    <n v="7110"/>
    <x v="0"/>
  </r>
  <r>
    <x v="4"/>
    <b v="0"/>
    <b v="0"/>
    <n v="2850"/>
    <n v="0"/>
    <n v="0"/>
    <n v="5673"/>
    <n v="0"/>
    <n v="0"/>
    <n v="8523"/>
    <x v="340"/>
    <n v="0"/>
    <n v="420"/>
    <n v="3628"/>
    <n v="0"/>
    <n v="12151"/>
    <n v="0"/>
    <n v="0"/>
    <x v="83"/>
    <n v="12151"/>
    <n v="8523"/>
    <x v="0"/>
  </r>
  <r>
    <x v="4"/>
    <b v="0"/>
    <b v="0"/>
    <n v="4105"/>
    <n v="0"/>
    <n v="0"/>
    <n v="6154"/>
    <n v="0"/>
    <n v="0"/>
    <n v="10259"/>
    <x v="341"/>
    <n v="0"/>
    <n v="550"/>
    <n v="4206"/>
    <n v="0"/>
    <n v="14465"/>
    <n v="0"/>
    <n v="0"/>
    <x v="84"/>
    <n v="14465"/>
    <n v="10259"/>
    <x v="0"/>
  </r>
  <r>
    <x v="4"/>
    <b v="0"/>
    <b v="0"/>
    <n v="3413"/>
    <n v="0"/>
    <n v="0"/>
    <n v="6680"/>
    <n v="0"/>
    <n v="0"/>
    <n v="10093"/>
    <x v="342"/>
    <n v="0"/>
    <n v="973"/>
    <n v="4959"/>
    <n v="0"/>
    <n v="15052"/>
    <n v="0"/>
    <n v="0"/>
    <x v="85"/>
    <n v="15052"/>
    <n v="10093"/>
    <x v="0"/>
  </r>
  <r>
    <x v="4"/>
    <b v="0"/>
    <b v="0"/>
    <n v="2025"/>
    <n v="0"/>
    <n v="0"/>
    <n v="4806"/>
    <n v="0"/>
    <n v="0"/>
    <n v="6831"/>
    <x v="343"/>
    <n v="0"/>
    <n v="289"/>
    <n v="2216"/>
    <n v="0"/>
    <n v="9047"/>
    <n v="0"/>
    <n v="0"/>
    <x v="86"/>
    <n v="9047"/>
    <n v="6831"/>
    <x v="0"/>
  </r>
  <r>
    <x v="4"/>
    <b v="0"/>
    <b v="0"/>
    <n v="730"/>
    <n v="0"/>
    <n v="0"/>
    <n v="2420"/>
    <n v="0"/>
    <n v="0"/>
    <n v="3150"/>
    <x v="344"/>
    <n v="0"/>
    <n v="0"/>
    <n v="1017"/>
    <n v="0"/>
    <n v="4167"/>
    <n v="0"/>
    <n v="0"/>
    <x v="87"/>
    <n v="4167"/>
    <n v="3150"/>
    <x v="0"/>
  </r>
  <r>
    <x v="4"/>
    <b v="0"/>
    <b v="0"/>
    <n v="408"/>
    <n v="0"/>
    <n v="0"/>
    <n v="2412"/>
    <n v="0"/>
    <n v="0"/>
    <n v="2820"/>
    <x v="345"/>
    <n v="0"/>
    <n v="0"/>
    <n v="459"/>
    <n v="0"/>
    <n v="3279"/>
    <n v="0"/>
    <n v="0"/>
    <x v="88"/>
    <n v="3279"/>
    <n v="2820"/>
    <x v="0"/>
  </r>
  <r>
    <x v="4"/>
    <b v="0"/>
    <b v="0"/>
    <n v="198"/>
    <n v="0"/>
    <n v="0"/>
    <n v="1368"/>
    <n v="0"/>
    <n v="0"/>
    <n v="1566"/>
    <x v="303"/>
    <n v="0"/>
    <n v="0"/>
    <n v="153"/>
    <n v="0"/>
    <n v="1719"/>
    <n v="0"/>
    <n v="0"/>
    <x v="89"/>
    <n v="1719"/>
    <n v="1566"/>
    <x v="0"/>
  </r>
  <r>
    <x v="4"/>
    <b v="0"/>
    <b v="0"/>
    <n v="383"/>
    <n v="0"/>
    <n v="0"/>
    <n v="2216"/>
    <n v="0"/>
    <n v="0"/>
    <n v="2599"/>
    <x v="346"/>
    <n v="0"/>
    <n v="0"/>
    <n v="279"/>
    <n v="0"/>
    <n v="2878"/>
    <n v="0"/>
    <n v="0"/>
    <x v="90"/>
    <n v="2878"/>
    <n v="2599"/>
    <x v="2"/>
  </r>
  <r>
    <x v="4"/>
    <b v="0"/>
    <b v="0"/>
    <n v="350"/>
    <n v="0"/>
    <n v="0"/>
    <n v="2106"/>
    <n v="0"/>
    <n v="0"/>
    <n v="2456"/>
    <x v="315"/>
    <n v="0"/>
    <n v="0"/>
    <n v="329"/>
    <n v="0"/>
    <n v="2785"/>
    <n v="0"/>
    <n v="0"/>
    <x v="91"/>
    <n v="2785"/>
    <n v="2456"/>
    <x v="2"/>
  </r>
  <r>
    <x v="4"/>
    <b v="0"/>
    <b v="0"/>
    <n v="765"/>
    <n v="0"/>
    <n v="0"/>
    <n v="3154"/>
    <n v="0"/>
    <n v="0"/>
    <n v="3919"/>
    <x v="347"/>
    <n v="0"/>
    <n v="0"/>
    <n v="657"/>
    <n v="0"/>
    <n v="4576"/>
    <n v="0"/>
    <n v="0"/>
    <x v="92"/>
    <n v="4576"/>
    <n v="3919"/>
    <x v="2"/>
  </r>
  <r>
    <x v="4"/>
    <b v="0"/>
    <b v="0"/>
    <n v="1175"/>
    <n v="0"/>
    <n v="0"/>
    <n v="4734"/>
    <n v="0"/>
    <n v="0"/>
    <n v="5909"/>
    <x v="348"/>
    <n v="0"/>
    <n v="0"/>
    <n v="941"/>
    <n v="0"/>
    <n v="6850"/>
    <n v="4"/>
    <n v="0"/>
    <x v="93"/>
    <n v="6854"/>
    <n v="5909"/>
    <x v="2"/>
  </r>
  <r>
    <x v="4"/>
    <b v="0"/>
    <b v="0"/>
    <n v="3185"/>
    <n v="0"/>
    <n v="0"/>
    <n v="6822"/>
    <n v="0"/>
    <n v="0"/>
    <n v="10007"/>
    <x v="349"/>
    <n v="0"/>
    <n v="9"/>
    <n v="2192"/>
    <n v="0"/>
    <n v="12199"/>
    <n v="2"/>
    <n v="0"/>
    <x v="94"/>
    <n v="12201"/>
    <n v="10007"/>
    <x v="2"/>
  </r>
  <r>
    <x v="4"/>
    <b v="0"/>
    <b v="0"/>
    <n v="3283"/>
    <n v="0"/>
    <n v="0"/>
    <n v="6784"/>
    <n v="0"/>
    <n v="0"/>
    <n v="10067"/>
    <x v="350"/>
    <n v="0"/>
    <n v="320"/>
    <n v="3470"/>
    <n v="0"/>
    <n v="13537"/>
    <n v="3"/>
    <n v="0"/>
    <x v="95"/>
    <n v="13540"/>
    <n v="10067"/>
    <x v="2"/>
  </r>
  <r>
    <x v="4"/>
    <b v="0"/>
    <b v="0"/>
    <n v="4898"/>
    <n v="0"/>
    <n v="0"/>
    <n v="8734"/>
    <n v="0"/>
    <n v="0"/>
    <n v="13632"/>
    <x v="351"/>
    <n v="0"/>
    <n v="708"/>
    <n v="4938"/>
    <n v="0"/>
    <n v="18570"/>
    <n v="2"/>
    <n v="0"/>
    <x v="96"/>
    <n v="18572"/>
    <n v="13632"/>
    <x v="2"/>
  </r>
  <r>
    <x v="4"/>
    <b v="0"/>
    <b v="0"/>
    <n v="3180"/>
    <n v="0"/>
    <n v="0"/>
    <n v="2056"/>
    <n v="0"/>
    <n v="0"/>
    <n v="5236"/>
    <x v="352"/>
    <n v="0"/>
    <n v="590"/>
    <n v="4298"/>
    <n v="0"/>
    <n v="9534"/>
    <n v="3"/>
    <n v="0"/>
    <x v="97"/>
    <n v="9537"/>
    <n v="5236"/>
    <x v="2"/>
  </r>
  <r>
    <x v="4"/>
    <b v="0"/>
    <b v="0"/>
    <n v="1665"/>
    <n v="0"/>
    <n v="0"/>
    <n v="4624"/>
    <n v="0"/>
    <n v="0"/>
    <n v="6289"/>
    <x v="353"/>
    <n v="0"/>
    <n v="14"/>
    <n v="1657"/>
    <n v="785"/>
    <n v="7946"/>
    <n v="0"/>
    <n v="0"/>
    <x v="98"/>
    <n v="8731"/>
    <n v="6289"/>
    <x v="2"/>
  </r>
  <r>
    <x v="4"/>
    <b v="0"/>
    <b v="0"/>
    <n v="488"/>
    <n v="0"/>
    <n v="0"/>
    <n v="3194"/>
    <n v="0"/>
    <n v="0"/>
    <n v="3682"/>
    <x v="354"/>
    <n v="0"/>
    <n v="0"/>
    <n v="428"/>
    <n v="0"/>
    <n v="4110"/>
    <n v="0"/>
    <n v="0"/>
    <x v="99"/>
    <n v="4110"/>
    <n v="3682"/>
    <x v="2"/>
  </r>
  <r>
    <x v="4"/>
    <b v="0"/>
    <b v="0"/>
    <n v="328"/>
    <n v="0"/>
    <n v="0"/>
    <n v="1962"/>
    <n v="0"/>
    <n v="0"/>
    <n v="2290"/>
    <x v="212"/>
    <n v="0"/>
    <n v="0"/>
    <n v="126"/>
    <n v="0"/>
    <n v="2416"/>
    <n v="0"/>
    <n v="0"/>
    <x v="100"/>
    <n v="2416"/>
    <n v="2290"/>
    <x v="2"/>
  </r>
  <r>
    <x v="4"/>
    <b v="0"/>
    <b v="0"/>
    <n v="198"/>
    <n v="0"/>
    <n v="0"/>
    <n v="1450"/>
    <n v="0"/>
    <n v="0"/>
    <n v="1648"/>
    <x v="355"/>
    <n v="0"/>
    <n v="0"/>
    <n v="117"/>
    <n v="0"/>
    <n v="1765"/>
    <n v="0"/>
    <n v="0"/>
    <x v="101"/>
    <n v="1765"/>
    <n v="1648"/>
    <x v="2"/>
  </r>
  <r>
    <x v="4"/>
    <b v="0"/>
    <b v="0"/>
    <n v="248"/>
    <n v="0"/>
    <n v="0"/>
    <n v="1498"/>
    <n v="0"/>
    <n v="0"/>
    <n v="1746"/>
    <x v="356"/>
    <n v="0"/>
    <n v="0"/>
    <n v="68"/>
    <n v="0"/>
    <n v="1814"/>
    <n v="0"/>
    <n v="0"/>
    <x v="102"/>
    <n v="1814"/>
    <n v="1746"/>
    <x v="1"/>
  </r>
  <r>
    <x v="4"/>
    <b v="0"/>
    <b v="0"/>
    <n v="265"/>
    <n v="0"/>
    <n v="0"/>
    <n v="1800"/>
    <n v="0"/>
    <n v="0"/>
    <n v="2065"/>
    <x v="356"/>
    <n v="0"/>
    <n v="0"/>
    <n v="68"/>
    <n v="0"/>
    <n v="2133"/>
    <n v="0"/>
    <n v="0"/>
    <x v="103"/>
    <n v="2133"/>
    <n v="2065"/>
    <x v="1"/>
  </r>
  <r>
    <x v="4"/>
    <b v="0"/>
    <b v="0"/>
    <n v="555"/>
    <n v="0"/>
    <n v="0"/>
    <n v="3386"/>
    <n v="0"/>
    <n v="0"/>
    <n v="3941"/>
    <x v="232"/>
    <n v="0"/>
    <n v="0"/>
    <n v="311"/>
    <n v="0"/>
    <n v="4252"/>
    <n v="0"/>
    <n v="0"/>
    <x v="104"/>
    <n v="4252"/>
    <n v="3941"/>
    <x v="1"/>
  </r>
  <r>
    <x v="4"/>
    <b v="0"/>
    <b v="0"/>
    <n v="838"/>
    <n v="0"/>
    <n v="0"/>
    <n v="3492"/>
    <n v="0"/>
    <n v="0"/>
    <n v="4330"/>
    <x v="66"/>
    <n v="0"/>
    <n v="0"/>
    <n v="401"/>
    <n v="0"/>
    <n v="4731"/>
    <n v="5"/>
    <n v="0"/>
    <x v="105"/>
    <n v="4736"/>
    <n v="4330"/>
    <x v="1"/>
  </r>
  <r>
    <x v="4"/>
    <b v="0"/>
    <b v="0"/>
    <n v="1883"/>
    <n v="0"/>
    <n v="0"/>
    <n v="1238"/>
    <n v="0"/>
    <n v="0"/>
    <n v="3121"/>
    <x v="357"/>
    <n v="0"/>
    <n v="440"/>
    <n v="1808"/>
    <n v="0"/>
    <n v="4929"/>
    <n v="2"/>
    <n v="0"/>
    <x v="106"/>
    <n v="4931"/>
    <n v="3121"/>
    <x v="1"/>
  </r>
  <r>
    <x v="4"/>
    <b v="0"/>
    <b v="0"/>
    <n v="3528"/>
    <n v="0"/>
    <n v="0"/>
    <n v="4484"/>
    <n v="0"/>
    <n v="0"/>
    <n v="8012"/>
    <x v="358"/>
    <n v="600"/>
    <n v="0"/>
    <n v="2963"/>
    <n v="0"/>
    <n v="10975"/>
    <n v="3"/>
    <n v="0"/>
    <x v="107"/>
    <n v="10978"/>
    <n v="8012"/>
    <x v="1"/>
  </r>
  <r>
    <x v="4"/>
    <b v="0"/>
    <b v="0"/>
    <n v="4205"/>
    <n v="0"/>
    <n v="0"/>
    <n v="9438"/>
    <n v="0"/>
    <n v="0"/>
    <n v="13643"/>
    <x v="33"/>
    <n v="0"/>
    <n v="930"/>
    <n v="5354"/>
    <n v="20"/>
    <n v="18997"/>
    <n v="1"/>
    <n v="0"/>
    <x v="108"/>
    <n v="19018"/>
    <n v="13643"/>
    <x v="1"/>
  </r>
  <r>
    <x v="4"/>
    <b v="0"/>
    <b v="0"/>
    <n v="2353"/>
    <n v="0"/>
    <n v="0"/>
    <n v="7860"/>
    <n v="0"/>
    <n v="0"/>
    <n v="10213"/>
    <x v="359"/>
    <n v="0"/>
    <n v="392"/>
    <n v="3520"/>
    <n v="0"/>
    <n v="13733"/>
    <n v="10"/>
    <n v="0"/>
    <x v="109"/>
    <n v="13743"/>
    <n v="10213"/>
    <x v="1"/>
  </r>
  <r>
    <x v="4"/>
    <b v="0"/>
    <b v="0"/>
    <n v="1778"/>
    <n v="0"/>
    <n v="0"/>
    <n v="6704"/>
    <n v="0"/>
    <n v="0"/>
    <n v="8482"/>
    <x v="360"/>
    <n v="0"/>
    <n v="260"/>
    <n v="2402"/>
    <n v="0"/>
    <n v="10884"/>
    <n v="0"/>
    <n v="0"/>
    <x v="110"/>
    <n v="10884"/>
    <n v="8482"/>
    <x v="1"/>
  </r>
  <r>
    <x v="4"/>
    <b v="0"/>
    <b v="0"/>
    <n v="688"/>
    <n v="0"/>
    <n v="0"/>
    <n v="3636"/>
    <n v="0"/>
    <n v="0"/>
    <n v="4324"/>
    <x v="217"/>
    <n v="0"/>
    <n v="0"/>
    <n v="423"/>
    <n v="0"/>
    <n v="4747"/>
    <n v="0"/>
    <n v="0"/>
    <x v="111"/>
    <n v="4747"/>
    <n v="4324"/>
    <x v="1"/>
  </r>
  <r>
    <x v="4"/>
    <b v="0"/>
    <b v="0"/>
    <n v="293"/>
    <n v="0"/>
    <n v="0"/>
    <n v="3748"/>
    <n v="0"/>
    <n v="0"/>
    <n v="4041"/>
    <x v="211"/>
    <n v="0"/>
    <n v="0"/>
    <n v="194"/>
    <n v="0"/>
    <n v="4235"/>
    <n v="8"/>
    <n v="0"/>
    <x v="112"/>
    <n v="4243"/>
    <n v="4041"/>
    <x v="1"/>
  </r>
  <r>
    <x v="4"/>
    <b v="0"/>
    <b v="0"/>
    <n v="188"/>
    <n v="0"/>
    <n v="0"/>
    <n v="364"/>
    <n v="0"/>
    <n v="0"/>
    <n v="552"/>
    <x v="126"/>
    <n v="0"/>
    <n v="0"/>
    <n v="81"/>
    <n v="0"/>
    <n v="633"/>
    <n v="0"/>
    <n v="0"/>
    <x v="113"/>
    <n v="633"/>
    <n v="552"/>
    <x v="1"/>
  </r>
  <r>
    <x v="4"/>
    <b v="0"/>
    <b v="0"/>
    <n v="245"/>
    <n v="0"/>
    <n v="0"/>
    <n v="244"/>
    <n v="0"/>
    <n v="0"/>
    <n v="489"/>
    <x v="361"/>
    <n v="0"/>
    <n v="0"/>
    <n v="72"/>
    <n v="0"/>
    <n v="561"/>
    <n v="2"/>
    <n v="0"/>
    <x v="114"/>
    <n v="563"/>
    <n v="489"/>
    <x v="1"/>
  </r>
  <r>
    <x v="4"/>
    <b v="0"/>
    <b v="0"/>
    <n v="395"/>
    <n v="0"/>
    <n v="0"/>
    <n v="234"/>
    <n v="0"/>
    <n v="0"/>
    <n v="629"/>
    <x v="362"/>
    <n v="0"/>
    <n v="0"/>
    <n v="50"/>
    <n v="0"/>
    <n v="679"/>
    <n v="3"/>
    <n v="0"/>
    <x v="115"/>
    <n v="682"/>
    <n v="629"/>
    <x v="1"/>
  </r>
  <r>
    <x v="4"/>
    <b v="0"/>
    <b v="0"/>
    <n v="358"/>
    <n v="0"/>
    <n v="0"/>
    <n v="310"/>
    <n v="0"/>
    <n v="0"/>
    <n v="668"/>
    <x v="363"/>
    <n v="0"/>
    <n v="0"/>
    <n v="149"/>
    <n v="0"/>
    <n v="817"/>
    <n v="3"/>
    <n v="0"/>
    <x v="116"/>
    <n v="820"/>
    <n v="668"/>
    <x v="1"/>
  </r>
  <r>
    <x v="4"/>
    <b v="0"/>
    <b v="0"/>
    <n v="838"/>
    <n v="0"/>
    <n v="0"/>
    <n v="334"/>
    <n v="0"/>
    <n v="0"/>
    <n v="1172"/>
    <x v="252"/>
    <n v="0"/>
    <n v="0"/>
    <n v="473"/>
    <n v="0"/>
    <n v="1645"/>
    <n v="1"/>
    <n v="0"/>
    <x v="117"/>
    <n v="1646"/>
    <n v="1172"/>
    <x v="1"/>
  </r>
  <r>
    <x v="4"/>
    <b v="0"/>
    <b v="0"/>
    <n v="803"/>
    <n v="0"/>
    <n v="0"/>
    <n v="422"/>
    <n v="0"/>
    <n v="0"/>
    <n v="1225"/>
    <x v="364"/>
    <n v="0"/>
    <n v="290"/>
    <n v="1591"/>
    <n v="0"/>
    <n v="2816"/>
    <n v="7"/>
    <n v="0"/>
    <x v="118"/>
    <n v="2823"/>
    <n v="1225"/>
    <x v="1"/>
  </r>
  <r>
    <x v="4"/>
    <b v="0"/>
    <b v="0"/>
    <n v="2370"/>
    <n v="0"/>
    <n v="0"/>
    <n v="496"/>
    <n v="0"/>
    <n v="0"/>
    <n v="2866"/>
    <x v="365"/>
    <n v="0"/>
    <n v="970"/>
    <n v="3243"/>
    <n v="0"/>
    <n v="6109"/>
    <n v="3"/>
    <n v="0"/>
    <x v="119"/>
    <n v="6112"/>
    <n v="2866"/>
    <x v="1"/>
  </r>
  <r>
    <x v="4"/>
    <b v="0"/>
    <b v="0"/>
    <n v="3393"/>
    <n v="0"/>
    <n v="0"/>
    <n v="144"/>
    <n v="0"/>
    <n v="0"/>
    <n v="3537"/>
    <x v="366"/>
    <n v="0"/>
    <n v="1155"/>
    <n v="2006"/>
    <n v="0"/>
    <n v="5543"/>
    <n v="2"/>
    <n v="0"/>
    <x v="120"/>
    <n v="5545"/>
    <n v="3537"/>
    <x v="1"/>
  </r>
  <r>
    <x v="4"/>
    <b v="0"/>
    <b v="0"/>
    <n v="1695"/>
    <n v="0"/>
    <n v="0"/>
    <n v="258"/>
    <n v="0"/>
    <n v="0"/>
    <n v="1953"/>
    <x v="367"/>
    <n v="0"/>
    <n v="580"/>
    <n v="3226"/>
    <n v="0"/>
    <n v="5179"/>
    <n v="4"/>
    <n v="0"/>
    <x v="121"/>
    <n v="5183"/>
    <n v="1953"/>
    <x v="1"/>
  </r>
  <r>
    <x v="4"/>
    <b v="0"/>
    <b v="0"/>
    <n v="1610"/>
    <n v="0"/>
    <n v="0"/>
    <n v="236"/>
    <n v="0"/>
    <n v="0"/>
    <n v="1846"/>
    <x v="368"/>
    <n v="0"/>
    <n v="540"/>
    <n v="2394"/>
    <n v="0"/>
    <n v="4240"/>
    <n v="0"/>
    <n v="0"/>
    <x v="122"/>
    <n v="4240"/>
    <n v="1846"/>
    <x v="1"/>
  </r>
  <r>
    <x v="4"/>
    <b v="0"/>
    <b v="0"/>
    <n v="678"/>
    <n v="0"/>
    <n v="0"/>
    <n v="256"/>
    <n v="0"/>
    <n v="0"/>
    <n v="934"/>
    <x v="282"/>
    <n v="0"/>
    <n v="300"/>
    <n v="638"/>
    <n v="0"/>
    <n v="1572"/>
    <n v="9"/>
    <n v="0"/>
    <x v="123"/>
    <n v="1581"/>
    <n v="934"/>
    <x v="1"/>
  </r>
  <r>
    <x v="4"/>
    <b v="0"/>
    <b v="0"/>
    <n v="123"/>
    <n v="0"/>
    <n v="0"/>
    <n v="0"/>
    <n v="0"/>
    <n v="0"/>
    <n v="123"/>
    <x v="369"/>
    <n v="0"/>
    <n v="0"/>
    <n v="59"/>
    <n v="0"/>
    <n v="182"/>
    <n v="1"/>
    <n v="0"/>
    <x v="124"/>
    <n v="183"/>
    <n v="123"/>
    <x v="1"/>
  </r>
  <r>
    <x v="4"/>
    <b v="0"/>
    <b v="0"/>
    <n v="128"/>
    <n v="0"/>
    <n v="0"/>
    <n v="0"/>
    <n v="0"/>
    <n v="0"/>
    <n v="128"/>
    <x v="370"/>
    <n v="0"/>
    <n v="0"/>
    <n v="14"/>
    <n v="0"/>
    <n v="142"/>
    <n v="0"/>
    <n v="0"/>
    <x v="125"/>
    <n v="142"/>
    <n v="128"/>
    <x v="1"/>
  </r>
  <r>
    <x v="4"/>
    <b v="0"/>
    <b v="0"/>
    <n v="468"/>
    <n v="0"/>
    <n v="0"/>
    <n v="6"/>
    <n v="0"/>
    <n v="0"/>
    <n v="474"/>
    <x v="371"/>
    <n v="0"/>
    <n v="0"/>
    <n v="18"/>
    <n v="0"/>
    <n v="492"/>
    <n v="0"/>
    <n v="0"/>
    <x v="126"/>
    <n v="492"/>
    <n v="474"/>
    <x v="1"/>
  </r>
  <r>
    <x v="4"/>
    <b v="0"/>
    <b v="0"/>
    <n v="410"/>
    <n v="0"/>
    <n v="0"/>
    <n v="10"/>
    <n v="0"/>
    <n v="0"/>
    <n v="420"/>
    <x v="372"/>
    <n v="0"/>
    <n v="0"/>
    <n v="144"/>
    <n v="0"/>
    <n v="564"/>
    <n v="0"/>
    <n v="0"/>
    <x v="127"/>
    <n v="564"/>
    <n v="420"/>
    <x v="1"/>
  </r>
  <r>
    <x v="4"/>
    <b v="0"/>
    <b v="0"/>
    <n v="428"/>
    <n v="0"/>
    <n v="0"/>
    <n v="18"/>
    <n v="0"/>
    <n v="0"/>
    <n v="446"/>
    <x v="235"/>
    <n v="0"/>
    <n v="0"/>
    <n v="248"/>
    <n v="0"/>
    <n v="694"/>
    <n v="0"/>
    <n v="0"/>
    <x v="128"/>
    <n v="694"/>
    <n v="446"/>
    <x v="1"/>
  </r>
  <r>
    <x v="4"/>
    <b v="0"/>
    <b v="0"/>
    <n v="1100"/>
    <n v="0"/>
    <n v="0"/>
    <n v="4"/>
    <n v="0"/>
    <n v="0"/>
    <n v="1104"/>
    <x v="373"/>
    <n v="0"/>
    <n v="0"/>
    <n v="518"/>
    <n v="0"/>
    <n v="1622"/>
    <n v="0"/>
    <n v="0"/>
    <x v="129"/>
    <n v="1622"/>
    <n v="1104"/>
    <x v="1"/>
  </r>
  <r>
    <x v="4"/>
    <b v="0"/>
    <b v="0"/>
    <n v="1953"/>
    <n v="0"/>
    <n v="0"/>
    <n v="0"/>
    <n v="0"/>
    <n v="0"/>
    <n v="1953"/>
    <x v="374"/>
    <n v="0"/>
    <n v="0"/>
    <n v="1224"/>
    <n v="0"/>
    <n v="3177"/>
    <n v="1"/>
    <n v="0"/>
    <x v="130"/>
    <n v="3178"/>
    <n v="1953"/>
    <x v="1"/>
  </r>
  <r>
    <x v="4"/>
    <b v="0"/>
    <b v="0"/>
    <n v="1303"/>
    <n v="0"/>
    <n v="0"/>
    <n v="0"/>
    <n v="0"/>
    <n v="0"/>
    <n v="1303"/>
    <x v="375"/>
    <n v="0"/>
    <n v="0"/>
    <n v="2781"/>
    <n v="0"/>
    <n v="4084"/>
    <n v="0"/>
    <n v="0"/>
    <x v="131"/>
    <n v="4084"/>
    <n v="1303"/>
    <x v="1"/>
  </r>
  <r>
    <x v="4"/>
    <b v="0"/>
    <b v="0"/>
    <n v="3530"/>
    <n v="0"/>
    <n v="0"/>
    <n v="0"/>
    <n v="0"/>
    <n v="0"/>
    <n v="3530"/>
    <x v="376"/>
    <n v="0"/>
    <n v="0"/>
    <n v="3285"/>
    <n v="0"/>
    <n v="6815"/>
    <n v="0"/>
    <n v="0"/>
    <x v="132"/>
    <n v="6815"/>
    <n v="3530"/>
    <x v="1"/>
  </r>
  <r>
    <x v="4"/>
    <b v="0"/>
    <b v="0"/>
    <n v="2695"/>
    <n v="0"/>
    <n v="0"/>
    <n v="32"/>
    <n v="0"/>
    <n v="0"/>
    <n v="2727"/>
    <x v="377"/>
    <n v="0"/>
    <n v="0"/>
    <n v="2961"/>
    <n v="0"/>
    <n v="5688"/>
    <n v="0"/>
    <n v="0"/>
    <x v="133"/>
    <n v="5688"/>
    <n v="2727"/>
    <x v="1"/>
  </r>
  <r>
    <x v="4"/>
    <b v="0"/>
    <b v="0"/>
    <n v="1503"/>
    <n v="0"/>
    <n v="0"/>
    <n v="6"/>
    <n v="0"/>
    <n v="0"/>
    <n v="1509"/>
    <x v="378"/>
    <n v="0"/>
    <n v="2"/>
    <n v="1424"/>
    <n v="0"/>
    <n v="2933"/>
    <n v="2"/>
    <n v="0"/>
    <x v="134"/>
    <n v="2935"/>
    <n v="1509"/>
    <x v="1"/>
  </r>
  <r>
    <x v="4"/>
    <b v="0"/>
    <b v="0"/>
    <n v="423"/>
    <n v="0"/>
    <n v="0"/>
    <n v="28"/>
    <n v="0"/>
    <n v="0"/>
    <n v="451"/>
    <x v="379"/>
    <n v="0"/>
    <n v="6"/>
    <n v="726"/>
    <n v="0"/>
    <n v="1177"/>
    <n v="9"/>
    <n v="0"/>
    <x v="135"/>
    <n v="1186"/>
    <n v="451"/>
    <x v="1"/>
  </r>
  <r>
    <x v="4"/>
    <b v="0"/>
    <b v="0"/>
    <n v="295"/>
    <n v="0"/>
    <n v="0"/>
    <n v="48"/>
    <n v="0"/>
    <n v="0"/>
    <n v="343"/>
    <x v="380"/>
    <n v="0"/>
    <n v="0"/>
    <n v="135"/>
    <n v="0"/>
    <n v="478"/>
    <n v="1"/>
    <n v="0"/>
    <x v="136"/>
    <n v="479"/>
    <n v="343"/>
    <x v="1"/>
  </r>
  <r>
    <x v="4"/>
    <b v="0"/>
    <b v="0"/>
    <n v="33"/>
    <n v="0"/>
    <n v="0"/>
    <n v="2"/>
    <n v="0"/>
    <n v="0"/>
    <n v="35"/>
    <x v="381"/>
    <n v="0"/>
    <n v="0"/>
    <n v="41"/>
    <n v="0"/>
    <n v="76"/>
    <n v="0"/>
    <n v="0"/>
    <x v="137"/>
    <n v="76"/>
    <n v="35"/>
    <x v="1"/>
  </r>
  <r>
    <x v="4"/>
    <b v="0"/>
    <b v="0"/>
    <n v="468"/>
    <n v="0"/>
    <n v="0"/>
    <n v="12"/>
    <n v="0"/>
    <n v="0"/>
    <n v="480"/>
    <x v="264"/>
    <n v="0"/>
    <n v="0"/>
    <n v="90"/>
    <n v="0"/>
    <n v="570"/>
    <n v="1"/>
    <n v="0"/>
    <x v="138"/>
    <n v="571"/>
    <n v="480"/>
    <x v="3"/>
  </r>
  <r>
    <x v="4"/>
    <b v="0"/>
    <b v="0"/>
    <n v="565"/>
    <n v="0"/>
    <n v="30"/>
    <n v="118"/>
    <n v="0"/>
    <n v="0"/>
    <n v="713"/>
    <x v="382"/>
    <n v="0"/>
    <n v="0"/>
    <n v="113"/>
    <n v="0"/>
    <n v="826"/>
    <n v="1"/>
    <n v="0"/>
    <x v="139"/>
    <n v="827"/>
    <n v="713"/>
    <x v="3"/>
  </r>
  <r>
    <x v="4"/>
    <b v="0"/>
    <b v="0"/>
    <n v="1020"/>
    <n v="0"/>
    <n v="0"/>
    <n v="68"/>
    <n v="5"/>
    <n v="0"/>
    <n v="1093"/>
    <x v="291"/>
    <n v="0"/>
    <n v="247"/>
    <n v="972"/>
    <n v="0"/>
    <n v="2065"/>
    <n v="0"/>
    <n v="0"/>
    <x v="140"/>
    <n v="2065"/>
    <n v="1093"/>
    <x v="3"/>
  </r>
  <r>
    <x v="4"/>
    <b v="0"/>
    <b v="0"/>
    <n v="1235"/>
    <n v="0"/>
    <n v="0"/>
    <n v="230"/>
    <n v="0"/>
    <n v="0"/>
    <n v="1465"/>
    <x v="383"/>
    <n v="0"/>
    <n v="100"/>
    <n v="519"/>
    <n v="0"/>
    <n v="1984"/>
    <n v="0"/>
    <n v="0"/>
    <x v="141"/>
    <n v="1984"/>
    <n v="1465"/>
    <x v="3"/>
  </r>
  <r>
    <x v="4"/>
    <b v="0"/>
    <b v="0"/>
    <n v="3265"/>
    <n v="0"/>
    <n v="0"/>
    <n v="56"/>
    <n v="0"/>
    <n v="0"/>
    <n v="3321"/>
    <x v="384"/>
    <n v="0"/>
    <n v="438"/>
    <n v="2490"/>
    <n v="0"/>
    <n v="5811"/>
    <n v="0"/>
    <n v="0"/>
    <x v="142"/>
    <n v="5811"/>
    <n v="3321"/>
    <x v="3"/>
  </r>
  <r>
    <x v="4"/>
    <b v="0"/>
    <b v="0"/>
    <n v="7940"/>
    <n v="0"/>
    <n v="0"/>
    <n v="40"/>
    <n v="0"/>
    <n v="0"/>
    <n v="7980"/>
    <x v="385"/>
    <n v="0"/>
    <n v="0"/>
    <n v="8959"/>
    <n v="0"/>
    <n v="16939"/>
    <n v="0"/>
    <n v="0"/>
    <x v="143"/>
    <n v="16939"/>
    <n v="7980"/>
    <x v="3"/>
  </r>
  <r>
    <x v="4"/>
    <b v="0"/>
    <b v="0"/>
    <n v="3460"/>
    <n v="0"/>
    <n v="0"/>
    <n v="0"/>
    <n v="0"/>
    <n v="0"/>
    <n v="3460"/>
    <x v="386"/>
    <n v="0"/>
    <n v="0"/>
    <n v="1777"/>
    <n v="0"/>
    <n v="5237"/>
    <n v="0"/>
    <n v="0"/>
    <x v="144"/>
    <n v="5237"/>
    <n v="3460"/>
    <x v="3"/>
  </r>
  <r>
    <x v="4"/>
    <b v="0"/>
    <b v="0"/>
    <n v="2392"/>
    <n v="0"/>
    <n v="0"/>
    <n v="0"/>
    <n v="0"/>
    <n v="0"/>
    <n v="2392"/>
    <x v="387"/>
    <n v="0"/>
    <n v="0"/>
    <n v="1515"/>
    <n v="0"/>
    <n v="3907"/>
    <n v="0"/>
    <n v="0"/>
    <x v="145"/>
    <n v="3907"/>
    <n v="2392"/>
    <x v="3"/>
  </r>
  <r>
    <x v="4"/>
    <b v="0"/>
    <b v="0"/>
    <n v="1365"/>
    <n v="0"/>
    <n v="0"/>
    <n v="0"/>
    <n v="0"/>
    <n v="0"/>
    <n v="1365"/>
    <x v="307"/>
    <n v="0"/>
    <n v="0"/>
    <n v="805"/>
    <n v="0"/>
    <n v="2170"/>
    <n v="0"/>
    <n v="0"/>
    <x v="146"/>
    <n v="2170"/>
    <n v="1365"/>
    <x v="3"/>
  </r>
  <r>
    <x v="4"/>
    <b v="0"/>
    <b v="0"/>
    <n v="502"/>
    <n v="0"/>
    <n v="0"/>
    <n v="0"/>
    <n v="0"/>
    <n v="0"/>
    <n v="502"/>
    <x v="388"/>
    <n v="0"/>
    <n v="0"/>
    <n v="162"/>
    <n v="0"/>
    <n v="664"/>
    <n v="0"/>
    <n v="0"/>
    <x v="147"/>
    <n v="664"/>
    <n v="502"/>
    <x v="3"/>
  </r>
  <r>
    <x v="4"/>
    <b v="0"/>
    <b v="0"/>
    <n v="287"/>
    <n v="0"/>
    <n v="0"/>
    <n v="0"/>
    <n v="0"/>
    <n v="0"/>
    <n v="287"/>
    <x v="346"/>
    <n v="0"/>
    <n v="0"/>
    <n v="279"/>
    <n v="0"/>
    <n v="566"/>
    <n v="0"/>
    <n v="0"/>
    <x v="148"/>
    <n v="566"/>
    <n v="287"/>
    <x v="3"/>
  </r>
  <r>
    <x v="4"/>
    <b v="0"/>
    <b v="0"/>
    <n v="190"/>
    <n v="0"/>
    <n v="0"/>
    <n v="2"/>
    <n v="0"/>
    <n v="0"/>
    <n v="192"/>
    <x v="381"/>
    <n v="0"/>
    <n v="0"/>
    <n v="41"/>
    <n v="0"/>
    <n v="233"/>
    <n v="0"/>
    <n v="0"/>
    <x v="149"/>
    <n v="233"/>
    <n v="192"/>
    <x v="3"/>
  </r>
  <r>
    <x v="4"/>
    <b v="0"/>
    <b v="0"/>
    <n v="313"/>
    <n v="0"/>
    <n v="0"/>
    <n v="4"/>
    <n v="0"/>
    <n v="0"/>
    <n v="317"/>
    <x v="361"/>
    <n v="0"/>
    <n v="0"/>
    <n v="72"/>
    <n v="0"/>
    <n v="389"/>
    <n v="0"/>
    <n v="0"/>
    <x v="150"/>
    <n v="389"/>
    <n v="317"/>
    <x v="4"/>
  </r>
  <r>
    <x v="4"/>
    <b v="0"/>
    <b v="0"/>
    <n v="373"/>
    <n v="0"/>
    <n v="0"/>
    <n v="40"/>
    <n v="0"/>
    <n v="0"/>
    <n v="413"/>
    <x v="382"/>
    <n v="0"/>
    <n v="0"/>
    <n v="113"/>
    <n v="0"/>
    <n v="526"/>
    <n v="0"/>
    <n v="0"/>
    <x v="151"/>
    <n v="526"/>
    <n v="413"/>
    <x v="4"/>
  </r>
  <r>
    <x v="4"/>
    <b v="0"/>
    <b v="0"/>
    <n v="668"/>
    <n v="0"/>
    <n v="0"/>
    <n v="0"/>
    <n v="0"/>
    <n v="0"/>
    <n v="668"/>
    <x v="389"/>
    <n v="0"/>
    <n v="0"/>
    <n v="275"/>
    <n v="0"/>
    <n v="943"/>
    <n v="0"/>
    <n v="0"/>
    <x v="152"/>
    <n v="943"/>
    <n v="668"/>
    <x v="4"/>
  </r>
  <r>
    <x v="4"/>
    <b v="0"/>
    <b v="0"/>
    <n v="1115"/>
    <n v="0"/>
    <n v="0"/>
    <n v="0"/>
    <n v="0"/>
    <n v="0"/>
    <n v="1115"/>
    <x v="390"/>
    <n v="0"/>
    <n v="0"/>
    <n v="324"/>
    <n v="0"/>
    <n v="1439"/>
    <n v="0"/>
    <n v="0"/>
    <x v="153"/>
    <n v="1439"/>
    <n v="1115"/>
    <x v="4"/>
  </r>
  <r>
    <x v="4"/>
    <b v="0"/>
    <b v="0"/>
    <n v="2528"/>
    <n v="0"/>
    <n v="0"/>
    <n v="0"/>
    <n v="0"/>
    <n v="0"/>
    <n v="2528"/>
    <x v="211"/>
    <n v="0"/>
    <n v="0"/>
    <n v="194"/>
    <n v="0"/>
    <n v="2722"/>
    <n v="0"/>
    <n v="0"/>
    <x v="154"/>
    <n v="2722"/>
    <n v="2528"/>
    <x v="4"/>
  </r>
  <r>
    <x v="4"/>
    <b v="0"/>
    <b v="0"/>
    <n v="2705"/>
    <n v="0"/>
    <n v="0"/>
    <n v="0"/>
    <n v="0"/>
    <n v="0"/>
    <n v="2705"/>
    <x v="268"/>
    <n v="0"/>
    <n v="0"/>
    <n v="999"/>
    <n v="0"/>
    <n v="3704"/>
    <n v="0"/>
    <n v="0"/>
    <x v="155"/>
    <n v="3704"/>
    <n v="2705"/>
    <x v="4"/>
  </r>
  <r>
    <x v="4"/>
    <b v="0"/>
    <b v="0"/>
    <n v="4985"/>
    <n v="0"/>
    <n v="0"/>
    <n v="0"/>
    <n v="0"/>
    <n v="0"/>
    <n v="4985"/>
    <x v="391"/>
    <n v="0"/>
    <n v="0"/>
    <n v="1521"/>
    <n v="0"/>
    <n v="6506"/>
    <n v="0"/>
    <n v="0"/>
    <x v="156"/>
    <n v="6506"/>
    <n v="4985"/>
    <x v="4"/>
  </r>
  <r>
    <x v="4"/>
    <b v="0"/>
    <b v="0"/>
    <n v="3750"/>
    <n v="0"/>
    <n v="0"/>
    <n v="0"/>
    <n v="0"/>
    <n v="0"/>
    <n v="3750"/>
    <x v="392"/>
    <n v="0"/>
    <n v="0"/>
    <n v="1508"/>
    <n v="0"/>
    <n v="5258"/>
    <n v="0"/>
    <n v="0"/>
    <x v="157"/>
    <n v="5258"/>
    <n v="3750"/>
    <x v="4"/>
  </r>
  <r>
    <x v="4"/>
    <b v="0"/>
    <b v="0"/>
    <n v="1380"/>
    <n v="0"/>
    <n v="0"/>
    <n v="0"/>
    <n v="0"/>
    <n v="0"/>
    <n v="1380"/>
    <x v="38"/>
    <n v="0"/>
    <n v="0"/>
    <n v="0"/>
    <n v="0"/>
    <n v="1380"/>
    <n v="0"/>
    <n v="0"/>
    <x v="158"/>
    <n v="1380"/>
    <n v="1380"/>
    <x v="4"/>
  </r>
  <r>
    <x v="4"/>
    <b v="0"/>
    <b v="0"/>
    <n v="687"/>
    <n v="0"/>
    <n v="0"/>
    <n v="0"/>
    <n v="0"/>
    <n v="0"/>
    <n v="687"/>
    <x v="393"/>
    <n v="0"/>
    <n v="0"/>
    <n v="247"/>
    <n v="0"/>
    <n v="934"/>
    <n v="0"/>
    <n v="0"/>
    <x v="159"/>
    <n v="934"/>
    <n v="687"/>
    <x v="4"/>
  </r>
  <r>
    <x v="4"/>
    <b v="0"/>
    <b v="0"/>
    <n v="392"/>
    <n v="0"/>
    <n v="0"/>
    <n v="0"/>
    <n v="0"/>
    <n v="0"/>
    <n v="392"/>
    <x v="394"/>
    <n v="0"/>
    <n v="0"/>
    <n v="189"/>
    <n v="0"/>
    <n v="581"/>
    <n v="0"/>
    <n v="0"/>
    <x v="160"/>
    <n v="581"/>
    <n v="392"/>
    <x v="4"/>
  </r>
  <r>
    <x v="4"/>
    <b v="0"/>
    <b v="0"/>
    <n v="260"/>
    <n v="0"/>
    <n v="0"/>
    <n v="2"/>
    <n v="0"/>
    <n v="0"/>
    <n v="262"/>
    <x v="264"/>
    <n v="0"/>
    <n v="0"/>
    <n v="90"/>
    <n v="0"/>
    <n v="352"/>
    <n v="0"/>
    <n v="0"/>
    <x v="161"/>
    <n v="352"/>
    <n v="262"/>
    <x v="4"/>
  </r>
  <r>
    <x v="4"/>
    <b v="0"/>
    <b v="0"/>
    <n v="400"/>
    <n v="0"/>
    <n v="0"/>
    <n v="4"/>
    <n v="0"/>
    <n v="0"/>
    <n v="404"/>
    <x v="114"/>
    <n v="0"/>
    <n v="0"/>
    <n v="140"/>
    <n v="0"/>
    <n v="544"/>
    <n v="2"/>
    <n v="0"/>
    <x v="162"/>
    <n v="546"/>
    <n v="404"/>
    <x v="4"/>
  </r>
  <r>
    <x v="4"/>
    <b v="0"/>
    <b v="0"/>
    <n v="620"/>
    <n v="0"/>
    <n v="0"/>
    <n v="6"/>
    <n v="0"/>
    <n v="0"/>
    <n v="626"/>
    <x v="215"/>
    <n v="0"/>
    <n v="0"/>
    <n v="185"/>
    <n v="0"/>
    <n v="811"/>
    <n v="0"/>
    <n v="0"/>
    <x v="163"/>
    <n v="811"/>
    <n v="626"/>
    <x v="4"/>
  </r>
  <r>
    <x v="4"/>
    <b v="0"/>
    <b v="0"/>
    <n v="1438"/>
    <n v="0"/>
    <n v="0"/>
    <n v="0"/>
    <n v="0"/>
    <n v="0"/>
    <n v="1438"/>
    <x v="270"/>
    <n v="0"/>
    <n v="0"/>
    <n v="392"/>
    <n v="0"/>
    <n v="1830"/>
    <n v="0"/>
    <n v="0"/>
    <x v="164"/>
    <n v="1830"/>
    <n v="1438"/>
    <x v="4"/>
  </r>
  <r>
    <x v="4"/>
    <b v="0"/>
    <b v="0"/>
    <n v="1043"/>
    <n v="0"/>
    <n v="0"/>
    <n v="2"/>
    <n v="4"/>
    <n v="0"/>
    <n v="1049"/>
    <x v="115"/>
    <n v="0"/>
    <n v="64"/>
    <n v="282"/>
    <n v="0"/>
    <n v="1331"/>
    <n v="8"/>
    <n v="0"/>
    <x v="165"/>
    <n v="1339"/>
    <n v="1049"/>
    <x v="4"/>
  </r>
  <r>
    <x v="4"/>
    <b v="0"/>
    <b v="0"/>
    <n v="2820"/>
    <n v="2"/>
    <n v="0"/>
    <n v="0"/>
    <n v="0"/>
    <n v="0"/>
    <n v="2822"/>
    <x v="395"/>
    <n v="0"/>
    <n v="162"/>
    <n v="1764"/>
    <n v="0"/>
    <n v="4586"/>
    <n v="3"/>
    <n v="0"/>
    <x v="166"/>
    <n v="4589"/>
    <n v="2822"/>
    <x v="4"/>
  </r>
  <r>
    <x v="4"/>
    <b v="0"/>
    <b v="0"/>
    <n v="6398"/>
    <n v="3"/>
    <n v="0"/>
    <n v="0"/>
    <n v="0"/>
    <n v="0"/>
    <n v="6401"/>
    <x v="396"/>
    <n v="0"/>
    <n v="0"/>
    <n v="2277"/>
    <n v="0"/>
    <n v="8678"/>
    <n v="11"/>
    <n v="0"/>
    <x v="167"/>
    <n v="8689"/>
    <n v="6401"/>
    <x v="4"/>
  </r>
  <r>
    <x v="4"/>
    <b v="0"/>
    <b v="0"/>
    <n v="5730"/>
    <n v="0"/>
    <n v="0"/>
    <n v="0"/>
    <n v="0"/>
    <n v="0"/>
    <n v="5730"/>
    <x v="397"/>
    <n v="0"/>
    <n v="239"/>
    <n v="3767"/>
    <n v="0"/>
    <n v="9497"/>
    <n v="5"/>
    <n v="0"/>
    <x v="168"/>
    <n v="9502"/>
    <n v="5730"/>
    <x v="4"/>
  </r>
  <r>
    <x v="4"/>
    <b v="0"/>
    <b v="0"/>
    <n v="4513"/>
    <n v="0"/>
    <n v="0"/>
    <n v="0"/>
    <n v="0"/>
    <n v="0"/>
    <n v="4513"/>
    <x v="398"/>
    <n v="0"/>
    <n v="304"/>
    <n v="3216"/>
    <n v="0"/>
    <n v="7729"/>
    <n v="4"/>
    <n v="0"/>
    <x v="169"/>
    <n v="7733"/>
    <n v="4513"/>
    <x v="4"/>
  </r>
  <r>
    <x v="4"/>
    <b v="0"/>
    <b v="0"/>
    <n v="2143"/>
    <n v="0"/>
    <n v="0"/>
    <n v="0"/>
    <n v="0"/>
    <n v="0"/>
    <n v="2143"/>
    <x v="399"/>
    <n v="0"/>
    <n v="125"/>
    <n v="1984"/>
    <n v="0"/>
    <n v="4127"/>
    <n v="0"/>
    <n v="0"/>
    <x v="170"/>
    <n v="4127"/>
    <n v="2143"/>
    <x v="4"/>
  </r>
  <r>
    <x v="4"/>
    <b v="0"/>
    <b v="0"/>
    <n v="433"/>
    <n v="0"/>
    <n v="0"/>
    <n v="0"/>
    <n v="0"/>
    <n v="0"/>
    <n v="433"/>
    <x v="400"/>
    <n v="0"/>
    <n v="0"/>
    <n v="612"/>
    <n v="0"/>
    <n v="1045"/>
    <n v="0"/>
    <n v="0"/>
    <x v="171"/>
    <n v="1045"/>
    <n v="433"/>
    <x v="4"/>
  </r>
  <r>
    <x v="4"/>
    <b v="0"/>
    <b v="0"/>
    <n v="330"/>
    <n v="0"/>
    <n v="0"/>
    <n v="0"/>
    <n v="0"/>
    <n v="0"/>
    <n v="330"/>
    <x v="389"/>
    <n v="0"/>
    <n v="0"/>
    <n v="275"/>
    <n v="0"/>
    <n v="605"/>
    <n v="0"/>
    <n v="0"/>
    <x v="172"/>
    <n v="605"/>
    <n v="330"/>
    <x v="4"/>
  </r>
  <r>
    <x v="4"/>
    <b v="0"/>
    <b v="0"/>
    <n v="245"/>
    <n v="0"/>
    <n v="0"/>
    <n v="0"/>
    <n v="0"/>
    <n v="0"/>
    <n v="245"/>
    <x v="126"/>
    <n v="0"/>
    <n v="0"/>
    <n v="81"/>
    <n v="0"/>
    <n v="326"/>
    <n v="0"/>
    <n v="0"/>
    <x v="173"/>
    <n v="326"/>
    <n v="245"/>
    <x v="4"/>
  </r>
  <r>
    <x v="4"/>
    <b v="0"/>
    <b v="0"/>
    <n v="285"/>
    <n v="0"/>
    <n v="0"/>
    <n v="0"/>
    <n v="0"/>
    <n v="0"/>
    <n v="285"/>
    <x v="361"/>
    <n v="0"/>
    <n v="0"/>
    <n v="72"/>
    <n v="0"/>
    <n v="357"/>
    <n v="0"/>
    <n v="0"/>
    <x v="174"/>
    <n v="357"/>
    <n v="285"/>
    <x v="0"/>
  </r>
  <r>
    <x v="4"/>
    <b v="0"/>
    <b v="0"/>
    <n v="33"/>
    <n v="0"/>
    <n v="0"/>
    <n v="0"/>
    <n v="0"/>
    <n v="0"/>
    <n v="33"/>
    <x v="371"/>
    <n v="0"/>
    <n v="0"/>
    <n v="18"/>
    <n v="0"/>
    <n v="51"/>
    <n v="0"/>
    <n v="0"/>
    <x v="175"/>
    <n v="51"/>
    <n v="33"/>
    <x v="0"/>
  </r>
  <r>
    <x v="4"/>
    <b v="0"/>
    <b v="0"/>
    <n v="815"/>
    <n v="0"/>
    <n v="0"/>
    <n v="0"/>
    <n v="0"/>
    <n v="0"/>
    <n v="815"/>
    <x v="280"/>
    <n v="0"/>
    <n v="0"/>
    <n v="270"/>
    <n v="0"/>
    <n v="1085"/>
    <n v="0"/>
    <n v="0"/>
    <x v="176"/>
    <n v="1085"/>
    <n v="815"/>
    <x v="0"/>
  </r>
  <r>
    <x v="4"/>
    <b v="0"/>
    <b v="0"/>
    <n v="675"/>
    <n v="0"/>
    <n v="0"/>
    <n v="0"/>
    <n v="0"/>
    <n v="0"/>
    <n v="675"/>
    <x v="401"/>
    <n v="0"/>
    <n v="0"/>
    <n v="396"/>
    <n v="0"/>
    <n v="1071"/>
    <n v="0"/>
    <n v="0"/>
    <x v="177"/>
    <n v="1071"/>
    <n v="675"/>
    <x v="0"/>
  </r>
  <r>
    <x v="4"/>
    <b v="0"/>
    <b v="0"/>
    <n v="1973"/>
    <n v="0"/>
    <n v="0"/>
    <n v="0"/>
    <n v="0"/>
    <n v="0"/>
    <n v="1973"/>
    <x v="402"/>
    <n v="0"/>
    <n v="0"/>
    <n v="1377"/>
    <n v="0"/>
    <n v="3350"/>
    <n v="0"/>
    <n v="0"/>
    <x v="178"/>
    <n v="3350"/>
    <n v="1973"/>
    <x v="0"/>
  </r>
  <r>
    <x v="4"/>
    <b v="0"/>
    <b v="0"/>
    <n v="6398"/>
    <n v="3"/>
    <n v="0"/>
    <n v="0"/>
    <n v="0"/>
    <n v="0"/>
    <n v="6401"/>
    <x v="396"/>
    <n v="0"/>
    <n v="0"/>
    <n v="2277"/>
    <n v="0"/>
    <n v="8678"/>
    <n v="11"/>
    <n v="0"/>
    <x v="179"/>
    <n v="8689"/>
    <n v="6401"/>
    <x v="0"/>
  </r>
  <r>
    <x v="4"/>
    <b v="0"/>
    <b v="0"/>
    <n v="4966"/>
    <n v="0"/>
    <n v="0"/>
    <n v="0"/>
    <n v="0"/>
    <n v="0"/>
    <n v="4966"/>
    <x v="403"/>
    <n v="0"/>
    <n v="0"/>
    <n v="1646"/>
    <n v="0"/>
    <n v="6612"/>
    <n v="0"/>
    <n v="0"/>
    <x v="180"/>
    <n v="6612"/>
    <n v="4966"/>
    <x v="0"/>
  </r>
  <r>
    <x v="4"/>
    <b v="0"/>
    <b v="0"/>
    <n v="3769"/>
    <n v="0"/>
    <n v="0"/>
    <n v="0"/>
    <n v="0"/>
    <n v="0"/>
    <n v="3769"/>
    <x v="404"/>
    <n v="0"/>
    <n v="0"/>
    <n v="2924"/>
    <n v="0"/>
    <n v="6693"/>
    <n v="0"/>
    <n v="0"/>
    <x v="181"/>
    <n v="6693"/>
    <n v="3769"/>
    <x v="0"/>
  </r>
  <r>
    <x v="4"/>
    <b v="0"/>
    <b v="0"/>
    <n v="1598"/>
    <n v="0"/>
    <n v="0"/>
    <n v="0"/>
    <n v="0"/>
    <n v="0"/>
    <n v="1598"/>
    <x v="405"/>
    <n v="0"/>
    <n v="0"/>
    <n v="1466"/>
    <n v="0"/>
    <n v="3064"/>
    <n v="0"/>
    <n v="0"/>
    <x v="182"/>
    <n v="3064"/>
    <n v="1598"/>
    <x v="0"/>
  </r>
  <r>
    <x v="4"/>
    <b v="0"/>
    <b v="0"/>
    <n v="454"/>
    <n v="0"/>
    <n v="0"/>
    <n v="0"/>
    <n v="0"/>
    <n v="0"/>
    <n v="454"/>
    <x v="406"/>
    <n v="0"/>
    <n v="0"/>
    <n v="656"/>
    <n v="0"/>
    <n v="1110"/>
    <n v="0"/>
    <n v="0"/>
    <x v="183"/>
    <n v="1110"/>
    <n v="454"/>
    <x v="0"/>
  </r>
  <r>
    <x v="4"/>
    <b v="0"/>
    <b v="0"/>
    <n v="296"/>
    <n v="0"/>
    <n v="0"/>
    <n v="0"/>
    <n v="0"/>
    <n v="0"/>
    <n v="296"/>
    <x v="407"/>
    <n v="0"/>
    <n v="0"/>
    <n v="265"/>
    <n v="0"/>
    <n v="561"/>
    <n v="0"/>
    <n v="0"/>
    <x v="184"/>
    <n v="561"/>
    <n v="296"/>
    <x v="0"/>
  </r>
  <r>
    <x v="4"/>
    <b v="0"/>
    <b v="0"/>
    <n v="36"/>
    <n v="0"/>
    <n v="0"/>
    <n v="3"/>
    <n v="0"/>
    <n v="0"/>
    <n v="39"/>
    <x v="408"/>
    <n v="0"/>
    <n v="0"/>
    <n v="49"/>
    <n v="0"/>
    <n v="88"/>
    <n v="0"/>
    <n v="0"/>
    <x v="185"/>
    <n v="88"/>
    <n v="39"/>
    <x v="0"/>
  </r>
  <r>
    <x v="4"/>
    <b v="0"/>
    <b v="0"/>
    <n v="297"/>
    <n v="0"/>
    <n v="0"/>
    <n v="0"/>
    <n v="0"/>
    <n v="0"/>
    <n v="297"/>
    <x v="371"/>
    <n v="0"/>
    <n v="0"/>
    <n v="18"/>
    <n v="0"/>
    <n v="315"/>
    <n v="0"/>
    <n v="0"/>
    <x v="186"/>
    <n v="315"/>
    <n v="297"/>
    <x v="1"/>
  </r>
  <r>
    <x v="4"/>
    <b v="0"/>
    <b v="0"/>
    <n v="198"/>
    <n v="0"/>
    <n v="0"/>
    <n v="0"/>
    <n v="0"/>
    <n v="0"/>
    <n v="198"/>
    <x v="409"/>
    <n v="0"/>
    <n v="0"/>
    <n v="24"/>
    <n v="0"/>
    <n v="222"/>
    <n v="0"/>
    <n v="0"/>
    <x v="187"/>
    <n v="222"/>
    <n v="198"/>
    <x v="1"/>
  </r>
  <r>
    <x v="4"/>
    <b v="0"/>
    <b v="0"/>
    <n v="588"/>
    <n v="0"/>
    <n v="0"/>
    <n v="0"/>
    <n v="0"/>
    <n v="0"/>
    <n v="588"/>
    <x v="102"/>
    <n v="0"/>
    <n v="0"/>
    <n v="171"/>
    <n v="0"/>
    <n v="759"/>
    <n v="0"/>
    <n v="0"/>
    <x v="188"/>
    <n v="759"/>
    <n v="588"/>
    <x v="1"/>
  </r>
  <r>
    <x v="4"/>
    <b v="0"/>
    <b v="0"/>
    <n v="598"/>
    <n v="0"/>
    <n v="0"/>
    <n v="0"/>
    <n v="0"/>
    <n v="0"/>
    <n v="598"/>
    <x v="410"/>
    <n v="0"/>
    <n v="0"/>
    <n v="256"/>
    <n v="0"/>
    <n v="854"/>
    <n v="0"/>
    <n v="0"/>
    <x v="189"/>
    <n v="854"/>
    <n v="598"/>
    <x v="1"/>
  </r>
  <r>
    <x v="4"/>
    <b v="0"/>
    <b v="0"/>
    <n v="921"/>
    <n v="0"/>
    <n v="0"/>
    <n v="0"/>
    <n v="0"/>
    <n v="0"/>
    <n v="921"/>
    <x v="411"/>
    <n v="0"/>
    <n v="0"/>
    <n v="681"/>
    <n v="0"/>
    <n v="1602"/>
    <n v="0"/>
    <n v="0"/>
    <x v="190"/>
    <n v="1602"/>
    <n v="921"/>
    <x v="1"/>
  </r>
  <r>
    <x v="4"/>
    <b v="0"/>
    <b v="0"/>
    <n v="6244"/>
    <n v="0"/>
    <n v="0"/>
    <n v="0"/>
    <n v="0"/>
    <n v="0"/>
    <n v="6244"/>
    <x v="412"/>
    <n v="0"/>
    <n v="0"/>
    <n v="2269"/>
    <n v="0"/>
    <n v="8513"/>
    <n v="9"/>
    <n v="0"/>
    <x v="191"/>
    <n v="8522"/>
    <n v="6244"/>
    <x v="1"/>
  </r>
  <r>
    <x v="4"/>
    <b v="0"/>
    <b v="0"/>
    <n v="4981"/>
    <n v="0"/>
    <n v="0"/>
    <n v="0"/>
    <n v="0"/>
    <n v="0"/>
    <n v="4981"/>
    <x v="413"/>
    <n v="0"/>
    <n v="0"/>
    <n v="1690"/>
    <n v="0"/>
    <n v="6671"/>
    <n v="0"/>
    <n v="0"/>
    <x v="192"/>
    <n v="6671"/>
    <n v="4981"/>
    <x v="1"/>
  </r>
  <r>
    <x v="4"/>
    <b v="0"/>
    <b v="0"/>
    <n v="3781"/>
    <n v="0"/>
    <n v="0"/>
    <n v="0"/>
    <n v="0"/>
    <n v="0"/>
    <n v="3781"/>
    <x v="414"/>
    <n v="0"/>
    <n v="0"/>
    <n v="2969"/>
    <n v="0"/>
    <n v="6750"/>
    <n v="0"/>
    <n v="0"/>
    <x v="193"/>
    <n v="6750"/>
    <n v="3781"/>
    <x v="1"/>
  </r>
  <r>
    <x v="4"/>
    <b v="0"/>
    <b v="0"/>
    <n v="1604"/>
    <n v="0"/>
    <n v="0"/>
    <n v="0"/>
    <n v="0"/>
    <n v="0"/>
    <n v="1604"/>
    <x v="415"/>
    <n v="0"/>
    <n v="0"/>
    <n v="1481"/>
    <n v="0"/>
    <n v="3085"/>
    <n v="0"/>
    <n v="0"/>
    <x v="194"/>
    <n v="3085"/>
    <n v="1604"/>
    <x v="1"/>
  </r>
  <r>
    <x v="4"/>
    <b v="0"/>
    <b v="0"/>
    <n v="464"/>
    <n v="0"/>
    <n v="0"/>
    <n v="0"/>
    <n v="0"/>
    <n v="0"/>
    <n v="464"/>
    <x v="42"/>
    <n v="0"/>
    <n v="0"/>
    <n v="666"/>
    <n v="0"/>
    <n v="1130"/>
    <n v="0"/>
    <n v="0"/>
    <x v="195"/>
    <n v="1130"/>
    <n v="464"/>
    <x v="1"/>
  </r>
  <r>
    <x v="4"/>
    <b v="0"/>
    <b v="0"/>
    <n v="245"/>
    <n v="0"/>
    <n v="0"/>
    <n v="0"/>
    <n v="0"/>
    <n v="0"/>
    <n v="245"/>
    <x v="149"/>
    <n v="0"/>
    <n v="0"/>
    <n v="269"/>
    <n v="0"/>
    <n v="514"/>
    <n v="0"/>
    <n v="0"/>
    <x v="196"/>
    <n v="514"/>
    <n v="245"/>
    <x v="1"/>
  </r>
  <r>
    <x v="4"/>
    <b v="0"/>
    <b v="0"/>
    <n v="99"/>
    <n v="0"/>
    <n v="0"/>
    <n v="0"/>
    <n v="0"/>
    <n v="0"/>
    <n v="99"/>
    <x v="416"/>
    <n v="0"/>
    <n v="0"/>
    <n v="54"/>
    <n v="0"/>
    <n v="153"/>
    <n v="0"/>
    <n v="0"/>
    <x v="197"/>
    <n v="153"/>
    <n v="99"/>
    <x v="1"/>
  </r>
  <r>
    <x v="4"/>
    <b v="0"/>
    <b v="0"/>
    <n v="531"/>
    <n v="0"/>
    <n v="0"/>
    <n v="0"/>
    <n v="0"/>
    <n v="0"/>
    <n v="531"/>
    <x v="417"/>
    <n v="0"/>
    <n v="0"/>
    <n v="198"/>
    <n v="0"/>
    <n v="729"/>
    <n v="0"/>
    <n v="0"/>
    <x v="198"/>
    <n v="729"/>
    <n v="531"/>
    <x v="1"/>
  </r>
  <r>
    <x v="4"/>
    <b v="0"/>
    <b v="0"/>
    <n v="507"/>
    <n v="0"/>
    <n v="0"/>
    <n v="0"/>
    <n v="0"/>
    <n v="0"/>
    <n v="507"/>
    <x v="418"/>
    <n v="0"/>
    <n v="0"/>
    <n v="309"/>
    <n v="0"/>
    <n v="816"/>
    <n v="0"/>
    <n v="0"/>
    <x v="199"/>
    <n v="816"/>
    <n v="507"/>
    <x v="1"/>
  </r>
  <r>
    <x v="4"/>
    <b v="0"/>
    <b v="0"/>
    <n v="564"/>
    <n v="0"/>
    <n v="0"/>
    <n v="73"/>
    <n v="0"/>
    <n v="0"/>
    <n v="637"/>
    <x v="419"/>
    <n v="0"/>
    <n v="200"/>
    <n v="548"/>
    <n v="0"/>
    <n v="1185"/>
    <n v="0"/>
    <n v="0"/>
    <x v="200"/>
    <n v="1185"/>
    <n v="637"/>
    <x v="1"/>
  </r>
  <r>
    <x v="4"/>
    <b v="0"/>
    <b v="0"/>
    <n v="2349"/>
    <n v="0"/>
    <n v="0"/>
    <n v="151"/>
    <n v="0"/>
    <n v="0"/>
    <n v="2500"/>
    <x v="420"/>
    <n v="51"/>
    <n v="200"/>
    <n v="767"/>
    <n v="0"/>
    <n v="3267"/>
    <n v="0"/>
    <n v="0"/>
    <x v="201"/>
    <n v="3267"/>
    <n v="2500"/>
    <x v="1"/>
  </r>
  <r>
    <x v="4"/>
    <b v="0"/>
    <b v="0"/>
    <n v="3345"/>
    <n v="0"/>
    <n v="0"/>
    <n v="26"/>
    <n v="0"/>
    <n v="50"/>
    <n v="3421"/>
    <x v="421"/>
    <n v="141"/>
    <n v="200"/>
    <n v="1469"/>
    <n v="0"/>
    <n v="4890"/>
    <n v="0"/>
    <n v="0"/>
    <x v="202"/>
    <n v="4890"/>
    <n v="3421"/>
    <x v="1"/>
  </r>
  <r>
    <x v="4"/>
    <b v="0"/>
    <b v="0"/>
    <n v="4272"/>
    <n v="0"/>
    <n v="0"/>
    <n v="104"/>
    <n v="0"/>
    <n v="0"/>
    <n v="4376"/>
    <x v="422"/>
    <n v="234"/>
    <n v="600"/>
    <n v="2679"/>
    <n v="0"/>
    <n v="7055"/>
    <n v="0"/>
    <n v="0"/>
    <x v="203"/>
    <n v="7055"/>
    <n v="4376"/>
    <x v="1"/>
  </r>
  <r>
    <x v="4"/>
    <b v="0"/>
    <b v="0"/>
    <n v="6615"/>
    <n v="0"/>
    <n v="0"/>
    <n v="75"/>
    <n v="0"/>
    <n v="0"/>
    <n v="6690"/>
    <x v="423"/>
    <n v="539"/>
    <n v="550"/>
    <n v="3441"/>
    <n v="0"/>
    <n v="10131"/>
    <n v="0"/>
    <n v="0"/>
    <x v="204"/>
    <n v="10131"/>
    <n v="6690"/>
    <x v="1"/>
  </r>
  <r>
    <x v="4"/>
    <b v="0"/>
    <b v="0"/>
    <n v="3699"/>
    <n v="0"/>
    <n v="0"/>
    <n v="55"/>
    <n v="0"/>
    <n v="0"/>
    <n v="3754"/>
    <x v="424"/>
    <n v="513"/>
    <n v="350"/>
    <n v="3110"/>
    <n v="0"/>
    <n v="6864"/>
    <n v="0"/>
    <n v="0"/>
    <x v="205"/>
    <n v="6864"/>
    <n v="3754"/>
    <x v="1"/>
  </r>
  <r>
    <x v="4"/>
    <b v="0"/>
    <b v="0"/>
    <n v="3083"/>
    <n v="0"/>
    <n v="0"/>
    <n v="209"/>
    <n v="0"/>
    <n v="0"/>
    <n v="3292"/>
    <x v="425"/>
    <n v="350"/>
    <n v="500"/>
    <n v="2632"/>
    <n v="0"/>
    <n v="5924"/>
    <n v="0"/>
    <n v="0"/>
    <x v="206"/>
    <n v="5924"/>
    <n v="3292"/>
    <x v="1"/>
  </r>
  <r>
    <x v="4"/>
    <b v="0"/>
    <b v="0"/>
    <n v="603"/>
    <n v="0"/>
    <n v="0"/>
    <n v="41"/>
    <n v="0"/>
    <n v="0"/>
    <n v="644"/>
    <x v="426"/>
    <n v="66"/>
    <n v="400"/>
    <n v="1318"/>
    <n v="0"/>
    <n v="1962"/>
    <n v="0"/>
    <n v="0"/>
    <x v="207"/>
    <n v="1962"/>
    <n v="644"/>
    <x v="1"/>
  </r>
  <r>
    <x v="4"/>
    <b v="0"/>
    <b v="0"/>
    <n v="561"/>
    <n v="0"/>
    <n v="0"/>
    <n v="90"/>
    <n v="18"/>
    <n v="0"/>
    <n v="669"/>
    <x v="427"/>
    <n v="6"/>
    <n v="200"/>
    <n v="440"/>
    <n v="0"/>
    <n v="1109"/>
    <n v="0"/>
    <n v="0"/>
    <x v="208"/>
    <n v="1109"/>
    <n v="669"/>
    <x v="1"/>
  </r>
  <r>
    <x v="4"/>
    <b v="0"/>
    <b v="0"/>
    <n v="216"/>
    <n v="0"/>
    <n v="0"/>
    <n v="61"/>
    <n v="0"/>
    <n v="0"/>
    <n v="277"/>
    <x v="428"/>
    <n v="0"/>
    <n v="50"/>
    <n v="119"/>
    <n v="0"/>
    <n v="396"/>
    <n v="0"/>
    <n v="0"/>
    <x v="209"/>
    <n v="396"/>
    <n v="277"/>
    <x v="1"/>
  </r>
  <r>
    <x v="4"/>
    <b v="0"/>
    <b v="0"/>
    <n v="447"/>
    <n v="0"/>
    <n v="0"/>
    <n v="0"/>
    <n v="0"/>
    <n v="0"/>
    <n v="447"/>
    <x v="303"/>
    <n v="0"/>
    <n v="0"/>
    <n v="153"/>
    <n v="0"/>
    <n v="600"/>
    <n v="0"/>
    <n v="0"/>
    <x v="210"/>
    <n v="600"/>
    <n v="447"/>
    <x v="1"/>
  </r>
  <r>
    <x v="4"/>
    <b v="0"/>
    <b v="0"/>
    <n v="600"/>
    <n v="0"/>
    <n v="0"/>
    <n v="0"/>
    <n v="0"/>
    <n v="0"/>
    <n v="600"/>
    <x v="429"/>
    <n v="0"/>
    <n v="0"/>
    <n v="300"/>
    <n v="0"/>
    <n v="900"/>
    <n v="0"/>
    <n v="0"/>
    <x v="211"/>
    <n v="900"/>
    <n v="600"/>
    <x v="1"/>
  </r>
  <r>
    <x v="4"/>
    <b v="0"/>
    <b v="0"/>
    <n v="546"/>
    <n v="0"/>
    <n v="0"/>
    <n v="0"/>
    <n v="0"/>
    <n v="0"/>
    <n v="546"/>
    <x v="430"/>
    <n v="0"/>
    <n v="0"/>
    <n v="387"/>
    <n v="0"/>
    <n v="933"/>
    <n v="0"/>
    <n v="0"/>
    <x v="212"/>
    <n v="933"/>
    <n v="546"/>
    <x v="1"/>
  </r>
  <r>
    <x v="4"/>
    <b v="0"/>
    <b v="0"/>
    <n v="540"/>
    <n v="0"/>
    <n v="0"/>
    <n v="0"/>
    <n v="0"/>
    <n v="0"/>
    <n v="540"/>
    <x v="430"/>
    <n v="0"/>
    <n v="0"/>
    <n v="387"/>
    <n v="0"/>
    <n v="927"/>
    <n v="0"/>
    <n v="0"/>
    <x v="213"/>
    <n v="927"/>
    <n v="540"/>
    <x v="1"/>
  </r>
  <r>
    <x v="4"/>
    <b v="0"/>
    <b v="0"/>
    <n v="4410"/>
    <n v="0"/>
    <n v="0"/>
    <n v="0"/>
    <n v="0"/>
    <n v="0"/>
    <n v="4410"/>
    <x v="431"/>
    <n v="0"/>
    <n v="99"/>
    <n v="3507"/>
    <n v="0"/>
    <n v="7917"/>
    <n v="0"/>
    <n v="0"/>
    <x v="214"/>
    <n v="7917"/>
    <n v="4410"/>
    <x v="1"/>
  </r>
  <r>
    <x v="4"/>
    <b v="0"/>
    <b v="0"/>
    <n v="5790"/>
    <n v="0"/>
    <n v="0"/>
    <n v="0"/>
    <n v="0"/>
    <n v="0"/>
    <n v="5790"/>
    <x v="432"/>
    <n v="0"/>
    <n v="274"/>
    <n v="3925"/>
    <n v="0"/>
    <n v="9715"/>
    <n v="0"/>
    <n v="0"/>
    <x v="215"/>
    <n v="9715"/>
    <n v="5790"/>
    <x v="1"/>
  </r>
  <r>
    <x v="4"/>
    <b v="0"/>
    <b v="0"/>
    <n v="6225"/>
    <n v="0"/>
    <n v="0"/>
    <n v="0"/>
    <n v="0"/>
    <n v="0"/>
    <n v="6225"/>
    <x v="63"/>
    <n v="0"/>
    <n v="384"/>
    <n v="3684"/>
    <n v="0"/>
    <n v="9909"/>
    <n v="0"/>
    <n v="0"/>
    <x v="216"/>
    <n v="9909"/>
    <n v="6225"/>
    <x v="1"/>
  </r>
  <r>
    <x v="4"/>
    <b v="0"/>
    <b v="0"/>
    <n v="5547"/>
    <n v="0"/>
    <n v="0"/>
    <n v="0"/>
    <n v="0"/>
    <n v="0"/>
    <n v="5547"/>
    <x v="433"/>
    <n v="0"/>
    <n v="318"/>
    <n v="4086"/>
    <n v="0"/>
    <n v="9633"/>
    <n v="0"/>
    <n v="0"/>
    <x v="217"/>
    <n v="9633"/>
    <n v="5547"/>
    <x v="1"/>
  </r>
  <r>
    <x v="4"/>
    <b v="0"/>
    <b v="0"/>
    <n v="5481"/>
    <n v="0"/>
    <n v="0"/>
    <n v="0"/>
    <n v="0"/>
    <n v="0"/>
    <n v="5481"/>
    <x v="434"/>
    <n v="0"/>
    <n v="0"/>
    <n v="2751"/>
    <n v="0"/>
    <n v="8232"/>
    <n v="0"/>
    <n v="0"/>
    <x v="218"/>
    <n v="8232"/>
    <n v="5481"/>
    <x v="1"/>
  </r>
  <r>
    <x v="4"/>
    <b v="0"/>
    <b v="0"/>
    <n v="1207"/>
    <n v="0"/>
    <n v="0"/>
    <n v="0"/>
    <n v="0"/>
    <n v="0"/>
    <n v="1207"/>
    <x v="429"/>
    <n v="0"/>
    <n v="0"/>
    <n v="300"/>
    <n v="0"/>
    <n v="1507"/>
    <n v="0"/>
    <n v="0"/>
    <x v="219"/>
    <n v="1507"/>
    <n v="1207"/>
    <x v="1"/>
  </r>
  <r>
    <x v="4"/>
    <b v="0"/>
    <b v="0"/>
    <n v="561"/>
    <n v="0"/>
    <n v="0"/>
    <n v="0"/>
    <n v="0"/>
    <n v="0"/>
    <n v="561"/>
    <x v="102"/>
    <n v="0"/>
    <n v="0"/>
    <n v="171"/>
    <n v="0"/>
    <n v="732"/>
    <n v="0"/>
    <n v="0"/>
    <x v="220"/>
    <n v="732"/>
    <n v="561"/>
    <x v="1"/>
  </r>
  <r>
    <x v="4"/>
    <b v="0"/>
    <b v="0"/>
    <n v="286"/>
    <n v="0"/>
    <n v="0"/>
    <n v="0"/>
    <n v="0"/>
    <n v="0"/>
    <n v="286"/>
    <x v="380"/>
    <n v="0"/>
    <n v="0"/>
    <n v="135"/>
    <n v="0"/>
    <n v="421"/>
    <n v="0"/>
    <n v="0"/>
    <x v="221"/>
    <n v="421"/>
    <n v="286"/>
    <x v="1"/>
  </r>
  <r>
    <x v="4"/>
    <b v="0"/>
    <b v="0"/>
    <n v="248"/>
    <n v="0"/>
    <n v="0"/>
    <n v="0"/>
    <n v="0"/>
    <n v="0"/>
    <n v="248"/>
    <x v="435"/>
    <n v="0"/>
    <n v="0"/>
    <n v="156"/>
    <n v="0"/>
    <n v="404"/>
    <n v="0"/>
    <n v="0"/>
    <x v="222"/>
    <n v="404"/>
    <n v="248"/>
    <x v="1"/>
  </r>
  <r>
    <x v="4"/>
    <b v="0"/>
    <b v="0"/>
    <n v="0"/>
    <n v="0"/>
    <n v="0"/>
    <n v="0"/>
    <n v="0"/>
    <n v="0"/>
    <n v="0"/>
    <x v="38"/>
    <n v="0"/>
    <n v="0"/>
    <n v="0"/>
    <n v="0"/>
    <n v="0"/>
    <n v="0"/>
    <n v="0"/>
    <x v="223"/>
    <n v="0"/>
    <n v="0"/>
    <x v="1"/>
  </r>
  <r>
    <x v="4"/>
    <b v="0"/>
    <b v="0"/>
    <n v="0"/>
    <n v="0"/>
    <n v="0"/>
    <n v="0"/>
    <n v="0"/>
    <n v="0"/>
    <n v="0"/>
    <x v="38"/>
    <n v="0"/>
    <n v="0"/>
    <n v="0"/>
    <n v="0"/>
    <n v="0"/>
    <n v="0"/>
    <n v="0"/>
    <x v="224"/>
    <n v="0"/>
    <n v="0"/>
    <x v="1"/>
  </r>
  <r>
    <x v="4"/>
    <b v="0"/>
    <b v="0"/>
    <n v="0"/>
    <n v="0"/>
    <n v="0"/>
    <n v="0"/>
    <n v="0"/>
    <n v="0"/>
    <n v="0"/>
    <x v="38"/>
    <n v="0"/>
    <n v="0"/>
    <n v="0"/>
    <n v="0"/>
    <n v="0"/>
    <n v="0"/>
    <n v="0"/>
    <x v="225"/>
    <n v="0"/>
    <n v="0"/>
    <x v="1"/>
  </r>
  <r>
    <x v="4"/>
    <b v="0"/>
    <b v="0"/>
    <n v="1115"/>
    <n v="0"/>
    <n v="0"/>
    <n v="0"/>
    <n v="86"/>
    <n v="0"/>
    <n v="1201"/>
    <x v="38"/>
    <n v="0"/>
    <n v="0"/>
    <n v="0"/>
    <n v="0"/>
    <n v="1201"/>
    <n v="0"/>
    <n v="0"/>
    <x v="226"/>
    <n v="1201"/>
    <n v="1201"/>
    <x v="1"/>
  </r>
  <r>
    <x v="4"/>
    <b v="0"/>
    <b v="0"/>
    <n v="2621"/>
    <n v="0"/>
    <n v="0"/>
    <n v="100"/>
    <n v="107"/>
    <n v="0"/>
    <n v="2828"/>
    <x v="38"/>
    <n v="0"/>
    <n v="0"/>
    <n v="0"/>
    <n v="0"/>
    <n v="2828"/>
    <n v="0"/>
    <n v="0"/>
    <x v="227"/>
    <n v="2828"/>
    <n v="2828"/>
    <x v="1"/>
  </r>
  <r>
    <x v="4"/>
    <b v="0"/>
    <b v="0"/>
    <n v="2794"/>
    <n v="0"/>
    <n v="0"/>
    <n v="37"/>
    <n v="100"/>
    <n v="0"/>
    <n v="2931"/>
    <x v="436"/>
    <n v="973"/>
    <n v="0"/>
    <n v="2165"/>
    <n v="0"/>
    <n v="5096"/>
    <n v="0"/>
    <n v="0"/>
    <x v="228"/>
    <n v="5096"/>
    <n v="2931"/>
    <x v="1"/>
  </r>
  <r>
    <x v="4"/>
    <b v="0"/>
    <b v="0"/>
    <n v="0"/>
    <n v="0"/>
    <n v="0"/>
    <n v="0"/>
    <n v="0"/>
    <n v="0"/>
    <n v="0"/>
    <x v="38"/>
    <n v="0"/>
    <n v="0"/>
    <n v="0"/>
    <n v="0"/>
    <n v="0"/>
    <n v="0"/>
    <n v="0"/>
    <x v="228"/>
    <n v="0"/>
    <n v="0"/>
    <x v="1"/>
  </r>
  <r>
    <x v="4"/>
    <b v="0"/>
    <b v="0"/>
    <n v="1964"/>
    <n v="88"/>
    <n v="0"/>
    <n v="69"/>
    <n v="0"/>
    <n v="0"/>
    <n v="2121"/>
    <x v="437"/>
    <n v="495"/>
    <n v="0"/>
    <n v="1378"/>
    <n v="0"/>
    <n v="3499"/>
    <n v="0"/>
    <n v="0"/>
    <x v="229"/>
    <n v="3499"/>
    <n v="2121"/>
    <x v="1"/>
  </r>
  <r>
    <x v="4"/>
    <b v="0"/>
    <b v="0"/>
    <n v="0"/>
    <n v="0"/>
    <n v="0"/>
    <n v="0"/>
    <n v="0"/>
    <n v="0"/>
    <n v="0"/>
    <x v="38"/>
    <n v="0"/>
    <n v="0"/>
    <n v="0"/>
    <n v="0"/>
    <n v="0"/>
    <n v="0"/>
    <n v="0"/>
    <x v="229"/>
    <n v="0"/>
    <n v="0"/>
    <x v="1"/>
  </r>
  <r>
    <x v="4"/>
    <b v="0"/>
    <b v="0"/>
    <n v="0"/>
    <n v="0"/>
    <n v="0"/>
    <n v="0"/>
    <n v="0"/>
    <n v="0"/>
    <n v="0"/>
    <x v="38"/>
    <n v="0"/>
    <n v="0"/>
    <n v="0"/>
    <n v="0"/>
    <n v="0"/>
    <n v="0"/>
    <n v="0"/>
    <x v="230"/>
    <n v="0"/>
    <n v="0"/>
    <x v="1"/>
  </r>
  <r>
    <x v="4"/>
    <b v="0"/>
    <b v="0"/>
    <n v="0"/>
    <n v="0"/>
    <n v="0"/>
    <n v="0"/>
    <n v="0"/>
    <n v="0"/>
    <n v="0"/>
    <x v="38"/>
    <n v="0"/>
    <n v="0"/>
    <n v="0"/>
    <n v="0"/>
    <n v="0"/>
    <n v="0"/>
    <n v="0"/>
    <x v="231"/>
    <n v="0"/>
    <n v="0"/>
    <x v="1"/>
  </r>
  <r>
    <x v="4"/>
    <b v="0"/>
    <b v="0"/>
    <n v="0"/>
    <n v="0"/>
    <n v="0"/>
    <n v="0"/>
    <n v="0"/>
    <n v="0"/>
    <n v="0"/>
    <x v="38"/>
    <n v="0"/>
    <n v="0"/>
    <n v="0"/>
    <n v="0"/>
    <n v="0"/>
    <n v="0"/>
    <n v="0"/>
    <x v="232"/>
    <n v="0"/>
    <n v="0"/>
    <x v="1"/>
  </r>
  <r>
    <x v="4"/>
    <b v="0"/>
    <b v="0"/>
    <n v="0"/>
    <n v="0"/>
    <n v="0"/>
    <n v="0"/>
    <n v="0"/>
    <n v="0"/>
    <n v="0"/>
    <x v="38"/>
    <n v="0"/>
    <n v="0"/>
    <n v="0"/>
    <n v="0"/>
    <n v="0"/>
    <n v="0"/>
    <n v="0"/>
    <x v="233"/>
    <n v="0"/>
    <n v="0"/>
    <x v="1"/>
  </r>
  <r>
    <x v="5"/>
    <b v="0"/>
    <b v="0"/>
    <n v="0"/>
    <n v="0"/>
    <n v="0"/>
    <n v="12366"/>
    <n v="9752"/>
    <n v="0"/>
    <n v="22118"/>
    <x v="38"/>
    <n v="0"/>
    <n v="0"/>
    <m/>
    <n v="0"/>
    <n v="22118"/>
    <n v="0"/>
    <n v="0"/>
    <x v="0"/>
    <n v="22118"/>
    <n v="22118"/>
    <x v="0"/>
  </r>
  <r>
    <x v="5"/>
    <b v="0"/>
    <b v="0"/>
    <n v="0"/>
    <n v="0"/>
    <n v="0"/>
    <n v="11835"/>
    <n v="9137"/>
    <n v="0"/>
    <n v="20972"/>
    <x v="38"/>
    <n v="0"/>
    <n v="0"/>
    <m/>
    <n v="0"/>
    <n v="20972"/>
    <n v="0"/>
    <n v="0"/>
    <x v="1"/>
    <n v="20972"/>
    <n v="20972"/>
    <x v="0"/>
  </r>
  <r>
    <x v="5"/>
    <b v="0"/>
    <b v="0"/>
    <n v="0"/>
    <n v="0"/>
    <n v="0"/>
    <n v="11876"/>
    <n v="9295"/>
    <n v="0"/>
    <n v="21171"/>
    <x v="38"/>
    <n v="0"/>
    <n v="0"/>
    <m/>
    <n v="0"/>
    <n v="21171"/>
    <n v="0"/>
    <n v="0"/>
    <x v="2"/>
    <n v="21171"/>
    <n v="21171"/>
    <x v="0"/>
  </r>
  <r>
    <x v="5"/>
    <b v="0"/>
    <b v="0"/>
    <n v="0"/>
    <n v="0"/>
    <n v="0"/>
    <n v="11835"/>
    <n v="9137"/>
    <n v="0"/>
    <n v="20972"/>
    <x v="38"/>
    <n v="0"/>
    <n v="0"/>
    <m/>
    <n v="0"/>
    <n v="20972"/>
    <n v="0"/>
    <n v="0"/>
    <x v="3"/>
    <n v="20972"/>
    <n v="20972"/>
    <x v="0"/>
  </r>
  <r>
    <x v="5"/>
    <b v="0"/>
    <b v="0"/>
    <n v="0"/>
    <n v="0"/>
    <n v="0"/>
    <n v="4210"/>
    <n v="9538"/>
    <n v="0"/>
    <n v="13748"/>
    <x v="38"/>
    <n v="0"/>
    <n v="0"/>
    <m/>
    <n v="0"/>
    <n v="13748"/>
    <n v="0"/>
    <n v="0"/>
    <x v="4"/>
    <n v="13748"/>
    <n v="13748"/>
    <x v="0"/>
  </r>
  <r>
    <x v="5"/>
    <b v="0"/>
    <b v="0"/>
    <n v="0"/>
    <n v="0"/>
    <n v="0"/>
    <n v="12209"/>
    <n v="9538"/>
    <n v="0"/>
    <n v="21747"/>
    <x v="38"/>
    <n v="0"/>
    <n v="0"/>
    <m/>
    <n v="0"/>
    <n v="21747"/>
    <n v="0"/>
    <n v="0"/>
    <x v="5"/>
    <n v="21747"/>
    <n v="21747"/>
    <x v="0"/>
  </r>
  <r>
    <x v="5"/>
    <b v="0"/>
    <b v="0"/>
    <n v="0"/>
    <n v="0"/>
    <n v="0"/>
    <n v="11835"/>
    <n v="9137"/>
    <n v="0"/>
    <n v="20972"/>
    <x v="38"/>
    <n v="0"/>
    <n v="0"/>
    <m/>
    <n v="0"/>
    <n v="20972"/>
    <n v="0"/>
    <n v="0"/>
    <x v="6"/>
    <n v="20972"/>
    <n v="20972"/>
    <x v="0"/>
  </r>
  <r>
    <x v="5"/>
    <b v="0"/>
    <b v="0"/>
    <n v="0"/>
    <n v="0"/>
    <n v="0"/>
    <n v="10834"/>
    <n v="8408"/>
    <n v="0"/>
    <n v="19242"/>
    <x v="38"/>
    <n v="0"/>
    <n v="0"/>
    <m/>
    <n v="0"/>
    <n v="19242"/>
    <n v="0"/>
    <n v="0"/>
    <x v="7"/>
    <n v="19242"/>
    <n v="19242"/>
    <x v="0"/>
  </r>
  <r>
    <x v="5"/>
    <b v="0"/>
    <b v="0"/>
    <n v="0"/>
    <n v="0"/>
    <n v="0"/>
    <n v="12209"/>
    <n v="9538"/>
    <n v="0"/>
    <n v="21747"/>
    <x v="38"/>
    <n v="0"/>
    <n v="0"/>
    <m/>
    <n v="0"/>
    <n v="21747"/>
    <n v="0"/>
    <n v="0"/>
    <x v="8"/>
    <n v="21747"/>
    <n v="21747"/>
    <x v="0"/>
  </r>
  <r>
    <x v="5"/>
    <b v="0"/>
    <b v="0"/>
    <n v="0"/>
    <n v="0"/>
    <n v="0"/>
    <n v="11835"/>
    <n v="9137"/>
    <n v="0"/>
    <n v="20972"/>
    <x v="38"/>
    <n v="0"/>
    <n v="0"/>
    <m/>
    <n v="0"/>
    <n v="20972"/>
    <n v="0"/>
    <n v="0"/>
    <x v="9"/>
    <n v="20972"/>
    <n v="20972"/>
    <x v="0"/>
  </r>
  <r>
    <x v="5"/>
    <b v="0"/>
    <b v="0"/>
    <n v="0"/>
    <n v="0"/>
    <n v="0"/>
    <n v="11835"/>
    <n v="9137"/>
    <n v="0"/>
    <n v="20972"/>
    <x v="38"/>
    <n v="0"/>
    <n v="0"/>
    <m/>
    <n v="0"/>
    <n v="20972"/>
    <n v="0"/>
    <n v="0"/>
    <x v="10"/>
    <n v="20972"/>
    <n v="20972"/>
    <x v="0"/>
  </r>
  <r>
    <x v="5"/>
    <b v="0"/>
    <b v="0"/>
    <n v="0"/>
    <n v="0"/>
    <n v="0"/>
    <n v="11876"/>
    <n v="9295"/>
    <n v="0"/>
    <n v="21171"/>
    <x v="38"/>
    <n v="0"/>
    <n v="0"/>
    <m/>
    <n v="0"/>
    <n v="21171"/>
    <n v="0"/>
    <n v="0"/>
    <x v="11"/>
    <n v="21171"/>
    <n v="21171"/>
    <x v="0"/>
  </r>
  <r>
    <x v="5"/>
    <b v="0"/>
    <b v="0"/>
    <n v="0"/>
    <n v="0"/>
    <n v="0"/>
    <n v="11835"/>
    <n v="9137"/>
    <n v="0"/>
    <n v="20972"/>
    <x v="38"/>
    <n v="0"/>
    <n v="0"/>
    <m/>
    <n v="0"/>
    <n v="20972"/>
    <n v="0"/>
    <n v="0"/>
    <x v="12"/>
    <n v="20972"/>
    <n v="20972"/>
    <x v="0"/>
  </r>
  <r>
    <x v="5"/>
    <b v="0"/>
    <b v="0"/>
    <n v="0"/>
    <n v="0"/>
    <n v="0"/>
    <n v="11925"/>
    <n v="9280"/>
    <n v="0"/>
    <n v="21205"/>
    <x v="38"/>
    <n v="0"/>
    <n v="0"/>
    <m/>
    <n v="0"/>
    <n v="21205"/>
    <n v="0"/>
    <n v="0"/>
    <x v="13"/>
    <n v="21205"/>
    <n v="21205"/>
    <x v="0"/>
  </r>
  <r>
    <x v="5"/>
    <b v="0"/>
    <b v="0"/>
    <n v="0"/>
    <n v="0"/>
    <n v="0"/>
    <n v="11501"/>
    <n v="8894"/>
    <n v="0"/>
    <n v="20395"/>
    <x v="38"/>
    <n v="0"/>
    <n v="0"/>
    <m/>
    <n v="0"/>
    <n v="20395"/>
    <n v="0"/>
    <n v="0"/>
    <x v="14"/>
    <n v="20395"/>
    <n v="20395"/>
    <x v="0"/>
  </r>
  <r>
    <x v="5"/>
    <b v="0"/>
    <b v="0"/>
    <n v="0"/>
    <n v="0"/>
    <n v="0"/>
    <n v="11835"/>
    <n v="9137"/>
    <n v="0"/>
    <n v="20972"/>
    <x v="38"/>
    <n v="0"/>
    <n v="0"/>
    <m/>
    <n v="0"/>
    <n v="20972"/>
    <n v="0"/>
    <n v="0"/>
    <x v="15"/>
    <n v="20972"/>
    <n v="20972"/>
    <x v="0"/>
  </r>
  <r>
    <x v="5"/>
    <b v="0"/>
    <b v="0"/>
    <n v="0"/>
    <n v="0"/>
    <n v="0"/>
    <n v="11591"/>
    <n v="9037"/>
    <n v="0"/>
    <n v="20628"/>
    <x v="38"/>
    <n v="0"/>
    <n v="0"/>
    <m/>
    <n v="0"/>
    <n v="20628"/>
    <n v="0"/>
    <n v="0"/>
    <x v="16"/>
    <n v="20628"/>
    <n v="20628"/>
    <x v="0"/>
  </r>
  <r>
    <x v="5"/>
    <b v="0"/>
    <b v="0"/>
    <n v="0"/>
    <n v="0"/>
    <n v="0"/>
    <n v="12119"/>
    <n v="9395"/>
    <n v="0"/>
    <n v="21514"/>
    <x v="38"/>
    <n v="0"/>
    <n v="0"/>
    <m/>
    <n v="0"/>
    <n v="21514"/>
    <n v="0"/>
    <n v="0"/>
    <x v="17"/>
    <n v="21514"/>
    <n v="21514"/>
    <x v="0"/>
  </r>
  <r>
    <x v="5"/>
    <b v="0"/>
    <b v="0"/>
    <n v="1417"/>
    <n v="0"/>
    <n v="0"/>
    <n v="10237"/>
    <n v="9137"/>
    <n v="0"/>
    <n v="19374"/>
    <x v="38"/>
    <n v="0"/>
    <n v="0"/>
    <m/>
    <n v="0"/>
    <n v="19374"/>
    <n v="0"/>
    <n v="0"/>
    <x v="18"/>
    <n v="20791"/>
    <n v="19374"/>
    <x v="1"/>
  </r>
  <r>
    <x v="5"/>
    <b v="0"/>
    <b v="0"/>
    <n v="2766"/>
    <n v="0"/>
    <n v="0"/>
    <n v="7749"/>
    <n v="8408"/>
    <n v="0"/>
    <n v="16157"/>
    <x v="38"/>
    <n v="0"/>
    <n v="0"/>
    <m/>
    <n v="0"/>
    <n v="16157"/>
    <n v="0"/>
    <n v="0"/>
    <x v="19"/>
    <n v="18923"/>
    <n v="16157"/>
    <x v="1"/>
  </r>
  <r>
    <x v="5"/>
    <b v="0"/>
    <b v="0"/>
    <n v="2980"/>
    <n v="0"/>
    <n v="0"/>
    <n v="8886"/>
    <n v="9538"/>
    <n v="0"/>
    <n v="18424"/>
    <x v="38"/>
    <n v="0"/>
    <n v="0"/>
    <m/>
    <n v="0"/>
    <n v="18424"/>
    <n v="0"/>
    <n v="0"/>
    <x v="20"/>
    <n v="21404"/>
    <n v="18424"/>
    <x v="1"/>
  </r>
  <r>
    <x v="5"/>
    <b v="0"/>
    <b v="0"/>
    <n v="3120"/>
    <n v="0"/>
    <n v="0"/>
    <n v="8030"/>
    <n v="8894"/>
    <n v="0"/>
    <n v="16924"/>
    <x v="38"/>
    <n v="0"/>
    <n v="0"/>
    <m/>
    <n v="0"/>
    <n v="16924"/>
    <n v="0"/>
    <n v="0"/>
    <x v="21"/>
    <n v="20044"/>
    <n v="16924"/>
    <x v="1"/>
  </r>
  <r>
    <x v="5"/>
    <b v="0"/>
    <b v="0"/>
    <n v="3063"/>
    <n v="0"/>
    <n v="0"/>
    <n v="8509"/>
    <n v="9280"/>
    <n v="0"/>
    <n v="17789"/>
    <x v="38"/>
    <n v="0"/>
    <n v="0"/>
    <m/>
    <n v="0"/>
    <n v="17789"/>
    <n v="0"/>
    <n v="0"/>
    <x v="22"/>
    <n v="20852"/>
    <n v="17789"/>
    <x v="1"/>
  </r>
  <r>
    <x v="5"/>
    <b v="0"/>
    <b v="0"/>
    <n v="3588"/>
    <n v="0"/>
    <n v="0"/>
    <n v="7784"/>
    <n v="9252"/>
    <n v="0"/>
    <n v="17036"/>
    <x v="38"/>
    <n v="0"/>
    <n v="0"/>
    <m/>
    <n v="0"/>
    <n v="17036"/>
    <n v="0"/>
    <n v="0"/>
    <x v="23"/>
    <n v="20624"/>
    <n v="17036"/>
    <x v="1"/>
  </r>
  <r>
    <x v="5"/>
    <b v="0"/>
    <b v="0"/>
    <n v="4272"/>
    <n v="0"/>
    <n v="0"/>
    <n v="7070"/>
    <n v="9137"/>
    <n v="0"/>
    <n v="16207"/>
    <x v="38"/>
    <n v="0"/>
    <n v="0"/>
    <m/>
    <n v="0"/>
    <n v="16207"/>
    <n v="0"/>
    <n v="0"/>
    <x v="24"/>
    <n v="20479"/>
    <n v="16207"/>
    <x v="1"/>
  </r>
  <r>
    <x v="5"/>
    <b v="0"/>
    <b v="0"/>
    <n v="5964"/>
    <n v="0"/>
    <n v="0"/>
    <n v="5556"/>
    <n v="9538"/>
    <n v="0"/>
    <n v="15094"/>
    <x v="38"/>
    <n v="0"/>
    <n v="0"/>
    <m/>
    <n v="0"/>
    <n v="15094"/>
    <n v="0"/>
    <n v="0"/>
    <x v="25"/>
    <n v="21058"/>
    <n v="15094"/>
    <x v="1"/>
  </r>
  <r>
    <x v="5"/>
    <b v="0"/>
    <b v="0"/>
    <n v="6318"/>
    <n v="0"/>
    <n v="0"/>
    <n v="4454"/>
    <n v="8885"/>
    <n v="0"/>
    <n v="13339"/>
    <x v="38"/>
    <n v="0"/>
    <n v="0"/>
    <m/>
    <n v="0"/>
    <n v="13339"/>
    <n v="0"/>
    <n v="0"/>
    <x v="26"/>
    <n v="19657"/>
    <n v="13339"/>
    <x v="1"/>
  </r>
  <r>
    <x v="5"/>
    <b v="0"/>
    <b v="0"/>
    <n v="5803"/>
    <n v="0"/>
    <n v="0"/>
    <n v="5362"/>
    <n v="9137"/>
    <n v="0"/>
    <n v="14499"/>
    <x v="38"/>
    <n v="0"/>
    <n v="0"/>
    <m/>
    <n v="0"/>
    <n v="14499"/>
    <n v="0"/>
    <n v="0"/>
    <x v="27"/>
    <n v="20302"/>
    <n v="14499"/>
    <x v="1"/>
  </r>
  <r>
    <x v="5"/>
    <b v="0"/>
    <b v="0"/>
    <n v="2262"/>
    <n v="0"/>
    <n v="0"/>
    <n v="9353"/>
    <n v="9295"/>
    <n v="0"/>
    <n v="18648"/>
    <x v="38"/>
    <n v="0"/>
    <n v="0"/>
    <m/>
    <n v="0"/>
    <n v="18648"/>
    <n v="0"/>
    <n v="0"/>
    <x v="28"/>
    <n v="20910"/>
    <n v="18648"/>
    <x v="1"/>
  </r>
  <r>
    <x v="5"/>
    <b v="0"/>
    <b v="0"/>
    <n v="2660"/>
    <n v="0"/>
    <n v="0"/>
    <n v="8868"/>
    <n v="0"/>
    <n v="0"/>
    <n v="8868"/>
    <x v="38"/>
    <n v="0"/>
    <n v="0"/>
    <m/>
    <n v="0"/>
    <n v="8868"/>
    <n v="0"/>
    <n v="0"/>
    <x v="29"/>
    <n v="11528"/>
    <n v="8868"/>
    <x v="1"/>
  </r>
  <r>
    <x v="5"/>
    <b v="0"/>
    <b v="0"/>
    <n v="2096"/>
    <n v="0"/>
    <n v="0"/>
    <n v="9587"/>
    <n v="9280"/>
    <n v="0"/>
    <n v="18867"/>
    <x v="38"/>
    <n v="0"/>
    <n v="0"/>
    <m/>
    <n v="0"/>
    <n v="18867"/>
    <n v="0"/>
    <n v="0"/>
    <x v="30"/>
    <n v="20963"/>
    <n v="18867"/>
    <x v="2"/>
  </r>
  <r>
    <x v="5"/>
    <b v="0"/>
    <b v="0"/>
    <n v="905"/>
    <n v="0"/>
    <n v="0"/>
    <n v="10443"/>
    <n v="8909"/>
    <n v="0"/>
    <n v="19352"/>
    <x v="38"/>
    <n v="0"/>
    <n v="0"/>
    <m/>
    <n v="0"/>
    <n v="19352"/>
    <n v="0"/>
    <n v="0"/>
    <x v="31"/>
    <n v="20257"/>
    <n v="19352"/>
    <x v="2"/>
  </r>
  <r>
    <x v="5"/>
    <b v="0"/>
    <b v="0"/>
    <n v="1531"/>
    <n v="0"/>
    <n v="0"/>
    <n v="9796"/>
    <n v="9137"/>
    <n v="0"/>
    <n v="18933"/>
    <x v="38"/>
    <n v="0"/>
    <n v="0"/>
    <m/>
    <n v="0"/>
    <n v="18933"/>
    <n v="0"/>
    <n v="0"/>
    <x v="32"/>
    <n v="20464"/>
    <n v="18933"/>
    <x v="2"/>
  </r>
  <r>
    <x v="5"/>
    <b v="0"/>
    <b v="0"/>
    <n v="1638"/>
    <n v="0"/>
    <n v="0"/>
    <n v="9674"/>
    <n v="8894"/>
    <n v="0"/>
    <n v="18568"/>
    <x v="38"/>
    <n v="0"/>
    <n v="0"/>
    <m/>
    <n v="0"/>
    <n v="18568"/>
    <n v="0"/>
    <n v="0"/>
    <x v="33"/>
    <n v="20206"/>
    <n v="18568"/>
    <x v="2"/>
  </r>
  <r>
    <x v="5"/>
    <b v="0"/>
    <b v="0"/>
    <n v="3949"/>
    <n v="0"/>
    <n v="0"/>
    <n v="6963"/>
    <n v="9538"/>
    <n v="0"/>
    <n v="16501"/>
    <x v="38"/>
    <n v="0"/>
    <n v="0"/>
    <m/>
    <n v="0"/>
    <n v="16501"/>
    <n v="0"/>
    <n v="0"/>
    <x v="34"/>
    <n v="20450"/>
    <n v="16501"/>
    <x v="2"/>
  </r>
  <r>
    <x v="5"/>
    <b v="0"/>
    <b v="0"/>
    <n v="3042"/>
    <n v="0"/>
    <n v="0"/>
    <n v="8108"/>
    <n v="8894"/>
    <n v="0"/>
    <n v="17002"/>
    <x v="38"/>
    <n v="0"/>
    <n v="0"/>
    <m/>
    <n v="0"/>
    <n v="17002"/>
    <n v="0"/>
    <n v="0"/>
    <x v="35"/>
    <n v="20044"/>
    <n v="17002"/>
    <x v="2"/>
  </r>
  <r>
    <x v="5"/>
    <b v="0"/>
    <b v="0"/>
    <n v="1128"/>
    <n v="0"/>
    <n v="0"/>
    <n v="10666"/>
    <n v="9395"/>
    <n v="0"/>
    <n v="20061"/>
    <x v="38"/>
    <n v="0"/>
    <n v="0"/>
    <m/>
    <n v="0"/>
    <n v="20061"/>
    <n v="0"/>
    <n v="0"/>
    <x v="36"/>
    <n v="21189"/>
    <n v="20061"/>
    <x v="2"/>
  </r>
  <r>
    <x v="5"/>
    <b v="0"/>
    <b v="0"/>
    <n v="1370"/>
    <n v="0"/>
    <n v="0"/>
    <n v="10591"/>
    <n v="9395"/>
    <n v="0"/>
    <n v="19986"/>
    <x v="38"/>
    <n v="0"/>
    <n v="0"/>
    <m/>
    <n v="0"/>
    <n v="19986"/>
    <n v="0"/>
    <n v="0"/>
    <x v="37"/>
    <n v="21356"/>
    <n v="19986"/>
    <x v="2"/>
  </r>
  <r>
    <x v="5"/>
    <b v="0"/>
    <b v="0"/>
    <n v="3432"/>
    <n v="0"/>
    <n v="0"/>
    <n v="7673"/>
    <n v="8894"/>
    <n v="0"/>
    <n v="16567"/>
    <x v="38"/>
    <n v="0"/>
    <n v="0"/>
    <m/>
    <n v="0"/>
    <n v="16567"/>
    <n v="0"/>
    <n v="0"/>
    <x v="38"/>
    <n v="19999"/>
    <n v="16567"/>
    <x v="2"/>
  </r>
  <r>
    <x v="5"/>
    <b v="0"/>
    <b v="0"/>
    <n v="4433"/>
    <n v="0"/>
    <n v="0"/>
    <n v="12209"/>
    <n v="9538"/>
    <n v="0"/>
    <n v="21747"/>
    <x v="38"/>
    <n v="0"/>
    <n v="0"/>
    <m/>
    <n v="0"/>
    <n v="21747"/>
    <n v="0"/>
    <n v="0"/>
    <x v="39"/>
    <n v="26180"/>
    <n v="21747"/>
    <x v="2"/>
  </r>
  <r>
    <x v="5"/>
    <b v="0"/>
    <b v="0"/>
    <n v="546"/>
    <n v="0"/>
    <n v="0"/>
    <n v="10892"/>
    <n v="8894"/>
    <n v="0"/>
    <n v="19786"/>
    <x v="38"/>
    <n v="0"/>
    <n v="0"/>
    <m/>
    <n v="0"/>
    <n v="19786"/>
    <n v="0"/>
    <n v="0"/>
    <x v="40"/>
    <n v="20332"/>
    <n v="19786"/>
    <x v="2"/>
  </r>
  <r>
    <x v="5"/>
    <b v="0"/>
    <b v="0"/>
    <n v="645"/>
    <n v="0"/>
    <n v="0"/>
    <n v="11116"/>
    <n v="9137"/>
    <n v="0"/>
    <n v="20253"/>
    <x v="38"/>
    <n v="0"/>
    <n v="0"/>
    <m/>
    <n v="0"/>
    <n v="20253"/>
    <n v="0"/>
    <n v="0"/>
    <x v="41"/>
    <n v="20898"/>
    <n v="20253"/>
    <x v="2"/>
  </r>
  <r>
    <x v="5"/>
    <b v="0"/>
    <b v="0"/>
    <n v="403"/>
    <n v="0"/>
    <n v="0"/>
    <n v="11760"/>
    <n v="9538"/>
    <n v="0"/>
    <n v="21298"/>
    <x v="38"/>
    <n v="0"/>
    <n v="0"/>
    <m/>
    <n v="0"/>
    <n v="21298"/>
    <n v="0"/>
    <n v="0"/>
    <x v="42"/>
    <n v="21701"/>
    <n v="21298"/>
    <x v="1"/>
  </r>
  <r>
    <x v="5"/>
    <b v="0"/>
    <b v="0"/>
    <n v="364"/>
    <n v="0"/>
    <n v="0"/>
    <n v="10428"/>
    <n v="8408"/>
    <n v="0"/>
    <n v="18836"/>
    <x v="38"/>
    <n v="0"/>
    <n v="0"/>
    <m/>
    <n v="0"/>
    <n v="18836"/>
    <n v="0"/>
    <n v="0"/>
    <x v="43"/>
    <n v="19200"/>
    <n v="18836"/>
    <x v="1"/>
  </r>
  <r>
    <x v="5"/>
    <b v="0"/>
    <b v="0"/>
    <n v="967"/>
    <n v="0"/>
    <n v="0"/>
    <n v="10756"/>
    <n v="9137"/>
    <n v="0"/>
    <n v="19893"/>
    <x v="38"/>
    <n v="0"/>
    <n v="0"/>
    <m/>
    <n v="0"/>
    <n v="19893"/>
    <n v="0"/>
    <n v="0"/>
    <x v="44"/>
    <n v="20860"/>
    <n v="19893"/>
    <x v="1"/>
  </r>
  <r>
    <x v="5"/>
    <b v="0"/>
    <b v="0"/>
    <n v="1794"/>
    <n v="0"/>
    <n v="0"/>
    <n v="9590"/>
    <n v="9037"/>
    <n v="0"/>
    <n v="18627"/>
    <x v="38"/>
    <n v="0"/>
    <n v="0"/>
    <m/>
    <n v="0"/>
    <n v="18627"/>
    <n v="0"/>
    <n v="0"/>
    <x v="45"/>
    <n v="20421"/>
    <n v="18627"/>
    <x v="1"/>
  </r>
  <r>
    <x v="5"/>
    <b v="0"/>
    <b v="0"/>
    <n v="2248"/>
    <n v="0"/>
    <n v="0"/>
    <n v="9677"/>
    <n v="9395"/>
    <n v="0"/>
    <n v="19072"/>
    <x v="38"/>
    <n v="0"/>
    <n v="0"/>
    <m/>
    <n v="0"/>
    <n v="19072"/>
    <n v="0"/>
    <n v="0"/>
    <x v="46"/>
    <n v="21320"/>
    <n v="19072"/>
    <x v="1"/>
  </r>
  <r>
    <x v="5"/>
    <b v="0"/>
    <b v="0"/>
    <n v="1950"/>
    <n v="0"/>
    <n v="0"/>
    <n v="9326"/>
    <n v="8894"/>
    <n v="0"/>
    <n v="18220"/>
    <x v="38"/>
    <n v="0"/>
    <n v="0"/>
    <m/>
    <n v="0"/>
    <n v="18220"/>
    <n v="0"/>
    <n v="0"/>
    <x v="47"/>
    <n v="20170"/>
    <n v="18220"/>
    <x v="1"/>
  </r>
  <r>
    <x v="5"/>
    <b v="0"/>
    <b v="0"/>
    <n v="3416"/>
    <n v="0"/>
    <n v="0"/>
    <n v="8793"/>
    <n v="9538"/>
    <n v="0"/>
    <n v="18331"/>
    <x v="38"/>
    <n v="0"/>
    <n v="0"/>
    <m/>
    <n v="0"/>
    <n v="18331"/>
    <n v="0"/>
    <n v="0"/>
    <x v="48"/>
    <n v="21747"/>
    <n v="18331"/>
    <x v="1"/>
  </r>
  <r>
    <x v="5"/>
    <b v="0"/>
    <b v="0"/>
    <n v="3234"/>
    <n v="0"/>
    <n v="0"/>
    <n v="8599"/>
    <n v="9137"/>
    <n v="0"/>
    <n v="17736"/>
    <x v="38"/>
    <n v="0"/>
    <n v="0"/>
    <m/>
    <n v="0"/>
    <n v="17736"/>
    <n v="0"/>
    <n v="0"/>
    <x v="49"/>
    <n v="20970"/>
    <n v="17736"/>
    <x v="1"/>
  </r>
  <r>
    <x v="5"/>
    <b v="0"/>
    <b v="0"/>
    <n v="3219"/>
    <n v="0"/>
    <n v="0"/>
    <n v="8282"/>
    <n v="8894"/>
    <n v="0"/>
    <n v="17176"/>
    <x v="38"/>
    <n v="0"/>
    <n v="0"/>
    <m/>
    <n v="0"/>
    <n v="17176"/>
    <n v="0"/>
    <n v="0"/>
    <x v="50"/>
    <n v="20395"/>
    <n v="17176"/>
    <x v="1"/>
  </r>
  <r>
    <x v="5"/>
    <b v="0"/>
    <b v="0"/>
    <n v="1978"/>
    <n v="0"/>
    <n v="0"/>
    <n v="10231"/>
    <n v="9538"/>
    <n v="0"/>
    <n v="19769"/>
    <x v="38"/>
    <n v="0"/>
    <n v="0"/>
    <m/>
    <n v="0"/>
    <n v="19769"/>
    <n v="0"/>
    <n v="0"/>
    <x v="51"/>
    <n v="21747"/>
    <n v="19769"/>
    <x v="1"/>
  </r>
  <r>
    <x v="5"/>
    <b v="0"/>
    <b v="0"/>
    <n v="1392"/>
    <n v="0"/>
    <n v="0"/>
    <n v="10109"/>
    <n v="8894"/>
    <n v="0"/>
    <n v="19003"/>
    <x v="38"/>
    <n v="0"/>
    <n v="0"/>
    <m/>
    <n v="0"/>
    <n v="19003"/>
    <n v="0"/>
    <n v="0"/>
    <x v="52"/>
    <n v="20395"/>
    <n v="19003"/>
    <x v="1"/>
  </r>
  <r>
    <x v="5"/>
    <b v="0"/>
    <b v="0"/>
    <n v="539"/>
    <n v="0"/>
    <n v="0"/>
    <n v="11385"/>
    <n v="9280"/>
    <n v="0"/>
    <n v="20665"/>
    <x v="38"/>
    <n v="0"/>
    <n v="0"/>
    <m/>
    <n v="0"/>
    <n v="20665"/>
    <n v="0"/>
    <n v="0"/>
    <x v="53"/>
    <n v="21204"/>
    <n v="20665"/>
    <x v="1"/>
  </r>
  <r>
    <x v="5"/>
    <b v="0"/>
    <b v="0"/>
    <n v="899"/>
    <n v="0"/>
    <n v="0"/>
    <n v="10936"/>
    <n v="9137"/>
    <n v="0"/>
    <n v="20073"/>
    <x v="38"/>
    <n v="0"/>
    <n v="0"/>
    <m/>
    <n v="0"/>
    <n v="20073"/>
    <n v="0"/>
    <n v="0"/>
    <x v="54"/>
    <n v="20972"/>
    <n v="20073"/>
    <x v="1"/>
  </r>
  <r>
    <x v="5"/>
    <b v="0"/>
    <b v="0"/>
    <n v="1330"/>
    <n v="0"/>
    <n v="0"/>
    <n v="9292"/>
    <n v="8408"/>
    <n v="0"/>
    <n v="17700"/>
    <x v="38"/>
    <n v="0"/>
    <n v="0"/>
    <m/>
    <n v="0"/>
    <n v="17700"/>
    <n v="0"/>
    <n v="0"/>
    <x v="55"/>
    <n v="19030"/>
    <n v="17700"/>
    <x v="1"/>
  </r>
  <r>
    <x v="5"/>
    <b v="0"/>
    <b v="0"/>
    <n v="1169"/>
    <n v="0"/>
    <n v="0"/>
    <n v="10666"/>
    <n v="9137"/>
    <n v="0"/>
    <n v="19803"/>
    <x v="38"/>
    <n v="0"/>
    <n v="0"/>
    <m/>
    <n v="0"/>
    <n v="19803"/>
    <n v="0"/>
    <n v="0"/>
    <x v="56"/>
    <n v="20972"/>
    <n v="19803"/>
    <x v="1"/>
  </r>
  <r>
    <x v="5"/>
    <b v="0"/>
    <b v="0"/>
    <n v="1479"/>
    <n v="0"/>
    <n v="0"/>
    <n v="10397"/>
    <n v="9295"/>
    <n v="0"/>
    <n v="19692"/>
    <x v="38"/>
    <n v="0"/>
    <n v="0"/>
    <m/>
    <n v="0"/>
    <n v="19692"/>
    <n v="0"/>
    <n v="0"/>
    <x v="57"/>
    <n v="21171"/>
    <n v="19692"/>
    <x v="1"/>
  </r>
  <r>
    <x v="5"/>
    <b v="0"/>
    <b v="0"/>
    <n v="1163"/>
    <n v="0"/>
    <n v="0"/>
    <n v="10486"/>
    <n v="9137"/>
    <n v="0"/>
    <n v="19623"/>
    <x v="38"/>
    <n v="0"/>
    <n v="0"/>
    <m/>
    <n v="0"/>
    <n v="19623"/>
    <n v="0"/>
    <n v="0"/>
    <x v="58"/>
    <n v="20786"/>
    <n v="19623"/>
    <x v="1"/>
  </r>
  <r>
    <x v="5"/>
    <b v="0"/>
    <b v="0"/>
    <n v="1914"/>
    <n v="0"/>
    <n v="0"/>
    <n v="9587"/>
    <n v="8894"/>
    <n v="0"/>
    <n v="18481"/>
    <x v="38"/>
    <n v="0"/>
    <n v="0"/>
    <m/>
    <n v="0"/>
    <n v="18481"/>
    <n v="0"/>
    <n v="0"/>
    <x v="59"/>
    <n v="20395"/>
    <n v="18481"/>
    <x v="1"/>
  </r>
  <r>
    <x v="5"/>
    <b v="0"/>
    <b v="0"/>
    <n v="2427"/>
    <n v="0"/>
    <n v="0"/>
    <n v="9782"/>
    <n v="9538"/>
    <n v="0"/>
    <n v="19320"/>
    <x v="38"/>
    <n v="0"/>
    <n v="0"/>
    <m/>
    <n v="0"/>
    <n v="19320"/>
    <n v="0"/>
    <n v="0"/>
    <x v="60"/>
    <n v="21747"/>
    <n v="19320"/>
    <x v="1"/>
  </r>
  <r>
    <x v="5"/>
    <b v="0"/>
    <b v="0"/>
    <n v="2248"/>
    <n v="0"/>
    <n v="0"/>
    <n v="9228"/>
    <n v="9137"/>
    <n v="0"/>
    <n v="18365"/>
    <x v="38"/>
    <n v="0"/>
    <n v="0"/>
    <m/>
    <n v="0"/>
    <n v="18365"/>
    <n v="0"/>
    <n v="0"/>
    <x v="61"/>
    <n v="20613"/>
    <n v="18365"/>
    <x v="1"/>
  </r>
  <r>
    <x v="5"/>
    <b v="0"/>
    <b v="0"/>
    <n v="2784"/>
    <n v="0"/>
    <n v="0"/>
    <n v="5029"/>
    <n v="9037"/>
    <n v="0"/>
    <n v="14066"/>
    <x v="38"/>
    <n v="0"/>
    <n v="0"/>
    <m/>
    <n v="0"/>
    <n v="14066"/>
    <n v="0"/>
    <n v="0"/>
    <x v="62"/>
    <n v="16850"/>
    <n v="14066"/>
    <x v="1"/>
  </r>
  <r>
    <x v="5"/>
    <b v="0"/>
    <b v="0"/>
    <n v="2248"/>
    <n v="0"/>
    <n v="0"/>
    <n v="9872"/>
    <n v="9395"/>
    <n v="0"/>
    <n v="19267"/>
    <x v="38"/>
    <n v="0"/>
    <n v="0"/>
    <m/>
    <n v="0"/>
    <n v="19267"/>
    <n v="0"/>
    <n v="0"/>
    <x v="63"/>
    <n v="21515"/>
    <n v="19267"/>
    <x v="1"/>
  </r>
  <r>
    <x v="5"/>
    <b v="0"/>
    <b v="0"/>
    <n v="1044"/>
    <n v="0"/>
    <n v="0"/>
    <n v="10457"/>
    <n v="8894"/>
    <n v="0"/>
    <n v="19351"/>
    <x v="38"/>
    <n v="0"/>
    <n v="0"/>
    <m/>
    <n v="0"/>
    <n v="19351"/>
    <n v="0"/>
    <n v="0"/>
    <x v="64"/>
    <n v="20395"/>
    <n v="19351"/>
    <x v="1"/>
  </r>
  <r>
    <x v="5"/>
    <b v="0"/>
    <b v="0"/>
    <n v="809"/>
    <n v="0"/>
    <n v="0"/>
    <n v="11400"/>
    <n v="9538"/>
    <n v="0"/>
    <n v="20938"/>
    <x v="38"/>
    <n v="0"/>
    <n v="0"/>
    <m/>
    <n v="0"/>
    <n v="20938"/>
    <n v="0"/>
    <n v="0"/>
    <x v="65"/>
    <n v="21747"/>
    <n v="20938"/>
    <x v="1"/>
  </r>
  <r>
    <x v="5"/>
    <b v="0"/>
    <b v="0"/>
    <n v="1079"/>
    <n v="0"/>
    <n v="0"/>
    <n v="10756"/>
    <n v="9137"/>
    <n v="0"/>
    <n v="19893"/>
    <x v="38"/>
    <n v="0"/>
    <n v="0"/>
    <m/>
    <n v="0"/>
    <n v="19893"/>
    <n v="0"/>
    <n v="0"/>
    <x v="66"/>
    <n v="20972"/>
    <n v="19893"/>
    <x v="2"/>
  </r>
  <r>
    <x v="5"/>
    <b v="0"/>
    <b v="0"/>
    <n v="1137"/>
    <n v="0"/>
    <n v="0"/>
    <n v="9698"/>
    <n v="8408"/>
    <n v="0"/>
    <n v="18106"/>
    <x v="38"/>
    <n v="0"/>
    <n v="0"/>
    <m/>
    <n v="0"/>
    <n v="18106"/>
    <n v="0"/>
    <n v="0"/>
    <x v="67"/>
    <n v="19243"/>
    <n v="18106"/>
    <x v="2"/>
  </r>
  <r>
    <x v="5"/>
    <b v="0"/>
    <b v="0"/>
    <n v="1798"/>
    <n v="0"/>
    <n v="0"/>
    <n v="10127"/>
    <n v="9280"/>
    <n v="0"/>
    <n v="19407"/>
    <x v="38"/>
    <n v="0"/>
    <n v="0"/>
    <m/>
    <n v="0"/>
    <n v="19407"/>
    <n v="0"/>
    <n v="0"/>
    <x v="68"/>
    <n v="21205"/>
    <n v="19407"/>
    <x v="2"/>
  </r>
  <r>
    <x v="5"/>
    <b v="0"/>
    <b v="0"/>
    <n v="2349"/>
    <n v="0"/>
    <n v="0"/>
    <n v="9437"/>
    <n v="9152"/>
    <n v="0"/>
    <n v="18589"/>
    <x v="38"/>
    <n v="0"/>
    <n v="0"/>
    <m/>
    <n v="0"/>
    <n v="18589"/>
    <n v="0"/>
    <n v="0"/>
    <x v="69"/>
    <n v="20938"/>
    <n v="18589"/>
    <x v="2"/>
  </r>
  <r>
    <x v="5"/>
    <b v="0"/>
    <b v="0"/>
    <n v="2427"/>
    <n v="0"/>
    <n v="0"/>
    <n v="9408"/>
    <n v="9137"/>
    <n v="0"/>
    <n v="18545"/>
    <x v="38"/>
    <n v="0"/>
    <n v="0"/>
    <m/>
    <n v="0"/>
    <n v="18545"/>
    <n v="0"/>
    <n v="0"/>
    <x v="70"/>
    <n v="20972"/>
    <n v="18545"/>
    <x v="2"/>
  </r>
  <r>
    <x v="5"/>
    <b v="0"/>
    <b v="0"/>
    <n v="2088"/>
    <n v="0"/>
    <n v="0"/>
    <n v="9503"/>
    <n v="9037"/>
    <n v="0"/>
    <n v="18540"/>
    <x v="38"/>
    <n v="0"/>
    <n v="0"/>
    <m/>
    <n v="0"/>
    <n v="18540"/>
    <n v="0"/>
    <n v="0"/>
    <x v="71"/>
    <n v="20628"/>
    <n v="18540"/>
    <x v="2"/>
  </r>
  <r>
    <x v="5"/>
    <b v="0"/>
    <b v="0"/>
    <n v="2068"/>
    <n v="0"/>
    <n v="0"/>
    <n v="9767"/>
    <n v="9137"/>
    <n v="0"/>
    <n v="18904"/>
    <x v="38"/>
    <n v="0"/>
    <n v="0"/>
    <m/>
    <n v="0"/>
    <n v="18904"/>
    <n v="0"/>
    <n v="0"/>
    <x v="72"/>
    <n v="20972"/>
    <n v="18904"/>
    <x v="2"/>
  </r>
  <r>
    <x v="5"/>
    <b v="0"/>
    <b v="0"/>
    <n v="2337"/>
    <n v="0"/>
    <n v="0"/>
    <n v="9498"/>
    <n v="9137"/>
    <n v="0"/>
    <n v="18635"/>
    <x v="38"/>
    <n v="0"/>
    <n v="0"/>
    <m/>
    <n v="0"/>
    <n v="18635"/>
    <n v="0"/>
    <n v="0"/>
    <x v="73"/>
    <n v="20972"/>
    <n v="18635"/>
    <x v="2"/>
  </r>
  <r>
    <x v="5"/>
    <b v="0"/>
    <b v="0"/>
    <n v="2349"/>
    <n v="0"/>
    <n v="0"/>
    <n v="9527"/>
    <n v="9295"/>
    <n v="0"/>
    <n v="18822"/>
    <x v="38"/>
    <n v="0"/>
    <n v="0"/>
    <m/>
    <n v="0"/>
    <n v="18822"/>
    <n v="0"/>
    <n v="0"/>
    <x v="74"/>
    <n v="21171"/>
    <n v="18822"/>
    <x v="2"/>
  </r>
  <r>
    <x v="5"/>
    <b v="0"/>
    <b v="0"/>
    <n v="2068"/>
    <n v="0"/>
    <n v="0"/>
    <n v="9767"/>
    <n v="9137"/>
    <n v="0"/>
    <n v="18904"/>
    <x v="38"/>
    <n v="0"/>
    <n v="0"/>
    <m/>
    <n v="0"/>
    <n v="18904"/>
    <n v="0"/>
    <n v="0"/>
    <x v="75"/>
    <n v="20972"/>
    <n v="18904"/>
    <x v="2"/>
  </r>
  <r>
    <x v="5"/>
    <b v="0"/>
    <b v="0"/>
    <n v="1131"/>
    <n v="0"/>
    <n v="0"/>
    <n v="10370"/>
    <n v="8894"/>
    <n v="0"/>
    <n v="19264"/>
    <x v="38"/>
    <n v="0"/>
    <n v="0"/>
    <m/>
    <n v="0"/>
    <n v="19264"/>
    <n v="0"/>
    <n v="0"/>
    <x v="76"/>
    <n v="20395"/>
    <n v="19264"/>
    <x v="2"/>
  </r>
  <r>
    <x v="5"/>
    <b v="0"/>
    <b v="0"/>
    <n v="635"/>
    <n v="0"/>
    <n v="0"/>
    <n v="11580"/>
    <n v="9538"/>
    <n v="0"/>
    <n v="21118"/>
    <x v="38"/>
    <n v="0"/>
    <n v="0"/>
    <m/>
    <n v="0"/>
    <n v="21118"/>
    <n v="0"/>
    <n v="0"/>
    <x v="77"/>
    <n v="21753"/>
    <n v="21118"/>
    <x v="2"/>
  </r>
  <r>
    <x v="5"/>
    <b v="0"/>
    <b v="0"/>
    <n v="899"/>
    <n v="0"/>
    <n v="0"/>
    <n v="10953"/>
    <n v="9137"/>
    <n v="0"/>
    <n v="20090"/>
    <x v="38"/>
    <n v="0"/>
    <n v="0"/>
    <m/>
    <n v="0"/>
    <n v="20090"/>
    <n v="0"/>
    <n v="0"/>
    <x v="78"/>
    <n v="20989"/>
    <n v="20090"/>
    <x v="0"/>
  </r>
  <r>
    <x v="5"/>
    <b v="0"/>
    <b v="0"/>
    <n v="1177"/>
    <n v="0"/>
    <n v="0"/>
    <n v="9991"/>
    <n v="8651"/>
    <n v="0"/>
    <n v="18642"/>
    <x v="38"/>
    <n v="0"/>
    <n v="0"/>
    <m/>
    <n v="0"/>
    <n v="18642"/>
    <n v="0"/>
    <n v="0"/>
    <x v="79"/>
    <n v="19819"/>
    <n v="18642"/>
    <x v="0"/>
  </r>
  <r>
    <x v="5"/>
    <b v="0"/>
    <b v="0"/>
    <n v="2158"/>
    <n v="0"/>
    <n v="0"/>
    <n v="10051"/>
    <n v="9538"/>
    <n v="0"/>
    <n v="19589"/>
    <x v="38"/>
    <n v="0"/>
    <n v="0"/>
    <m/>
    <n v="0"/>
    <n v="19589"/>
    <n v="0"/>
    <n v="0"/>
    <x v="80"/>
    <n v="21747"/>
    <n v="19589"/>
    <x v="0"/>
  </r>
  <r>
    <x v="5"/>
    <b v="0"/>
    <b v="0"/>
    <n v="2175"/>
    <n v="0"/>
    <n v="0"/>
    <n v="9326"/>
    <n v="8894"/>
    <n v="0"/>
    <n v="18220"/>
    <x v="38"/>
    <n v="0"/>
    <n v="0"/>
    <m/>
    <n v="0"/>
    <n v="18220"/>
    <n v="0"/>
    <n v="0"/>
    <x v="81"/>
    <n v="20395"/>
    <n v="18220"/>
    <x v="0"/>
  </r>
  <r>
    <x v="5"/>
    <b v="0"/>
    <b v="0"/>
    <n v="2517"/>
    <n v="0"/>
    <n v="0"/>
    <n v="9408"/>
    <n v="9280"/>
    <n v="0"/>
    <n v="18688"/>
    <x v="38"/>
    <n v="0"/>
    <n v="0"/>
    <m/>
    <n v="0"/>
    <n v="18688"/>
    <n v="0"/>
    <n v="0"/>
    <x v="82"/>
    <n v="21205"/>
    <n v="18688"/>
    <x v="0"/>
  </r>
  <r>
    <x v="5"/>
    <b v="0"/>
    <b v="0"/>
    <n v="1914"/>
    <n v="0"/>
    <n v="0"/>
    <n v="9872"/>
    <n v="9152"/>
    <n v="0"/>
    <n v="19024"/>
    <x v="38"/>
    <n v="0"/>
    <n v="0"/>
    <m/>
    <n v="0"/>
    <n v="19024"/>
    <n v="0"/>
    <n v="0"/>
    <x v="83"/>
    <n v="20938"/>
    <n v="19024"/>
    <x v="0"/>
  </r>
  <r>
    <x v="5"/>
    <b v="0"/>
    <b v="0"/>
    <n v="2248"/>
    <n v="0"/>
    <n v="0"/>
    <n v="9587"/>
    <n v="9137"/>
    <n v="0"/>
    <n v="18724"/>
    <x v="38"/>
    <n v="0"/>
    <n v="0"/>
    <m/>
    <n v="0"/>
    <n v="18724"/>
    <n v="0"/>
    <n v="0"/>
    <x v="84"/>
    <n v="20972"/>
    <n v="18724"/>
    <x v="0"/>
  </r>
  <r>
    <x v="5"/>
    <b v="0"/>
    <b v="0"/>
    <n v="2427"/>
    <n v="0"/>
    <n v="0"/>
    <n v="9782"/>
    <n v="9538"/>
    <n v="0"/>
    <n v="19320"/>
    <x v="38"/>
    <n v="0"/>
    <n v="0"/>
    <m/>
    <n v="0"/>
    <n v="19320"/>
    <n v="0"/>
    <n v="0"/>
    <x v="85"/>
    <n v="21747"/>
    <n v="19320"/>
    <x v="0"/>
  </r>
  <r>
    <x v="5"/>
    <b v="0"/>
    <b v="0"/>
    <n v="2088"/>
    <n v="0"/>
    <n v="0"/>
    <n v="9413"/>
    <n v="8894"/>
    <n v="0"/>
    <n v="18307"/>
    <x v="38"/>
    <n v="0"/>
    <n v="0"/>
    <m/>
    <n v="0"/>
    <n v="18307"/>
    <n v="0"/>
    <n v="0"/>
    <x v="86"/>
    <n v="20395"/>
    <n v="18307"/>
    <x v="0"/>
  </r>
  <r>
    <x v="5"/>
    <b v="0"/>
    <b v="0"/>
    <n v="2248"/>
    <n v="0"/>
    <n v="0"/>
    <n v="9587"/>
    <n v="9137"/>
    <n v="0"/>
    <n v="18724"/>
    <x v="38"/>
    <n v="0"/>
    <n v="0"/>
    <m/>
    <n v="0"/>
    <n v="18724"/>
    <n v="0"/>
    <n v="0"/>
    <x v="87"/>
    <n v="20972"/>
    <n v="18724"/>
    <x v="0"/>
  </r>
  <r>
    <x v="5"/>
    <b v="0"/>
    <b v="0"/>
    <n v="1320"/>
    <n v="0"/>
    <n v="0"/>
    <n v="8683"/>
    <n v="8025"/>
    <n v="0"/>
    <n v="16708"/>
    <x v="38"/>
    <n v="0"/>
    <n v="0"/>
    <m/>
    <n v="0"/>
    <n v="16708"/>
    <n v="0"/>
    <n v="0"/>
    <x v="88"/>
    <n v="18028"/>
    <n v="16708"/>
    <x v="0"/>
  </r>
  <r>
    <x v="5"/>
    <b v="0"/>
    <b v="0"/>
    <n v="774"/>
    <n v="0"/>
    <n v="0"/>
    <n v="8294"/>
    <n v="7800"/>
    <n v="0"/>
    <n v="16094"/>
    <x v="38"/>
    <n v="0"/>
    <n v="0"/>
    <m/>
    <n v="0"/>
    <n v="16094"/>
    <n v="0"/>
    <n v="0"/>
    <x v="89"/>
    <n v="16868"/>
    <n v="16094"/>
    <x v="0"/>
  </r>
  <r>
    <x v="5"/>
    <b v="0"/>
    <b v="0"/>
    <n v="832"/>
    <n v="0"/>
    <n v="0"/>
    <n v="10353"/>
    <n v="9030"/>
    <n v="0"/>
    <n v="19383"/>
    <x v="38"/>
    <n v="0"/>
    <n v="0"/>
    <m/>
    <n v="0"/>
    <n v="19383"/>
    <n v="10"/>
    <n v="0"/>
    <x v="90"/>
    <n v="20225"/>
    <n v="19383"/>
    <x v="2"/>
  </r>
  <r>
    <x v="5"/>
    <b v="0"/>
    <b v="0"/>
    <n v="966"/>
    <n v="0"/>
    <n v="0"/>
    <n v="7917"/>
    <n v="7020"/>
    <n v="0"/>
    <n v="14937"/>
    <x v="38"/>
    <n v="0"/>
    <n v="0"/>
    <m/>
    <n v="0"/>
    <n v="14937"/>
    <n v="6"/>
    <n v="0"/>
    <x v="91"/>
    <n v="15909"/>
    <n v="14937"/>
    <x v="2"/>
  </r>
  <r>
    <x v="5"/>
    <b v="0"/>
    <b v="0"/>
    <n v="1412"/>
    <n v="0"/>
    <n v="0"/>
    <n v="9324"/>
    <n v="8000"/>
    <n v="0"/>
    <n v="17324"/>
    <x v="38"/>
    <n v="0"/>
    <n v="0"/>
    <m/>
    <n v="0"/>
    <n v="17324"/>
    <n v="22"/>
    <n v="0"/>
    <x v="92"/>
    <n v="18758"/>
    <n v="17324"/>
    <x v="2"/>
  </r>
  <r>
    <x v="5"/>
    <b v="0"/>
    <b v="0"/>
    <n v="1894"/>
    <n v="0"/>
    <n v="0"/>
    <n v="9686"/>
    <n v="6600"/>
    <n v="0"/>
    <n v="16286"/>
    <x v="38"/>
    <n v="0"/>
    <n v="0"/>
    <m/>
    <n v="0"/>
    <n v="16286"/>
    <n v="0"/>
    <n v="0"/>
    <x v="93"/>
    <n v="18180"/>
    <n v="16286"/>
    <x v="2"/>
  </r>
  <r>
    <x v="5"/>
    <b v="0"/>
    <b v="0"/>
    <n v="2535"/>
    <n v="0"/>
    <n v="0"/>
    <n v="10498"/>
    <n v="7200"/>
    <n v="0"/>
    <n v="17698"/>
    <x v="38"/>
    <n v="0"/>
    <n v="0"/>
    <m/>
    <n v="0"/>
    <n v="17698"/>
    <n v="9"/>
    <n v="0"/>
    <x v="94"/>
    <n v="20242"/>
    <n v="17698"/>
    <x v="2"/>
  </r>
  <r>
    <x v="5"/>
    <b v="0"/>
    <b v="0"/>
    <n v="1821"/>
    <n v="0"/>
    <n v="0"/>
    <n v="9947"/>
    <n v="6800"/>
    <n v="0"/>
    <n v="16747"/>
    <x v="38"/>
    <n v="0"/>
    <n v="0"/>
    <m/>
    <n v="0"/>
    <n v="16747"/>
    <n v="20"/>
    <n v="0"/>
    <x v="95"/>
    <n v="18588"/>
    <n v="16747"/>
    <x v="2"/>
  </r>
  <r>
    <x v="5"/>
    <b v="0"/>
    <b v="0"/>
    <n v="2216"/>
    <n v="0"/>
    <n v="0"/>
    <n v="10092"/>
    <n v="7000"/>
    <n v="0"/>
    <n v="17092"/>
    <x v="38"/>
    <n v="0"/>
    <n v="0"/>
    <m/>
    <n v="0"/>
    <n v="17092"/>
    <n v="17"/>
    <n v="0"/>
    <x v="96"/>
    <n v="19325"/>
    <n v="17092"/>
    <x v="2"/>
  </r>
  <r>
    <x v="5"/>
    <b v="0"/>
    <b v="0"/>
    <n v="2079"/>
    <n v="0"/>
    <n v="0"/>
    <n v="10295"/>
    <n v="6950"/>
    <n v="0"/>
    <n v="17245"/>
    <x v="38"/>
    <n v="0"/>
    <n v="0"/>
    <m/>
    <n v="0"/>
    <n v="17245"/>
    <n v="24"/>
    <n v="0"/>
    <x v="97"/>
    <n v="19348"/>
    <n v="17245"/>
    <x v="2"/>
  </r>
  <r>
    <x v="5"/>
    <b v="0"/>
    <b v="0"/>
    <n v="1902"/>
    <n v="0"/>
    <n v="0"/>
    <n v="10034"/>
    <n v="6800"/>
    <n v="0"/>
    <n v="16834"/>
    <x v="38"/>
    <n v="0"/>
    <n v="0"/>
    <m/>
    <n v="0"/>
    <n v="16834"/>
    <n v="15"/>
    <n v="0"/>
    <x v="98"/>
    <n v="18751"/>
    <n v="16834"/>
    <x v="2"/>
  </r>
  <r>
    <x v="5"/>
    <b v="0"/>
    <b v="0"/>
    <n v="1157"/>
    <n v="0"/>
    <n v="0"/>
    <n v="8802"/>
    <n v="6050"/>
    <n v="0"/>
    <n v="14852"/>
    <x v="38"/>
    <n v="0"/>
    <n v="0"/>
    <m/>
    <n v="0"/>
    <n v="14852"/>
    <n v="9"/>
    <n v="0"/>
    <x v="99"/>
    <n v="16018"/>
    <n v="14852"/>
    <x v="2"/>
  </r>
  <r>
    <x v="5"/>
    <b v="0"/>
    <b v="0"/>
    <n v="1148"/>
    <n v="0"/>
    <n v="0"/>
    <n v="8352"/>
    <n v="5650"/>
    <n v="0"/>
    <n v="14002"/>
    <x v="38"/>
    <n v="0"/>
    <n v="0"/>
    <m/>
    <n v="0"/>
    <n v="14002"/>
    <n v="10"/>
    <n v="0"/>
    <x v="100"/>
    <n v="15160"/>
    <n v="14002"/>
    <x v="2"/>
  </r>
  <r>
    <x v="5"/>
    <b v="0"/>
    <b v="0"/>
    <n v="711"/>
    <n v="0"/>
    <n v="0"/>
    <n v="7685"/>
    <n v="3400"/>
    <n v="0"/>
    <n v="11085"/>
    <x v="38"/>
    <n v="0"/>
    <n v="0"/>
    <m/>
    <n v="0"/>
    <n v="11085"/>
    <n v="3"/>
    <n v="0"/>
    <x v="101"/>
    <n v="11799"/>
    <n v="11085"/>
    <x v="2"/>
  </r>
  <r>
    <x v="5"/>
    <b v="0"/>
    <b v="0"/>
    <n v="216"/>
    <n v="0"/>
    <n v="0"/>
    <n v="2690"/>
    <n v="3475"/>
    <n v="0"/>
    <n v="6165"/>
    <x v="38"/>
    <n v="0"/>
    <n v="0"/>
    <m/>
    <n v="0"/>
    <n v="6165"/>
    <n v="7"/>
    <n v="0"/>
    <x v="102"/>
    <n v="6388"/>
    <n v="6165"/>
    <x v="1"/>
  </r>
  <r>
    <x v="5"/>
    <b v="0"/>
    <b v="0"/>
    <n v="934"/>
    <n v="0"/>
    <n v="0"/>
    <n v="6989"/>
    <n v="3100"/>
    <n v="0"/>
    <n v="10089"/>
    <x v="38"/>
    <n v="0"/>
    <n v="0"/>
    <m/>
    <n v="0"/>
    <n v="10089"/>
    <n v="10"/>
    <n v="0"/>
    <x v="103"/>
    <n v="11033"/>
    <n v="10089"/>
    <x v="1"/>
  </r>
  <r>
    <x v="5"/>
    <b v="0"/>
    <b v="0"/>
    <n v="1244"/>
    <n v="0"/>
    <n v="0"/>
    <n v="9459"/>
    <n v="3980"/>
    <n v="0"/>
    <n v="13439"/>
    <x v="38"/>
    <n v="0"/>
    <n v="0"/>
    <m/>
    <n v="0"/>
    <n v="13439"/>
    <n v="12"/>
    <n v="0"/>
    <x v="104"/>
    <n v="14695"/>
    <n v="13439"/>
    <x v="1"/>
  </r>
  <r>
    <x v="5"/>
    <b v="0"/>
    <b v="0"/>
    <n v="1195"/>
    <n v="0"/>
    <n v="0"/>
    <n v="9454"/>
    <n v="3980"/>
    <n v="0"/>
    <n v="13434"/>
    <x v="38"/>
    <n v="0"/>
    <n v="0"/>
    <m/>
    <n v="0"/>
    <n v="13434"/>
    <n v="12"/>
    <n v="0"/>
    <x v="105"/>
    <n v="14641"/>
    <n v="13434"/>
    <x v="1"/>
  </r>
  <r>
    <x v="5"/>
    <b v="0"/>
    <b v="0"/>
    <n v="1433"/>
    <n v="0"/>
    <n v="0"/>
    <n v="11249"/>
    <n v="6750"/>
    <n v="0"/>
    <n v="17999"/>
    <x v="38"/>
    <n v="0"/>
    <n v="0"/>
    <m/>
    <n v="0"/>
    <n v="17999"/>
    <n v="7"/>
    <n v="0"/>
    <x v="106"/>
    <n v="19439"/>
    <n v="17999"/>
    <x v="1"/>
  </r>
  <r>
    <x v="5"/>
    <b v="0"/>
    <b v="0"/>
    <n v="1215"/>
    <n v="0"/>
    <n v="0"/>
    <n v="9280"/>
    <n v="3930"/>
    <n v="0"/>
    <n v="13210"/>
    <x v="38"/>
    <n v="0"/>
    <n v="0"/>
    <m/>
    <n v="0"/>
    <n v="13210"/>
    <n v="15"/>
    <n v="0"/>
    <x v="107"/>
    <n v="14440"/>
    <n v="13210"/>
    <x v="1"/>
  </r>
  <r>
    <x v="5"/>
    <b v="0"/>
    <b v="0"/>
    <n v="1215"/>
    <n v="0"/>
    <n v="0"/>
    <n v="9164"/>
    <n v="3940"/>
    <n v="0"/>
    <n v="13104"/>
    <x v="38"/>
    <n v="0"/>
    <n v="0"/>
    <m/>
    <n v="0"/>
    <n v="13104"/>
    <n v="0"/>
    <n v="0"/>
    <x v="108"/>
    <n v="14319"/>
    <n v="13104"/>
    <x v="1"/>
  </r>
  <r>
    <x v="5"/>
    <b v="0"/>
    <b v="0"/>
    <n v="803"/>
    <n v="0"/>
    <n v="0"/>
    <n v="9863"/>
    <n v="6790"/>
    <n v="0"/>
    <n v="16653"/>
    <x v="38"/>
    <n v="0"/>
    <n v="0"/>
    <m/>
    <n v="0"/>
    <n v="16653"/>
    <n v="10"/>
    <n v="0"/>
    <x v="109"/>
    <n v="17466"/>
    <n v="16653"/>
    <x v="1"/>
  </r>
  <r>
    <x v="5"/>
    <b v="0"/>
    <b v="0"/>
    <n v="4129"/>
    <n v="0"/>
    <n v="0"/>
    <n v="13654"/>
    <n v="7120"/>
    <n v="0"/>
    <n v="20774"/>
    <x v="38"/>
    <n v="0"/>
    <n v="0"/>
    <m/>
    <n v="0"/>
    <n v="20774"/>
    <n v="6"/>
    <n v="0"/>
    <x v="110"/>
    <n v="24909"/>
    <n v="20774"/>
    <x v="1"/>
  </r>
  <r>
    <x v="5"/>
    <b v="0"/>
    <b v="0"/>
    <n v="1116"/>
    <n v="0"/>
    <n v="0"/>
    <n v="9033"/>
    <n v="6120"/>
    <n v="0"/>
    <n v="15153"/>
    <x v="38"/>
    <n v="0"/>
    <n v="0"/>
    <m/>
    <n v="0"/>
    <n v="15153"/>
    <n v="6"/>
    <n v="0"/>
    <x v="111"/>
    <n v="16275"/>
    <n v="15153"/>
    <x v="1"/>
  </r>
  <r>
    <x v="5"/>
    <b v="0"/>
    <b v="0"/>
    <n v="1015"/>
    <n v="0"/>
    <n v="0"/>
    <n v="8685"/>
    <n v="5680"/>
    <n v="0"/>
    <n v="14365"/>
    <x v="38"/>
    <n v="0"/>
    <n v="0"/>
    <m/>
    <n v="0"/>
    <n v="14365"/>
    <n v="11"/>
    <n v="0"/>
    <x v="112"/>
    <n v="15391"/>
    <n v="14365"/>
    <x v="1"/>
  </r>
  <r>
    <x v="5"/>
    <b v="0"/>
    <b v="0"/>
    <n v="670"/>
    <n v="0"/>
    <n v="0"/>
    <n v="7482"/>
    <n v="3315"/>
    <n v="0"/>
    <n v="10797"/>
    <x v="38"/>
    <n v="0"/>
    <n v="0"/>
    <m/>
    <n v="0"/>
    <n v="10797"/>
    <n v="4"/>
    <n v="0"/>
    <x v="113"/>
    <n v="11471"/>
    <n v="10797"/>
    <x v="1"/>
  </r>
  <r>
    <x v="5"/>
    <b v="0"/>
    <b v="0"/>
    <n v="895"/>
    <n v="0"/>
    <n v="0"/>
    <n v="9750"/>
    <n v="5945"/>
    <n v="0"/>
    <n v="15695"/>
    <x v="38"/>
    <n v="0"/>
    <n v="0"/>
    <m/>
    <n v="0"/>
    <n v="15695"/>
    <n v="7"/>
    <n v="0"/>
    <x v="114"/>
    <n v="16597"/>
    <n v="15695"/>
    <x v="1"/>
  </r>
  <r>
    <x v="5"/>
    <b v="0"/>
    <b v="0"/>
    <n v="990"/>
    <n v="0"/>
    <n v="0"/>
    <n v="13875"/>
    <n v="8425"/>
    <n v="0"/>
    <n v="22300"/>
    <x v="38"/>
    <n v="0"/>
    <n v="0"/>
    <m/>
    <n v="0"/>
    <n v="22300"/>
    <n v="16"/>
    <n v="0"/>
    <x v="115"/>
    <n v="23306"/>
    <n v="22300"/>
    <x v="1"/>
  </r>
  <r>
    <x v="5"/>
    <b v="0"/>
    <b v="0"/>
    <n v="237"/>
    <n v="0"/>
    <n v="0"/>
    <n v="8685"/>
    <n v="5200"/>
    <n v="0"/>
    <n v="13885"/>
    <x v="38"/>
    <n v="0"/>
    <n v="0"/>
    <m/>
    <n v="0"/>
    <n v="13885"/>
    <n v="8"/>
    <n v="0"/>
    <x v="116"/>
    <n v="14130"/>
    <n v="13885"/>
    <x v="1"/>
  </r>
  <r>
    <x v="5"/>
    <b v="0"/>
    <b v="0"/>
    <n v="441"/>
    <n v="0"/>
    <n v="0"/>
    <n v="8685"/>
    <n v="5200"/>
    <n v="0"/>
    <n v="13885"/>
    <x v="38"/>
    <n v="0"/>
    <n v="0"/>
    <m/>
    <n v="0"/>
    <n v="13885"/>
    <n v="4"/>
    <n v="0"/>
    <x v="117"/>
    <n v="14330"/>
    <n v="13885"/>
    <x v="1"/>
  </r>
  <r>
    <x v="5"/>
    <b v="0"/>
    <b v="0"/>
    <n v="791"/>
    <n v="0"/>
    <n v="0"/>
    <n v="10125"/>
    <n v="5175"/>
    <n v="0"/>
    <n v="15300"/>
    <x v="38"/>
    <n v="0"/>
    <n v="0"/>
    <m/>
    <n v="0"/>
    <n v="15300"/>
    <n v="6"/>
    <n v="0"/>
    <x v="118"/>
    <n v="16097"/>
    <n v="15300"/>
    <x v="1"/>
  </r>
  <r>
    <x v="5"/>
    <b v="0"/>
    <b v="0"/>
    <n v="891"/>
    <n v="0"/>
    <n v="0"/>
    <n v="8910"/>
    <n v="5500"/>
    <n v="0"/>
    <n v="14410"/>
    <x v="38"/>
    <n v="0"/>
    <n v="0"/>
    <m/>
    <n v="0"/>
    <n v="14410"/>
    <n v="19"/>
    <n v="0"/>
    <x v="119"/>
    <n v="15320"/>
    <n v="14410"/>
    <x v="1"/>
  </r>
  <r>
    <x v="5"/>
    <b v="0"/>
    <b v="0"/>
    <n v="850"/>
    <n v="0"/>
    <n v="0"/>
    <n v="11175"/>
    <n v="6125"/>
    <n v="0"/>
    <n v="17300"/>
    <x v="38"/>
    <n v="0"/>
    <n v="0"/>
    <m/>
    <n v="0"/>
    <n v="17300"/>
    <n v="14"/>
    <n v="0"/>
    <x v="120"/>
    <n v="18164"/>
    <n v="17300"/>
    <x v="1"/>
  </r>
  <r>
    <x v="5"/>
    <b v="0"/>
    <b v="0"/>
    <n v="2110"/>
    <n v="0"/>
    <n v="0"/>
    <n v="11970"/>
    <n v="5125"/>
    <n v="0"/>
    <n v="17095"/>
    <x v="38"/>
    <n v="0"/>
    <n v="0"/>
    <m/>
    <n v="0"/>
    <n v="17095"/>
    <n v="16"/>
    <n v="0"/>
    <x v="121"/>
    <n v="19221"/>
    <n v="17095"/>
    <x v="1"/>
  </r>
  <r>
    <x v="5"/>
    <b v="0"/>
    <b v="0"/>
    <n v="3200"/>
    <n v="0"/>
    <n v="0"/>
    <n v="13500"/>
    <n v="6080"/>
    <n v="0"/>
    <n v="19580"/>
    <x v="38"/>
    <n v="0"/>
    <n v="0"/>
    <m/>
    <n v="0"/>
    <n v="19580"/>
    <n v="13"/>
    <n v="0"/>
    <x v="122"/>
    <n v="22793"/>
    <n v="19580"/>
    <x v="1"/>
  </r>
  <r>
    <x v="5"/>
    <b v="0"/>
    <b v="0"/>
    <n v="2062"/>
    <n v="0"/>
    <n v="0"/>
    <n v="10500"/>
    <n v="4995"/>
    <n v="0"/>
    <n v="15495"/>
    <x v="38"/>
    <n v="0"/>
    <n v="0"/>
    <m/>
    <n v="0"/>
    <n v="15495"/>
    <n v="24"/>
    <n v="0"/>
    <x v="123"/>
    <n v="17581"/>
    <n v="15495"/>
    <x v="1"/>
  </r>
  <r>
    <x v="5"/>
    <b v="0"/>
    <b v="0"/>
    <n v="648"/>
    <n v="0"/>
    <n v="0"/>
    <n v="8550"/>
    <n v="3525"/>
    <n v="0"/>
    <n v="12075"/>
    <x v="38"/>
    <n v="0"/>
    <n v="0"/>
    <m/>
    <n v="0"/>
    <n v="12075"/>
    <n v="12"/>
    <n v="0"/>
    <x v="124"/>
    <n v="12735"/>
    <n v="12075"/>
    <x v="1"/>
  </r>
  <r>
    <x v="5"/>
    <b v="0"/>
    <b v="0"/>
    <n v="528"/>
    <n v="0"/>
    <n v="0"/>
    <n v="9500"/>
    <n v="2850"/>
    <n v="0"/>
    <n v="12350"/>
    <x v="38"/>
    <n v="0"/>
    <n v="0"/>
    <m/>
    <n v="0"/>
    <n v="12350"/>
    <n v="0"/>
    <n v="0"/>
    <x v="125"/>
    <n v="12878"/>
    <n v="12350"/>
    <x v="1"/>
  </r>
  <r>
    <x v="5"/>
    <b v="0"/>
    <b v="0"/>
    <n v="600"/>
    <n v="0"/>
    <n v="0"/>
    <n v="8500"/>
    <n v="2550"/>
    <n v="0"/>
    <n v="11050"/>
    <x v="38"/>
    <n v="0"/>
    <n v="0"/>
    <m/>
    <n v="0"/>
    <n v="11050"/>
    <n v="9"/>
    <n v="0"/>
    <x v="126"/>
    <n v="11659"/>
    <n v="11050"/>
    <x v="1"/>
  </r>
  <r>
    <x v="5"/>
    <b v="0"/>
    <b v="0"/>
    <n v="1244"/>
    <n v="0"/>
    <n v="0"/>
    <n v="9400"/>
    <n v="3200"/>
    <n v="0"/>
    <n v="12600"/>
    <x v="38"/>
    <n v="0"/>
    <n v="0"/>
    <m/>
    <n v="0"/>
    <n v="12600"/>
    <n v="10"/>
    <n v="0"/>
    <x v="127"/>
    <n v="13854"/>
    <n v="12600"/>
    <x v="1"/>
  </r>
  <r>
    <x v="5"/>
    <b v="0"/>
    <b v="0"/>
    <n v="632"/>
    <n v="0"/>
    <n v="0"/>
    <n v="8900"/>
    <n v="2650"/>
    <n v="0"/>
    <n v="11550"/>
    <x v="38"/>
    <n v="0"/>
    <n v="0"/>
    <m/>
    <n v="0"/>
    <n v="11550"/>
    <n v="2"/>
    <n v="0"/>
    <x v="128"/>
    <n v="12184"/>
    <n v="11550"/>
    <x v="1"/>
  </r>
  <r>
    <x v="5"/>
    <b v="0"/>
    <b v="0"/>
    <n v="1016"/>
    <n v="0"/>
    <n v="0"/>
    <n v="7860"/>
    <n v="3050"/>
    <n v="0"/>
    <n v="10910"/>
    <x v="38"/>
    <n v="0"/>
    <n v="0"/>
    <m/>
    <n v="0"/>
    <n v="10910"/>
    <n v="11"/>
    <n v="0"/>
    <x v="129"/>
    <n v="11937"/>
    <n v="10910"/>
    <x v="1"/>
  </r>
  <r>
    <x v="5"/>
    <b v="0"/>
    <b v="0"/>
    <n v="1604"/>
    <n v="0"/>
    <n v="0"/>
    <n v="13100"/>
    <n v="3900"/>
    <n v="0"/>
    <n v="17000"/>
    <x v="38"/>
    <n v="0"/>
    <n v="0"/>
    <m/>
    <n v="0"/>
    <n v="17000"/>
    <n v="14"/>
    <n v="0"/>
    <x v="130"/>
    <n v="18618"/>
    <n v="17000"/>
    <x v="1"/>
  </r>
  <r>
    <x v="5"/>
    <b v="0"/>
    <b v="0"/>
    <n v="1172"/>
    <n v="0"/>
    <n v="0"/>
    <n v="13300"/>
    <n v="4590"/>
    <n v="0"/>
    <n v="17890"/>
    <x v="38"/>
    <n v="0"/>
    <n v="0"/>
    <m/>
    <n v="0"/>
    <n v="17890"/>
    <n v="8"/>
    <n v="0"/>
    <x v="131"/>
    <n v="19070"/>
    <n v="17890"/>
    <x v="1"/>
  </r>
  <r>
    <x v="5"/>
    <b v="0"/>
    <b v="0"/>
    <n v="1672"/>
    <n v="0"/>
    <n v="0"/>
    <n v="14600"/>
    <n v="4350"/>
    <n v="0"/>
    <n v="18950"/>
    <x v="38"/>
    <n v="0"/>
    <n v="0"/>
    <m/>
    <n v="0"/>
    <n v="18950"/>
    <n v="11"/>
    <n v="0"/>
    <x v="132"/>
    <n v="20633"/>
    <n v="18950"/>
    <x v="1"/>
  </r>
  <r>
    <x v="5"/>
    <b v="0"/>
    <b v="0"/>
    <n v="4080"/>
    <n v="0"/>
    <n v="0"/>
    <n v="23000"/>
    <n v="9000"/>
    <n v="0"/>
    <n v="32000"/>
    <x v="38"/>
    <n v="0"/>
    <n v="0"/>
    <m/>
    <n v="0"/>
    <n v="32000"/>
    <n v="16"/>
    <n v="0"/>
    <x v="133"/>
    <n v="36096"/>
    <n v="32000"/>
    <x v="1"/>
  </r>
  <r>
    <x v="5"/>
    <b v="0"/>
    <b v="0"/>
    <n v="5316"/>
    <n v="0"/>
    <n v="0"/>
    <n v="22600"/>
    <n v="9050"/>
    <n v="0"/>
    <n v="31650"/>
    <x v="38"/>
    <n v="0"/>
    <n v="0"/>
    <m/>
    <n v="0"/>
    <n v="31650"/>
    <n v="18"/>
    <n v="0"/>
    <x v="134"/>
    <n v="36984"/>
    <n v="31650"/>
    <x v="1"/>
  </r>
  <r>
    <x v="5"/>
    <b v="0"/>
    <b v="0"/>
    <n v="2144"/>
    <n v="0"/>
    <n v="0"/>
    <n v="18000"/>
    <n v="7600"/>
    <n v="0"/>
    <n v="25600"/>
    <x v="38"/>
    <n v="0"/>
    <n v="0"/>
    <m/>
    <n v="0"/>
    <n v="25600"/>
    <n v="14"/>
    <n v="0"/>
    <x v="135"/>
    <n v="27758"/>
    <n v="25600"/>
    <x v="1"/>
  </r>
  <r>
    <x v="5"/>
    <b v="0"/>
    <b v="0"/>
    <n v="1168"/>
    <n v="0"/>
    <n v="0"/>
    <n v="13100"/>
    <n v="4175"/>
    <n v="0"/>
    <n v="17275"/>
    <x v="38"/>
    <n v="0"/>
    <n v="0"/>
    <m/>
    <n v="0"/>
    <n v="17275"/>
    <n v="8"/>
    <n v="0"/>
    <x v="136"/>
    <n v="18451"/>
    <n v="17275"/>
    <x v="1"/>
  </r>
  <r>
    <x v="5"/>
    <b v="1"/>
    <b v="0"/>
    <n v="484"/>
    <n v="0"/>
    <n v="0"/>
    <n v="9484"/>
    <n v="2374"/>
    <n v="0"/>
    <n v="11858"/>
    <x v="38"/>
    <n v="0"/>
    <n v="0"/>
    <m/>
    <n v="0"/>
    <n v="11858"/>
    <n v="4"/>
    <n v="0"/>
    <x v="137"/>
    <n v="12346"/>
    <n v="11858"/>
    <x v="1"/>
  </r>
  <r>
    <x v="5"/>
    <b v="1"/>
    <b v="0"/>
    <n v="884"/>
    <n v="0"/>
    <n v="0"/>
    <n v="9260"/>
    <n v="2909"/>
    <n v="0"/>
    <n v="12169"/>
    <x v="38"/>
    <n v="2"/>
    <n v="0"/>
    <m/>
    <n v="0"/>
    <n v="12169"/>
    <n v="6"/>
    <n v="0"/>
    <x v="138"/>
    <n v="13061"/>
    <n v="12169"/>
    <x v="3"/>
  </r>
  <r>
    <x v="5"/>
    <b v="1"/>
    <b v="0"/>
    <n v="1204"/>
    <n v="0"/>
    <n v="0"/>
    <n v="7956"/>
    <n v="3142"/>
    <n v="0"/>
    <n v="11098"/>
    <x v="38"/>
    <n v="1"/>
    <n v="0"/>
    <m/>
    <n v="0"/>
    <n v="11098"/>
    <n v="14"/>
    <n v="0"/>
    <x v="139"/>
    <n v="12317"/>
    <n v="11098"/>
    <x v="3"/>
  </r>
  <r>
    <x v="5"/>
    <b v="0"/>
    <b v="0"/>
    <n v="1044"/>
    <n v="0"/>
    <n v="0"/>
    <n v="14100"/>
    <n v="4305"/>
    <n v="0"/>
    <n v="18405"/>
    <x v="38"/>
    <n v="0"/>
    <n v="0"/>
    <m/>
    <n v="0"/>
    <n v="18405"/>
    <n v="10"/>
    <n v="0"/>
    <x v="140"/>
    <n v="19459"/>
    <n v="18405"/>
    <x v="3"/>
  </r>
  <r>
    <x v="5"/>
    <b v="0"/>
    <b v="0"/>
    <n v="1196"/>
    <n v="0"/>
    <n v="0"/>
    <n v="11460"/>
    <n v="3645"/>
    <n v="0"/>
    <n v="15105"/>
    <x v="38"/>
    <n v="0"/>
    <n v="0"/>
    <m/>
    <n v="0"/>
    <n v="15105"/>
    <n v="9"/>
    <n v="0"/>
    <x v="141"/>
    <n v="16310"/>
    <n v="15105"/>
    <x v="3"/>
  </r>
  <r>
    <x v="5"/>
    <b v="0"/>
    <b v="0"/>
    <n v="1268"/>
    <n v="0"/>
    <n v="0"/>
    <n v="12620"/>
    <n v="5820"/>
    <n v="0"/>
    <n v="18440"/>
    <x v="38"/>
    <n v="0"/>
    <n v="0"/>
    <m/>
    <n v="0"/>
    <n v="18440"/>
    <n v="12"/>
    <n v="0"/>
    <x v="142"/>
    <n v="19720"/>
    <n v="18440"/>
    <x v="3"/>
  </r>
  <r>
    <x v="5"/>
    <b v="0"/>
    <b v="0"/>
    <n v="1160"/>
    <n v="0"/>
    <n v="0"/>
    <n v="16380"/>
    <n v="6230"/>
    <n v="0"/>
    <n v="22610"/>
    <x v="38"/>
    <n v="0"/>
    <n v="0"/>
    <m/>
    <n v="0"/>
    <n v="22610"/>
    <n v="17"/>
    <n v="0"/>
    <x v="143"/>
    <n v="23787"/>
    <n v="22610"/>
    <x v="3"/>
  </r>
  <r>
    <x v="5"/>
    <b v="0"/>
    <b v="0"/>
    <n v="1340"/>
    <n v="0"/>
    <n v="0"/>
    <n v="14700"/>
    <n v="6665"/>
    <n v="0"/>
    <n v="21365"/>
    <x v="38"/>
    <n v="0"/>
    <n v="0"/>
    <m/>
    <n v="0"/>
    <n v="21365"/>
    <n v="12"/>
    <n v="0"/>
    <x v="144"/>
    <n v="22717"/>
    <n v="21365"/>
    <x v="3"/>
  </r>
  <r>
    <x v="5"/>
    <b v="0"/>
    <b v="0"/>
    <n v="2880"/>
    <n v="0"/>
    <n v="0"/>
    <n v="18120"/>
    <n v="7275"/>
    <n v="0"/>
    <n v="25395"/>
    <x v="38"/>
    <n v="0"/>
    <n v="0"/>
    <m/>
    <n v="0"/>
    <n v="25395"/>
    <n v="10"/>
    <n v="0"/>
    <x v="145"/>
    <n v="28285"/>
    <n v="25395"/>
    <x v="3"/>
  </r>
  <r>
    <x v="5"/>
    <b v="0"/>
    <b v="0"/>
    <n v="2552"/>
    <n v="0"/>
    <n v="0"/>
    <n v="22500"/>
    <n v="7226"/>
    <n v="0"/>
    <n v="29726"/>
    <x v="38"/>
    <n v="0"/>
    <n v="0"/>
    <m/>
    <n v="0"/>
    <n v="29726"/>
    <n v="32"/>
    <n v="0"/>
    <x v="146"/>
    <n v="32310"/>
    <n v="29726"/>
    <x v="3"/>
  </r>
  <r>
    <x v="5"/>
    <b v="0"/>
    <b v="0"/>
    <n v="1660"/>
    <n v="0"/>
    <n v="0"/>
    <n v="16500"/>
    <n v="6350"/>
    <n v="0"/>
    <n v="22850"/>
    <x v="38"/>
    <n v="0"/>
    <n v="0"/>
    <m/>
    <n v="0"/>
    <n v="22850"/>
    <n v="20"/>
    <n v="0"/>
    <x v="147"/>
    <n v="24530"/>
    <n v="22850"/>
    <x v="3"/>
  </r>
  <r>
    <x v="5"/>
    <b v="0"/>
    <b v="0"/>
    <n v="1000"/>
    <n v="0"/>
    <n v="0"/>
    <n v="11480"/>
    <n v="3860"/>
    <n v="0"/>
    <n v="15340"/>
    <x v="38"/>
    <n v="0"/>
    <n v="0"/>
    <m/>
    <n v="0"/>
    <n v="15340"/>
    <n v="15"/>
    <n v="0"/>
    <x v="148"/>
    <n v="16355"/>
    <n v="15340"/>
    <x v="3"/>
  </r>
  <r>
    <x v="5"/>
    <b v="0"/>
    <b v="0"/>
    <n v="344"/>
    <n v="0"/>
    <n v="0"/>
    <n v="5060"/>
    <n v="2490"/>
    <n v="0"/>
    <n v="7550"/>
    <x v="38"/>
    <n v="0"/>
    <n v="0"/>
    <m/>
    <n v="0"/>
    <n v="7550"/>
    <n v="6"/>
    <n v="0"/>
    <x v="149"/>
    <n v="7900"/>
    <n v="7550"/>
    <x v="3"/>
  </r>
  <r>
    <x v="5"/>
    <b v="0"/>
    <b v="0"/>
    <n v="322"/>
    <n v="0"/>
    <n v="0"/>
    <n v="2280"/>
    <n v="3205"/>
    <n v="0"/>
    <n v="5485"/>
    <x v="38"/>
    <n v="0"/>
    <n v="0"/>
    <m/>
    <n v="0"/>
    <n v="5485"/>
    <n v="18"/>
    <n v="0"/>
    <x v="150"/>
    <n v="5825"/>
    <n v="5485"/>
    <x v="4"/>
  </r>
  <r>
    <x v="5"/>
    <b v="0"/>
    <b v="0"/>
    <n v="860"/>
    <n v="0"/>
    <n v="0"/>
    <n v="10240"/>
    <n v="3375"/>
    <n v="0"/>
    <n v="13615"/>
    <x v="38"/>
    <n v="0"/>
    <n v="0"/>
    <m/>
    <n v="0"/>
    <n v="13615"/>
    <n v="14"/>
    <n v="0"/>
    <x v="151"/>
    <n v="14489"/>
    <n v="13615"/>
    <x v="4"/>
  </r>
  <r>
    <x v="5"/>
    <b v="0"/>
    <b v="0"/>
    <n v="804"/>
    <n v="0"/>
    <n v="0"/>
    <n v="13020"/>
    <n v="3825"/>
    <n v="0"/>
    <n v="16845"/>
    <x v="38"/>
    <n v="0"/>
    <n v="0"/>
    <m/>
    <n v="0"/>
    <n v="16845"/>
    <n v="11"/>
    <n v="0"/>
    <x v="152"/>
    <n v="17660"/>
    <n v="16845"/>
    <x v="4"/>
  </r>
  <r>
    <x v="5"/>
    <b v="0"/>
    <b v="0"/>
    <n v="892"/>
    <n v="0"/>
    <n v="0"/>
    <n v="14800"/>
    <n v="4575"/>
    <n v="0"/>
    <n v="19375"/>
    <x v="38"/>
    <n v="0"/>
    <n v="0"/>
    <m/>
    <n v="0"/>
    <n v="19375"/>
    <n v="7"/>
    <n v="0"/>
    <x v="153"/>
    <n v="20274"/>
    <n v="19375"/>
    <x v="4"/>
  </r>
  <r>
    <x v="5"/>
    <b v="0"/>
    <b v="0"/>
    <n v="1240"/>
    <n v="0"/>
    <n v="0"/>
    <n v="18220"/>
    <n v="6020"/>
    <n v="0"/>
    <n v="24240"/>
    <x v="38"/>
    <n v="0"/>
    <n v="0"/>
    <m/>
    <n v="0"/>
    <n v="24240"/>
    <n v="10"/>
    <n v="0"/>
    <x v="154"/>
    <n v="25490"/>
    <n v="24240"/>
    <x v="4"/>
  </r>
  <r>
    <x v="5"/>
    <b v="0"/>
    <b v="0"/>
    <n v="880"/>
    <n v="0"/>
    <n v="0"/>
    <n v="10940"/>
    <n v="4060"/>
    <n v="0"/>
    <n v="15000"/>
    <x v="38"/>
    <n v="0"/>
    <n v="0"/>
    <m/>
    <n v="0"/>
    <n v="15000"/>
    <n v="7"/>
    <n v="0"/>
    <x v="155"/>
    <n v="15887"/>
    <n v="15000"/>
    <x v="4"/>
  </r>
  <r>
    <x v="5"/>
    <b v="0"/>
    <b v="0"/>
    <n v="1348"/>
    <n v="0"/>
    <n v="0"/>
    <n v="14980"/>
    <n v="6010"/>
    <n v="0"/>
    <n v="20990"/>
    <x v="38"/>
    <n v="0"/>
    <n v="0"/>
    <m/>
    <n v="0"/>
    <n v="20990"/>
    <n v="9"/>
    <n v="0"/>
    <x v="156"/>
    <n v="22347"/>
    <n v="20990"/>
    <x v="4"/>
  </r>
  <r>
    <x v="5"/>
    <b v="0"/>
    <b v="0"/>
    <n v="3176"/>
    <n v="0"/>
    <n v="0"/>
    <n v="18980"/>
    <n v="7625"/>
    <n v="0"/>
    <n v="26605"/>
    <x v="38"/>
    <n v="0"/>
    <n v="0"/>
    <m/>
    <n v="0"/>
    <n v="26605"/>
    <n v="9"/>
    <n v="0"/>
    <x v="157"/>
    <n v="29790"/>
    <n v="26605"/>
    <x v="4"/>
  </r>
  <r>
    <x v="5"/>
    <b v="0"/>
    <b v="0"/>
    <n v="4436"/>
    <n v="0"/>
    <n v="0"/>
    <n v="22180"/>
    <n v="8295"/>
    <n v="0"/>
    <n v="30475"/>
    <x v="38"/>
    <n v="0"/>
    <n v="0"/>
    <m/>
    <n v="0"/>
    <n v="30475"/>
    <n v="20"/>
    <n v="0"/>
    <x v="158"/>
    <n v="34931"/>
    <n v="30475"/>
    <x v="4"/>
  </r>
  <r>
    <x v="5"/>
    <b v="0"/>
    <b v="0"/>
    <n v="3104"/>
    <n v="0"/>
    <n v="0"/>
    <n v="15440"/>
    <n v="5140"/>
    <n v="0"/>
    <n v="20580"/>
    <x v="38"/>
    <n v="0"/>
    <n v="0"/>
    <m/>
    <n v="0"/>
    <n v="20580"/>
    <n v="12"/>
    <n v="0"/>
    <x v="159"/>
    <n v="23696"/>
    <n v="20580"/>
    <x v="4"/>
  </r>
  <r>
    <x v="5"/>
    <b v="0"/>
    <b v="0"/>
    <n v="1860"/>
    <n v="0"/>
    <n v="0"/>
    <n v="3616"/>
    <n v="2693"/>
    <n v="0"/>
    <n v="6309"/>
    <x v="409"/>
    <n v="0"/>
    <n v="0"/>
    <m/>
    <n v="0"/>
    <n v="6309"/>
    <n v="5"/>
    <n v="0"/>
    <x v="160"/>
    <n v="8198"/>
    <n v="6309"/>
    <x v="4"/>
  </r>
  <r>
    <x v="5"/>
    <b v="0"/>
    <b v="0"/>
    <n v="1128"/>
    <n v="0"/>
    <n v="0"/>
    <n v="3264"/>
    <n v="3144"/>
    <n v="0"/>
    <n v="6408"/>
    <x v="38"/>
    <n v="0"/>
    <n v="0"/>
    <m/>
    <n v="0"/>
    <n v="6408"/>
    <n v="3"/>
    <n v="0"/>
    <x v="161"/>
    <n v="7539"/>
    <n v="6408"/>
    <x v="4"/>
  </r>
  <r>
    <x v="5"/>
    <b v="0"/>
    <b v="0"/>
    <n v="1160"/>
    <n v="0"/>
    <n v="0"/>
    <n v="2704"/>
    <n v="3277"/>
    <n v="0"/>
    <n v="5981"/>
    <x v="38"/>
    <n v="0"/>
    <n v="0"/>
    <m/>
    <n v="0"/>
    <n v="5981"/>
    <n v="8"/>
    <n v="0"/>
    <x v="162"/>
    <n v="7149"/>
    <n v="5981"/>
    <x v="4"/>
  </r>
  <r>
    <x v="5"/>
    <b v="0"/>
    <b v="0"/>
    <n v="964"/>
    <n v="0"/>
    <n v="0"/>
    <n v="2900"/>
    <n v="3342"/>
    <n v="0"/>
    <n v="6242"/>
    <x v="438"/>
    <n v="0"/>
    <n v="0"/>
    <m/>
    <n v="0"/>
    <n v="6242"/>
    <n v="0"/>
    <n v="0"/>
    <x v="163"/>
    <n v="7209"/>
    <n v="6242"/>
    <x v="4"/>
  </r>
  <r>
    <x v="5"/>
    <b v="0"/>
    <b v="0"/>
    <n v="1460"/>
    <n v="0"/>
    <n v="0"/>
    <n v="2876"/>
    <n v="3553"/>
    <n v="0"/>
    <n v="6429"/>
    <x v="371"/>
    <n v="0"/>
    <n v="0"/>
    <m/>
    <n v="0"/>
    <n v="6429"/>
    <n v="5"/>
    <n v="0"/>
    <x v="164"/>
    <n v="7912"/>
    <n v="6429"/>
    <x v="4"/>
  </r>
  <r>
    <x v="5"/>
    <b v="0"/>
    <b v="0"/>
    <n v="1896"/>
    <n v="0"/>
    <n v="0"/>
    <n v="2388"/>
    <n v="3576"/>
    <n v="0"/>
    <n v="5964"/>
    <x v="38"/>
    <n v="21"/>
    <n v="0"/>
    <m/>
    <n v="0"/>
    <n v="5964"/>
    <n v="6"/>
    <n v="0"/>
    <x v="165"/>
    <n v="7887"/>
    <n v="5964"/>
    <x v="4"/>
  </r>
  <r>
    <x v="5"/>
    <b v="0"/>
    <b v="0"/>
    <n v="1880"/>
    <n v="0"/>
    <n v="0"/>
    <n v="2608"/>
    <n v="3758"/>
    <n v="0"/>
    <n v="6366"/>
    <x v="439"/>
    <n v="0"/>
    <n v="0"/>
    <m/>
    <n v="0"/>
    <n v="6366"/>
    <n v="3"/>
    <n v="0"/>
    <x v="166"/>
    <n v="8306"/>
    <n v="6366"/>
    <x v="4"/>
  </r>
  <r>
    <x v="5"/>
    <b v="0"/>
    <b v="0"/>
    <n v="1024"/>
    <n v="0"/>
    <n v="0"/>
    <n v="2444"/>
    <n v="3874"/>
    <n v="0"/>
    <n v="6318"/>
    <x v="440"/>
    <n v="0"/>
    <n v="0"/>
    <m/>
    <n v="0"/>
    <n v="6318"/>
    <n v="0"/>
    <n v="5"/>
    <x v="167"/>
    <n v="7377"/>
    <n v="6318"/>
    <x v="4"/>
  </r>
  <r>
    <x v="5"/>
    <b v="0"/>
    <b v="0"/>
    <n v="3232"/>
    <n v="0"/>
    <n v="0"/>
    <n v="2244"/>
    <n v="3699"/>
    <n v="0"/>
    <n v="5943"/>
    <x v="210"/>
    <n v="0"/>
    <n v="0"/>
    <m/>
    <n v="0"/>
    <n v="5943"/>
    <n v="5"/>
    <n v="0"/>
    <x v="168"/>
    <n v="9258"/>
    <n v="5943"/>
    <x v="4"/>
  </r>
  <r>
    <x v="5"/>
    <b v="0"/>
    <b v="0"/>
    <n v="4196"/>
    <n v="0"/>
    <n v="0"/>
    <n v="1936"/>
    <n v="3642"/>
    <n v="0"/>
    <n v="5578"/>
    <x v="259"/>
    <n v="0"/>
    <n v="0"/>
    <m/>
    <n v="0"/>
    <n v="5578"/>
    <n v="2"/>
    <n v="0"/>
    <x v="169"/>
    <n v="9815"/>
    <n v="5578"/>
    <x v="4"/>
  </r>
  <r>
    <x v="5"/>
    <b v="0"/>
    <b v="0"/>
    <n v="5020"/>
    <n v="0"/>
    <n v="0"/>
    <n v="1788"/>
    <n v="3629"/>
    <n v="0"/>
    <n v="5417"/>
    <x v="361"/>
    <n v="0"/>
    <n v="0"/>
    <m/>
    <n v="0"/>
    <n v="5417"/>
    <n v="5"/>
    <n v="0"/>
    <x v="170"/>
    <n v="10514"/>
    <n v="5417"/>
    <x v="4"/>
  </r>
  <r>
    <x v="5"/>
    <b v="0"/>
    <b v="0"/>
    <n v="4636"/>
    <n v="0"/>
    <n v="0"/>
    <n v="1820"/>
    <n v="3453"/>
    <n v="0"/>
    <n v="5273"/>
    <x v="441"/>
    <n v="0"/>
    <n v="0"/>
    <m/>
    <n v="0"/>
    <n v="5273"/>
    <n v="0"/>
    <n v="0"/>
    <x v="171"/>
    <n v="9984"/>
    <n v="5273"/>
    <x v="4"/>
  </r>
  <r>
    <x v="5"/>
    <b v="0"/>
    <b v="0"/>
    <n v="1728"/>
    <n v="0"/>
    <n v="0"/>
    <n v="1920"/>
    <n v="3415"/>
    <n v="0"/>
    <n v="5335"/>
    <x v="442"/>
    <n v="0"/>
    <n v="0"/>
    <m/>
    <n v="0"/>
    <n v="5335"/>
    <n v="2"/>
    <n v="0"/>
    <x v="172"/>
    <n v="7101"/>
    <n v="5335"/>
    <x v="4"/>
  </r>
  <r>
    <x v="5"/>
    <b v="0"/>
    <b v="0"/>
    <n v="684"/>
    <n v="0"/>
    <n v="0"/>
    <n v="2644"/>
    <n v="3666"/>
    <n v="0"/>
    <n v="6310"/>
    <x v="443"/>
    <n v="0"/>
    <n v="0"/>
    <m/>
    <n v="0"/>
    <n v="6310"/>
    <n v="1"/>
    <n v="0"/>
    <x v="173"/>
    <n v="7022"/>
    <n v="6310"/>
    <x v="4"/>
  </r>
  <r>
    <x v="5"/>
    <b v="0"/>
    <b v="0"/>
    <n v="1032"/>
    <n v="0"/>
    <n v="0"/>
    <n v="2372"/>
    <n v="3356"/>
    <n v="0"/>
    <n v="5728"/>
    <x v="444"/>
    <n v="0"/>
    <n v="0"/>
    <m/>
    <n v="0"/>
    <n v="5728"/>
    <n v="2"/>
    <n v="0"/>
    <x v="174"/>
    <n v="6795"/>
    <n v="5728"/>
    <x v="0"/>
  </r>
  <r>
    <x v="5"/>
    <b v="0"/>
    <b v="0"/>
    <n v="1892"/>
    <n v="0"/>
    <n v="0"/>
    <n v="1572"/>
    <n v="3137"/>
    <n v="0"/>
    <n v="4709"/>
    <x v="445"/>
    <n v="0"/>
    <n v="0"/>
    <m/>
    <n v="0"/>
    <n v="4709"/>
    <n v="0"/>
    <n v="0"/>
    <x v="175"/>
    <n v="6622"/>
    <n v="4709"/>
    <x v="0"/>
  </r>
  <r>
    <x v="5"/>
    <b v="0"/>
    <b v="0"/>
    <n v="968"/>
    <n v="0"/>
    <n v="0"/>
    <n v="2104"/>
    <n v="3250"/>
    <n v="0"/>
    <n v="5354"/>
    <x v="221"/>
    <n v="0"/>
    <n v="0"/>
    <m/>
    <n v="0"/>
    <n v="5354"/>
    <n v="0"/>
    <n v="0"/>
    <x v="176"/>
    <n v="6334"/>
    <n v="5354"/>
    <x v="0"/>
  </r>
  <r>
    <x v="5"/>
    <b v="0"/>
    <b v="0"/>
    <n v="2128"/>
    <n v="0"/>
    <n v="0"/>
    <n v="2384"/>
    <n v="3535"/>
    <n v="0"/>
    <n v="5919"/>
    <x v="446"/>
    <n v="0"/>
    <n v="0"/>
    <m/>
    <n v="0"/>
    <n v="5919"/>
    <n v="0"/>
    <n v="0"/>
    <x v="177"/>
    <n v="8224"/>
    <n v="5919"/>
    <x v="0"/>
  </r>
  <r>
    <x v="5"/>
    <b v="0"/>
    <b v="0"/>
    <n v="1636"/>
    <n v="0"/>
    <n v="0"/>
    <n v="2472"/>
    <n v="3907"/>
    <n v="0"/>
    <n v="6379"/>
    <x v="38"/>
    <n v="29"/>
    <n v="0"/>
    <m/>
    <n v="0"/>
    <n v="6379"/>
    <n v="0"/>
    <n v="0"/>
    <x v="178"/>
    <n v="8044"/>
    <n v="6379"/>
    <x v="0"/>
  </r>
  <r>
    <x v="5"/>
    <b v="0"/>
    <b v="0"/>
    <n v="1348"/>
    <n v="0"/>
    <n v="0"/>
    <n v="2316"/>
    <n v="3817"/>
    <n v="0"/>
    <n v="6133"/>
    <x v="361"/>
    <n v="0"/>
    <n v="0"/>
    <m/>
    <n v="0"/>
    <n v="6133"/>
    <n v="0"/>
    <n v="0"/>
    <x v="179"/>
    <n v="7553"/>
    <n v="6133"/>
    <x v="0"/>
  </r>
  <r>
    <x v="5"/>
    <b v="0"/>
    <b v="0"/>
    <n v="2492"/>
    <n v="0"/>
    <n v="0"/>
    <n v="2552"/>
    <n v="4306"/>
    <n v="0"/>
    <n v="6858"/>
    <x v="447"/>
    <n v="0"/>
    <n v="0"/>
    <m/>
    <n v="0"/>
    <n v="6858"/>
    <n v="0"/>
    <n v="0"/>
    <x v="180"/>
    <n v="9455"/>
    <n v="6858"/>
    <x v="0"/>
  </r>
  <r>
    <x v="5"/>
    <b v="0"/>
    <b v="0"/>
    <n v="3364"/>
    <n v="0"/>
    <n v="0"/>
    <n v="2264"/>
    <n v="3881"/>
    <n v="0"/>
    <n v="6145"/>
    <x v="361"/>
    <n v="0"/>
    <n v="0"/>
    <m/>
    <n v="0"/>
    <n v="6145"/>
    <n v="0"/>
    <n v="0"/>
    <x v="181"/>
    <n v="9581"/>
    <n v="6145"/>
    <x v="0"/>
  </r>
  <r>
    <x v="5"/>
    <b v="0"/>
    <b v="0"/>
    <n v="3880"/>
    <n v="0"/>
    <n v="0"/>
    <n v="2508"/>
    <n v="3921"/>
    <n v="0"/>
    <n v="6429"/>
    <x v="448"/>
    <n v="0"/>
    <n v="0"/>
    <m/>
    <n v="0"/>
    <n v="6429"/>
    <n v="0"/>
    <n v="0"/>
    <x v="182"/>
    <n v="10423"/>
    <n v="6429"/>
    <x v="0"/>
  </r>
  <r>
    <x v="5"/>
    <b v="0"/>
    <b v="0"/>
    <n v="4832"/>
    <n v="0"/>
    <n v="0"/>
    <n v="3288"/>
    <n v="2769"/>
    <n v="0"/>
    <n v="6057"/>
    <x v="443"/>
    <n v="0"/>
    <n v="0"/>
    <m/>
    <n v="0"/>
    <n v="6057"/>
    <n v="0"/>
    <n v="0"/>
    <x v="183"/>
    <n v="10916"/>
    <n v="6057"/>
    <x v="0"/>
  </r>
  <r>
    <x v="5"/>
    <b v="0"/>
    <b v="0"/>
    <n v="2384"/>
    <n v="0"/>
    <n v="0"/>
    <n v="2140"/>
    <n v="3288"/>
    <n v="0"/>
    <n v="5428"/>
    <x v="440"/>
    <n v="0"/>
    <n v="0"/>
    <m/>
    <n v="0"/>
    <n v="5428"/>
    <n v="0"/>
    <n v="0"/>
    <x v="184"/>
    <n v="7842"/>
    <n v="5428"/>
    <x v="0"/>
  </r>
  <r>
    <x v="5"/>
    <b v="0"/>
    <b v="0"/>
    <n v="1504"/>
    <n v="0"/>
    <n v="0"/>
    <n v="2160"/>
    <n v="3602"/>
    <n v="0"/>
    <n v="5762"/>
    <x v="371"/>
    <n v="0"/>
    <n v="0"/>
    <m/>
    <n v="0"/>
    <n v="5762"/>
    <n v="1"/>
    <n v="0"/>
    <x v="185"/>
    <n v="7285"/>
    <n v="5762"/>
    <x v="0"/>
  </r>
  <r>
    <x v="5"/>
    <b v="0"/>
    <b v="0"/>
    <n v="1344"/>
    <n v="0"/>
    <n v="0"/>
    <n v="2172"/>
    <n v="4253"/>
    <n v="0"/>
    <n v="6425"/>
    <x v="371"/>
    <n v="0"/>
    <n v="0"/>
    <m/>
    <n v="0"/>
    <n v="6425"/>
    <n v="0"/>
    <n v="0"/>
    <x v="186"/>
    <n v="7787"/>
    <n v="6425"/>
    <x v="1"/>
  </r>
  <r>
    <x v="5"/>
    <b v="0"/>
    <b v="0"/>
    <n v="1348"/>
    <n v="0"/>
    <n v="0"/>
    <n v="1328"/>
    <n v="3706"/>
    <n v="0"/>
    <n v="5034"/>
    <x v="449"/>
    <n v="0"/>
    <n v="0"/>
    <m/>
    <n v="0"/>
    <n v="5034"/>
    <n v="0"/>
    <n v="0"/>
    <x v="187"/>
    <n v="6386"/>
    <n v="5034"/>
    <x v="1"/>
  </r>
  <r>
    <x v="5"/>
    <b v="0"/>
    <b v="0"/>
    <n v="1640"/>
    <n v="0"/>
    <n v="0"/>
    <n v="1112"/>
    <n v="4899"/>
    <n v="0"/>
    <n v="6011"/>
    <x v="409"/>
    <n v="0"/>
    <n v="0"/>
    <m/>
    <n v="0"/>
    <n v="6011"/>
    <n v="0"/>
    <n v="0"/>
    <x v="188"/>
    <n v="7675"/>
    <n v="6011"/>
    <x v="1"/>
  </r>
  <r>
    <x v="5"/>
    <b v="0"/>
    <b v="0"/>
    <n v="2104"/>
    <n v="0"/>
    <n v="0"/>
    <n v="2394"/>
    <n v="0"/>
    <n v="0"/>
    <n v="2394"/>
    <x v="38"/>
    <n v="0"/>
    <n v="0"/>
    <m/>
    <n v="0"/>
    <n v="2394"/>
    <n v="4"/>
    <n v="0"/>
    <x v="189"/>
    <n v="4502"/>
    <n v="2394"/>
    <x v="1"/>
  </r>
  <r>
    <x v="5"/>
    <b v="0"/>
    <b v="0"/>
    <n v="2516"/>
    <n v="0"/>
    <n v="0"/>
    <n v="1036"/>
    <n v="4811"/>
    <n v="0"/>
    <n v="5847"/>
    <x v="439"/>
    <n v="0"/>
    <n v="0"/>
    <m/>
    <n v="0"/>
    <n v="5847"/>
    <n v="0"/>
    <n v="0"/>
    <x v="190"/>
    <n v="8420"/>
    <n v="5847"/>
    <x v="1"/>
  </r>
  <r>
    <x v="5"/>
    <b v="0"/>
    <b v="0"/>
    <n v="2780"/>
    <n v="0"/>
    <n v="0"/>
    <n v="1184"/>
    <n v="5131"/>
    <n v="0"/>
    <n v="6315"/>
    <x v="224"/>
    <n v="0"/>
    <n v="0"/>
    <m/>
    <n v="0"/>
    <n v="6315"/>
    <n v="0"/>
    <n v="0"/>
    <x v="191"/>
    <n v="9305"/>
    <n v="6315"/>
    <x v="1"/>
  </r>
  <r>
    <x v="5"/>
    <b v="0"/>
    <b v="0"/>
    <n v="3928"/>
    <n v="0"/>
    <n v="0"/>
    <n v="2088"/>
    <n v="6142"/>
    <n v="0"/>
    <n v="8230"/>
    <x v="372"/>
    <n v="0"/>
    <n v="0"/>
    <m/>
    <n v="0"/>
    <n v="8230"/>
    <n v="0"/>
    <n v="0"/>
    <x v="192"/>
    <n v="12302"/>
    <n v="8230"/>
    <x v="1"/>
  </r>
  <r>
    <x v="5"/>
    <b v="0"/>
    <b v="0"/>
    <n v="3371"/>
    <n v="0"/>
    <n v="0"/>
    <n v="2284"/>
    <n v="3864"/>
    <n v="0"/>
    <n v="6148"/>
    <x v="381"/>
    <n v="0"/>
    <n v="0"/>
    <m/>
    <n v="0"/>
    <n v="6148"/>
    <n v="0"/>
    <n v="0"/>
    <x v="193"/>
    <n v="9560"/>
    <n v="6148"/>
    <x v="1"/>
  </r>
  <r>
    <x v="5"/>
    <b v="0"/>
    <b v="0"/>
    <n v="3891"/>
    <n v="0"/>
    <n v="0"/>
    <n v="2677"/>
    <n v="3961"/>
    <n v="0"/>
    <n v="6638"/>
    <x v="450"/>
    <n v="0"/>
    <n v="0"/>
    <m/>
    <n v="0"/>
    <n v="6638"/>
    <n v="0"/>
    <n v="0"/>
    <x v="194"/>
    <n v="10641"/>
    <n v="6638"/>
    <x v="1"/>
  </r>
  <r>
    <x v="5"/>
    <b v="0"/>
    <b v="0"/>
    <n v="4791"/>
    <n v="0"/>
    <n v="0"/>
    <n v="3291"/>
    <n v="2775"/>
    <n v="0"/>
    <n v="6066"/>
    <x v="451"/>
    <n v="0"/>
    <n v="0"/>
    <m/>
    <n v="0"/>
    <n v="6066"/>
    <n v="7"/>
    <n v="0"/>
    <x v="195"/>
    <n v="10935"/>
    <n v="6066"/>
    <x v="1"/>
  </r>
  <r>
    <x v="5"/>
    <b v="0"/>
    <b v="0"/>
    <n v="1744"/>
    <n v="0"/>
    <n v="0"/>
    <n v="2164"/>
    <n v="3346"/>
    <n v="0"/>
    <n v="5510"/>
    <x v="452"/>
    <n v="0"/>
    <n v="0"/>
    <m/>
    <n v="0"/>
    <n v="5510"/>
    <n v="0"/>
    <n v="0"/>
    <x v="196"/>
    <n v="7280"/>
    <n v="5510"/>
    <x v="1"/>
  </r>
  <r>
    <x v="5"/>
    <b v="0"/>
    <b v="0"/>
    <n v="1400"/>
    <n v="0"/>
    <n v="0"/>
    <n v="2660"/>
    <n v="3640"/>
    <n v="0"/>
    <n v="6300"/>
    <x v="370"/>
    <n v="0"/>
    <n v="0"/>
    <m/>
    <n v="0"/>
    <n v="6300"/>
    <n v="0"/>
    <n v="0"/>
    <x v="197"/>
    <n v="7714"/>
    <n v="6300"/>
    <x v="1"/>
  </r>
  <r>
    <x v="5"/>
    <b v="0"/>
    <b v="0"/>
    <n v="1200"/>
    <n v="0"/>
    <n v="0"/>
    <n v="1776"/>
    <n v="5061"/>
    <n v="0"/>
    <n v="6837"/>
    <x v="453"/>
    <n v="0"/>
    <n v="0"/>
    <m/>
    <n v="0"/>
    <n v="6837"/>
    <n v="0"/>
    <n v="0"/>
    <x v="198"/>
    <n v="8088"/>
    <n v="6837"/>
    <x v="1"/>
  </r>
  <r>
    <x v="5"/>
    <b v="0"/>
    <b v="0"/>
    <n v="1896"/>
    <n v="0"/>
    <n v="0"/>
    <n v="1248"/>
    <n v="4621"/>
    <n v="0"/>
    <n v="5869"/>
    <x v="361"/>
    <n v="0"/>
    <n v="0"/>
    <m/>
    <n v="0"/>
    <n v="5869"/>
    <n v="0"/>
    <n v="0"/>
    <x v="199"/>
    <n v="7837"/>
    <n v="5869"/>
    <x v="1"/>
  </r>
  <r>
    <x v="5"/>
    <b v="0"/>
    <b v="0"/>
    <n v="1496"/>
    <n v="0"/>
    <n v="0"/>
    <n v="1412"/>
    <n v="3803"/>
    <n v="0"/>
    <n v="5215"/>
    <x v="454"/>
    <n v="0"/>
    <n v="0"/>
    <m/>
    <n v="0"/>
    <n v="5215"/>
    <n v="0"/>
    <n v="0"/>
    <x v="200"/>
    <n v="6798"/>
    <n v="5215"/>
    <x v="1"/>
  </r>
  <r>
    <x v="5"/>
    <b v="0"/>
    <b v="0"/>
    <n v="2500"/>
    <n v="0"/>
    <n v="0"/>
    <n v="1608"/>
    <n v="5607"/>
    <n v="0"/>
    <n v="7215"/>
    <x v="455"/>
    <n v="0"/>
    <n v="0"/>
    <m/>
    <n v="0"/>
    <n v="7215"/>
    <n v="0"/>
    <n v="0"/>
    <x v="201"/>
    <n v="9847"/>
    <n v="7215"/>
    <x v="1"/>
  </r>
  <r>
    <x v="5"/>
    <b v="0"/>
    <b v="0"/>
    <n v="2704"/>
    <n v="0"/>
    <n v="0"/>
    <n v="1776"/>
    <n v="6494"/>
    <n v="0"/>
    <n v="8270"/>
    <x v="456"/>
    <n v="0"/>
    <n v="0"/>
    <m/>
    <n v="0"/>
    <n v="8270"/>
    <n v="0"/>
    <n v="0"/>
    <x v="202"/>
    <n v="11133"/>
    <n v="8270"/>
    <x v="1"/>
  </r>
  <r>
    <x v="5"/>
    <b v="0"/>
    <b v="0"/>
    <n v="2816"/>
    <n v="0"/>
    <n v="0"/>
    <n v="1432"/>
    <n v="5802"/>
    <n v="0"/>
    <n v="7234"/>
    <x v="381"/>
    <n v="0"/>
    <n v="0"/>
    <m/>
    <n v="0"/>
    <n v="7234"/>
    <n v="0"/>
    <n v="0"/>
    <x v="203"/>
    <n v="10091"/>
    <n v="7234"/>
    <x v="1"/>
  </r>
  <r>
    <x v="5"/>
    <b v="0"/>
    <b v="0"/>
    <n v="3324"/>
    <n v="0"/>
    <n v="0"/>
    <n v="1496"/>
    <n v="4769"/>
    <n v="0"/>
    <n v="6265"/>
    <x v="218"/>
    <n v="0"/>
    <n v="0"/>
    <m/>
    <n v="0"/>
    <n v="6265"/>
    <n v="1"/>
    <n v="0"/>
    <x v="204"/>
    <n v="9809"/>
    <n v="6265"/>
    <x v="1"/>
  </r>
  <r>
    <x v="5"/>
    <b v="0"/>
    <b v="0"/>
    <n v="3324"/>
    <n v="0"/>
    <n v="0"/>
    <n v="1496"/>
    <n v="4769"/>
    <n v="0"/>
    <n v="6265"/>
    <x v="218"/>
    <n v="0"/>
    <n v="0"/>
    <m/>
    <n v="0"/>
    <n v="6265"/>
    <n v="0"/>
    <n v="0"/>
    <x v="205"/>
    <n v="9808"/>
    <n v="6265"/>
    <x v="1"/>
  </r>
  <r>
    <x v="5"/>
    <b v="0"/>
    <b v="0"/>
    <n v="6448"/>
    <n v="0"/>
    <n v="0"/>
    <n v="1500"/>
    <n v="5221"/>
    <n v="0"/>
    <n v="6721"/>
    <x v="303"/>
    <n v="0"/>
    <n v="0"/>
    <m/>
    <n v="0"/>
    <n v="6721"/>
    <n v="0"/>
    <n v="0"/>
    <x v="206"/>
    <n v="13322"/>
    <n v="6721"/>
    <x v="1"/>
  </r>
  <r>
    <x v="5"/>
    <b v="0"/>
    <b v="0"/>
    <n v="4766"/>
    <n v="0"/>
    <n v="0"/>
    <n v="3151"/>
    <n v="2654"/>
    <n v="0"/>
    <n v="5805"/>
    <x v="457"/>
    <n v="0"/>
    <n v="0"/>
    <m/>
    <n v="0"/>
    <n v="5805"/>
    <n v="0"/>
    <n v="0"/>
    <x v="207"/>
    <n v="10645"/>
    <n v="5805"/>
    <x v="1"/>
  </r>
  <r>
    <x v="5"/>
    <b v="0"/>
    <b v="0"/>
    <n v="1480"/>
    <n v="0"/>
    <n v="0"/>
    <n v="1364"/>
    <n v="3994"/>
    <n v="0"/>
    <n v="5358"/>
    <x v="458"/>
    <n v="0"/>
    <n v="0"/>
    <m/>
    <n v="0"/>
    <n v="5358"/>
    <n v="0"/>
    <n v="0"/>
    <x v="208"/>
    <n v="6985"/>
    <n v="5358"/>
    <x v="1"/>
  </r>
  <r>
    <x v="5"/>
    <b v="0"/>
    <b v="0"/>
    <n v="1648"/>
    <n v="0"/>
    <n v="0"/>
    <n v="1280"/>
    <n v="4460"/>
    <n v="0"/>
    <n v="5740"/>
    <x v="216"/>
    <n v="0"/>
    <n v="0"/>
    <m/>
    <n v="0"/>
    <n v="5740"/>
    <n v="0"/>
    <n v="0"/>
    <x v="209"/>
    <n v="7484"/>
    <n v="5740"/>
    <x v="1"/>
  </r>
  <r>
    <x v="5"/>
    <b v="0"/>
    <b v="0"/>
    <n v="1556"/>
    <n v="0"/>
    <n v="0"/>
    <n v="20272"/>
    <n v="379"/>
    <n v="0"/>
    <n v="20651"/>
    <x v="459"/>
    <n v="0"/>
    <n v="0"/>
    <m/>
    <n v="0"/>
    <n v="20651"/>
    <n v="0"/>
    <n v="0"/>
    <x v="210"/>
    <n v="22336"/>
    <n v="20651"/>
    <x v="1"/>
  </r>
  <r>
    <x v="5"/>
    <b v="0"/>
    <b v="0"/>
    <n v="963"/>
    <n v="0"/>
    <n v="0"/>
    <n v="938"/>
    <n v="1962"/>
    <n v="0"/>
    <n v="2900"/>
    <x v="460"/>
    <n v="0"/>
    <n v="0"/>
    <m/>
    <n v="0"/>
    <n v="2900"/>
    <n v="0"/>
    <n v="0"/>
    <x v="211"/>
    <n v="4047"/>
    <n v="2900"/>
    <x v="1"/>
  </r>
  <r>
    <x v="5"/>
    <b v="0"/>
    <b v="0"/>
    <n v="2009"/>
    <n v="0"/>
    <n v="0"/>
    <n v="133"/>
    <n v="0"/>
    <n v="0"/>
    <n v="133"/>
    <x v="242"/>
    <n v="0"/>
    <n v="0"/>
    <m/>
    <n v="0"/>
    <n v="133"/>
    <n v="0"/>
    <n v="0"/>
    <x v="212"/>
    <n v="2450"/>
    <n v="133"/>
    <x v="1"/>
  </r>
  <r>
    <x v="5"/>
    <b v="0"/>
    <b v="0"/>
    <n v="1785"/>
    <n v="0"/>
    <n v="0"/>
    <n v="42"/>
    <n v="0"/>
    <n v="0"/>
    <n v="42"/>
    <x v="461"/>
    <n v="0"/>
    <n v="0"/>
    <m/>
    <n v="0"/>
    <n v="42"/>
    <n v="0"/>
    <n v="0"/>
    <x v="213"/>
    <n v="1915"/>
    <n v="42"/>
    <x v="1"/>
  </r>
  <r>
    <x v="5"/>
    <b v="0"/>
    <b v="0"/>
    <n v="1967"/>
    <n v="0"/>
    <n v="0"/>
    <n v="1239"/>
    <n v="2764"/>
    <n v="0"/>
    <n v="4003"/>
    <x v="462"/>
    <n v="0"/>
    <n v="0"/>
    <m/>
    <n v="0"/>
    <n v="4003"/>
    <n v="0"/>
    <n v="0"/>
    <x v="214"/>
    <n v="6118"/>
    <n v="4003"/>
    <x v="1"/>
  </r>
  <r>
    <x v="5"/>
    <b v="0"/>
    <b v="0"/>
    <n v="2608"/>
    <n v="0"/>
    <n v="0"/>
    <n v="980"/>
    <n v="3098"/>
    <n v="0"/>
    <n v="4078"/>
    <x v="463"/>
    <n v="0"/>
    <n v="0"/>
    <m/>
    <n v="0"/>
    <n v="4078"/>
    <n v="0"/>
    <n v="0"/>
    <x v="215"/>
    <n v="6886"/>
    <n v="4078"/>
    <x v="1"/>
  </r>
  <r>
    <x v="5"/>
    <b v="0"/>
    <b v="0"/>
    <n v="2632"/>
    <n v="0"/>
    <n v="0"/>
    <n v="1134"/>
    <n v="2824"/>
    <n v="0"/>
    <n v="3958"/>
    <x v="435"/>
    <n v="0"/>
    <n v="0"/>
    <m/>
    <n v="0"/>
    <n v="3958"/>
    <n v="0"/>
    <n v="0"/>
    <x v="216"/>
    <n v="6746"/>
    <n v="3958"/>
    <x v="1"/>
  </r>
  <r>
    <x v="5"/>
    <b v="0"/>
    <b v="0"/>
    <n v="3668"/>
    <n v="0"/>
    <n v="0"/>
    <n v="1309"/>
    <n v="3094"/>
    <n v="0"/>
    <n v="4403"/>
    <x v="455"/>
    <n v="0"/>
    <n v="0"/>
    <m/>
    <n v="0"/>
    <n v="4403"/>
    <n v="0"/>
    <n v="0"/>
    <x v="217"/>
    <n v="8203"/>
    <n v="4403"/>
    <x v="1"/>
  </r>
  <r>
    <x v="5"/>
    <b v="0"/>
    <b v="0"/>
    <n v="3801"/>
    <n v="0"/>
    <n v="0"/>
    <n v="1673"/>
    <n v="3043"/>
    <n v="0"/>
    <n v="4716"/>
    <x v="455"/>
    <n v="0"/>
    <n v="0"/>
    <m/>
    <n v="0"/>
    <n v="4716"/>
    <n v="0"/>
    <n v="0"/>
    <x v="218"/>
    <n v="8649"/>
    <n v="4716"/>
    <x v="1"/>
  </r>
  <r>
    <x v="5"/>
    <b v="0"/>
    <b v="0"/>
    <n v="3084"/>
    <n v="0"/>
    <n v="0"/>
    <n v="1663"/>
    <n v="3366"/>
    <n v="0"/>
    <n v="5029"/>
    <x v="450"/>
    <n v="0"/>
    <n v="0"/>
    <m/>
    <n v="0"/>
    <n v="5029"/>
    <n v="0"/>
    <n v="0"/>
    <x v="219"/>
    <n v="8225"/>
    <n v="5029"/>
    <x v="1"/>
  </r>
  <r>
    <x v="5"/>
    <b v="0"/>
    <b v="0"/>
    <n v="1404"/>
    <n v="0"/>
    <n v="0"/>
    <n v="1495"/>
    <n v="2851"/>
    <n v="0"/>
    <n v="4346"/>
    <x v="464"/>
    <n v="0"/>
    <n v="0"/>
    <m/>
    <n v="0"/>
    <n v="4346"/>
    <n v="0"/>
    <n v="0"/>
    <x v="220"/>
    <n v="5850"/>
    <n v="4346"/>
    <x v="1"/>
  </r>
  <r>
    <x v="5"/>
    <b v="0"/>
    <b v="0"/>
    <n v="581"/>
    <n v="0"/>
    <n v="0"/>
    <n v="749"/>
    <n v="1393"/>
    <n v="0"/>
    <n v="2142"/>
    <x v="262"/>
    <n v="0"/>
    <n v="0"/>
    <m/>
    <n v="0"/>
    <n v="2142"/>
    <n v="0"/>
    <n v="0"/>
    <x v="221"/>
    <n v="2755"/>
    <n v="2142"/>
    <x v="1"/>
  </r>
  <r>
    <x v="5"/>
    <b v="0"/>
    <b v="0"/>
    <n v="1162"/>
    <n v="0"/>
    <n v="0"/>
    <n v="1421"/>
    <n v="2928"/>
    <n v="0"/>
    <n v="4349"/>
    <x v="465"/>
    <n v="0"/>
    <n v="0"/>
    <m/>
    <n v="0"/>
    <n v="4349"/>
    <n v="0"/>
    <n v="0"/>
    <x v="222"/>
    <n v="5591"/>
    <n v="4349"/>
    <x v="1"/>
  </r>
  <r>
    <x v="5"/>
    <b v="0"/>
    <b v="0"/>
    <n v="2216"/>
    <n v="0"/>
    <n v="0"/>
    <n v="1803"/>
    <n v="4115"/>
    <n v="0"/>
    <n v="5918"/>
    <x v="466"/>
    <n v="0"/>
    <n v="0"/>
    <m/>
    <n v="0"/>
    <n v="5918"/>
    <n v="0"/>
    <n v="0"/>
    <x v="223"/>
    <n v="8198"/>
    <n v="5918"/>
    <x v="1"/>
  </r>
  <r>
    <x v="5"/>
    <b v="0"/>
    <b v="0"/>
    <n v="1327"/>
    <n v="0"/>
    <n v="0"/>
    <n v="1768"/>
    <n v="5712"/>
    <n v="0"/>
    <n v="7480"/>
    <x v="467"/>
    <n v="0"/>
    <n v="0"/>
    <m/>
    <n v="0"/>
    <n v="7480"/>
    <n v="0"/>
    <n v="0"/>
    <x v="224"/>
    <n v="8863"/>
    <n v="7480"/>
    <x v="1"/>
  </r>
  <r>
    <x v="5"/>
    <b v="0"/>
    <b v="0"/>
    <n v="0"/>
    <n v="0"/>
    <n v="0"/>
    <n v="0"/>
    <n v="8529"/>
    <n v="0"/>
    <n v="8529"/>
    <x v="38"/>
    <n v="0"/>
    <n v="0"/>
    <m/>
    <n v="0"/>
    <n v="8529"/>
    <n v="0"/>
    <n v="0"/>
    <x v="225"/>
    <n v="8529"/>
    <n v="8529"/>
    <x v="1"/>
  </r>
  <r>
    <x v="5"/>
    <b v="0"/>
    <b v="0"/>
    <n v="74"/>
    <n v="0"/>
    <n v="0"/>
    <n v="119"/>
    <n v="11600"/>
    <n v="0"/>
    <n v="11719"/>
    <x v="38"/>
    <n v="0"/>
    <n v="0"/>
    <m/>
    <n v="0"/>
    <n v="11719"/>
    <n v="0"/>
    <n v="0"/>
    <x v="226"/>
    <n v="11793"/>
    <n v="11719"/>
    <x v="1"/>
  </r>
  <r>
    <x v="5"/>
    <b v="0"/>
    <b v="0"/>
    <n v="3609"/>
    <n v="0"/>
    <n v="0"/>
    <n v="1855"/>
    <n v="15276"/>
    <n v="0"/>
    <n v="17131"/>
    <x v="468"/>
    <n v="0"/>
    <n v="0"/>
    <m/>
    <n v="0"/>
    <n v="17131"/>
    <n v="0"/>
    <n v="0"/>
    <x v="227"/>
    <n v="20756"/>
    <n v="17131"/>
    <x v="1"/>
  </r>
  <r>
    <x v="5"/>
    <b v="0"/>
    <b v="0"/>
    <n v="5236"/>
    <n v="0"/>
    <n v="0"/>
    <m/>
    <n v="14143"/>
    <n v="0"/>
    <n v="14143"/>
    <x v="465"/>
    <n v="0"/>
    <n v="0"/>
    <m/>
    <n v="0"/>
    <n v="14143"/>
    <n v="0"/>
    <n v="0"/>
    <x v="228"/>
    <n v="19459"/>
    <n v="14143"/>
    <x v="1"/>
  </r>
  <r>
    <x v="5"/>
    <b v="0"/>
    <b v="0"/>
    <n v="0"/>
    <n v="0"/>
    <n v="0"/>
    <n v="0"/>
    <n v="0"/>
    <n v="0"/>
    <n v="0"/>
    <x v="38"/>
    <n v="0"/>
    <n v="0"/>
    <m/>
    <n v="0"/>
    <n v="0"/>
    <n v="0"/>
    <n v="0"/>
    <x v="228"/>
    <n v="0"/>
    <n v="0"/>
    <x v="1"/>
  </r>
  <r>
    <x v="5"/>
    <b v="0"/>
    <b v="0"/>
    <n v="6489"/>
    <n v="0"/>
    <n v="0"/>
    <n v="0"/>
    <n v="10732"/>
    <n v="0"/>
    <n v="10732"/>
    <x v="469"/>
    <n v="0"/>
    <n v="0"/>
    <m/>
    <n v="0"/>
    <n v="10732"/>
    <n v="0"/>
    <n v="0"/>
    <x v="229"/>
    <n v="17341"/>
    <n v="10732"/>
    <x v="1"/>
  </r>
  <r>
    <x v="5"/>
    <b v="0"/>
    <b v="0"/>
    <n v="0"/>
    <n v="0"/>
    <n v="0"/>
    <n v="0"/>
    <n v="0"/>
    <n v="0"/>
    <n v="0"/>
    <x v="38"/>
    <n v="0"/>
    <n v="0"/>
    <m/>
    <n v="0"/>
    <n v="0"/>
    <n v="0"/>
    <n v="0"/>
    <x v="229"/>
    <n v="0"/>
    <n v="0"/>
    <x v="1"/>
  </r>
  <r>
    <x v="5"/>
    <b v="0"/>
    <b v="0"/>
    <n v="6258"/>
    <n v="0"/>
    <n v="0"/>
    <n v="235"/>
    <n v="8802"/>
    <n v="0"/>
    <n v="9037"/>
    <x v="470"/>
    <n v="0"/>
    <n v="0"/>
    <m/>
    <n v="0"/>
    <n v="9037"/>
    <n v="0"/>
    <n v="0"/>
    <x v="230"/>
    <n v="15411"/>
    <n v="9037"/>
    <x v="1"/>
  </r>
  <r>
    <x v="5"/>
    <b v="0"/>
    <b v="0"/>
    <n v="5187"/>
    <n v="0"/>
    <n v="0"/>
    <n v="522"/>
    <n v="9178"/>
    <n v="0"/>
    <n v="9700"/>
    <x v="471"/>
    <n v="0"/>
    <n v="0"/>
    <m/>
    <n v="0"/>
    <n v="9700"/>
    <n v="0"/>
    <n v="0"/>
    <x v="231"/>
    <n v="14971"/>
    <n v="9700"/>
    <x v="1"/>
  </r>
  <r>
    <x v="5"/>
    <b v="0"/>
    <b v="0"/>
    <n v="4025"/>
    <n v="0"/>
    <n v="0"/>
    <n v="532"/>
    <n v="8837"/>
    <n v="0"/>
    <n v="9369"/>
    <x v="361"/>
    <n v="0"/>
    <n v="0"/>
    <m/>
    <n v="0"/>
    <n v="9369"/>
    <n v="0"/>
    <n v="0"/>
    <x v="232"/>
    <n v="13466"/>
    <n v="9369"/>
    <x v="1"/>
  </r>
  <r>
    <x v="5"/>
    <b v="0"/>
    <b v="0"/>
    <n v="0"/>
    <n v="0"/>
    <n v="0"/>
    <n v="0"/>
    <n v="0"/>
    <n v="0"/>
    <n v="0"/>
    <x v="38"/>
    <n v="0"/>
    <n v="0"/>
    <m/>
    <n v="0"/>
    <n v="0"/>
    <n v="0"/>
    <n v="0"/>
    <x v="233"/>
    <n v="0"/>
    <n v="0"/>
    <x v="1"/>
  </r>
  <r>
    <x v="6"/>
    <b v="0"/>
    <b v="0"/>
    <n v="0"/>
    <n v="27218"/>
    <n v="427"/>
    <n v="0"/>
    <n v="20167"/>
    <n v="1541"/>
    <n v="20167"/>
    <x v="38"/>
    <n v="0"/>
    <n v="0"/>
    <m/>
    <n v="0"/>
    <n v="20167"/>
    <n v="0"/>
    <n v="0"/>
    <x v="0"/>
    <n v="49353"/>
    <n v="20167"/>
    <x v="0"/>
  </r>
  <r>
    <x v="6"/>
    <b v="0"/>
    <b v="0"/>
    <n v="0"/>
    <n v="23553"/>
    <n v="809"/>
    <n v="0"/>
    <n v="21651"/>
    <n v="2320"/>
    <n v="21651"/>
    <x v="38"/>
    <n v="0"/>
    <n v="0"/>
    <m/>
    <n v="0"/>
    <n v="21651"/>
    <n v="0"/>
    <n v="0"/>
    <x v="1"/>
    <n v="48333"/>
    <n v="21651"/>
    <x v="0"/>
  </r>
  <r>
    <x v="6"/>
    <b v="0"/>
    <b v="0"/>
    <n v="0"/>
    <n v="19918"/>
    <n v="227"/>
    <n v="0"/>
    <n v="20049"/>
    <n v="1034"/>
    <n v="20049"/>
    <x v="38"/>
    <n v="0"/>
    <n v="0"/>
    <m/>
    <n v="0"/>
    <n v="20049"/>
    <n v="0"/>
    <n v="0"/>
    <x v="2"/>
    <n v="41228"/>
    <n v="20049"/>
    <x v="0"/>
  </r>
  <r>
    <x v="6"/>
    <b v="0"/>
    <b v="0"/>
    <n v="0"/>
    <n v="15336"/>
    <n v="575"/>
    <n v="0"/>
    <n v="12696"/>
    <n v="3920"/>
    <n v="12696"/>
    <x v="38"/>
    <n v="0"/>
    <n v="0"/>
    <m/>
    <n v="0"/>
    <n v="12696"/>
    <n v="0"/>
    <n v="0"/>
    <x v="3"/>
    <n v="32527"/>
    <n v="12696"/>
    <x v="0"/>
  </r>
  <r>
    <x v="6"/>
    <b v="0"/>
    <b v="0"/>
    <n v="0"/>
    <n v="11376"/>
    <n v="147"/>
    <n v="0"/>
    <n v="17828"/>
    <n v="3133"/>
    <n v="17828"/>
    <x v="38"/>
    <n v="0"/>
    <n v="0"/>
    <m/>
    <n v="0"/>
    <n v="17828"/>
    <n v="0"/>
    <n v="0"/>
    <x v="4"/>
    <n v="32484"/>
    <n v="17828"/>
    <x v="0"/>
  </r>
  <r>
    <x v="6"/>
    <b v="0"/>
    <b v="0"/>
    <n v="0"/>
    <n v="12464"/>
    <n v="231"/>
    <n v="0"/>
    <n v="13620"/>
    <n v="904"/>
    <n v="13620"/>
    <x v="38"/>
    <n v="0"/>
    <n v="0"/>
    <m/>
    <n v="0"/>
    <n v="13620"/>
    <n v="0"/>
    <n v="0"/>
    <x v="5"/>
    <n v="27219"/>
    <n v="13620"/>
    <x v="0"/>
  </r>
  <r>
    <x v="6"/>
    <b v="0"/>
    <b v="0"/>
    <n v="0"/>
    <n v="9864"/>
    <n v="162"/>
    <n v="0"/>
    <n v="11871"/>
    <n v="3688"/>
    <n v="11871"/>
    <x v="38"/>
    <n v="0"/>
    <n v="0"/>
    <m/>
    <n v="0"/>
    <n v="11871"/>
    <n v="0"/>
    <n v="0"/>
    <x v="6"/>
    <n v="25585"/>
    <n v="11871"/>
    <x v="0"/>
  </r>
  <r>
    <x v="6"/>
    <b v="0"/>
    <b v="0"/>
    <n v="0"/>
    <n v="10271"/>
    <n v="401"/>
    <n v="0"/>
    <n v="24354"/>
    <n v="6098"/>
    <n v="24354"/>
    <x v="38"/>
    <n v="0"/>
    <n v="0"/>
    <m/>
    <n v="0"/>
    <n v="24354"/>
    <n v="0"/>
    <n v="0"/>
    <x v="7"/>
    <n v="41124"/>
    <n v="24354"/>
    <x v="0"/>
  </r>
  <r>
    <x v="6"/>
    <b v="0"/>
    <b v="0"/>
    <n v="0"/>
    <n v="15873"/>
    <n v="1336"/>
    <n v="0"/>
    <n v="14317"/>
    <n v="13488"/>
    <n v="14317"/>
    <x v="38"/>
    <n v="0"/>
    <n v="0"/>
    <m/>
    <n v="0"/>
    <n v="14317"/>
    <n v="0"/>
    <n v="0"/>
    <x v="8"/>
    <n v="45014"/>
    <n v="14317"/>
    <x v="0"/>
  </r>
  <r>
    <x v="6"/>
    <b v="0"/>
    <b v="0"/>
    <n v="0"/>
    <n v="20268"/>
    <n v="2389"/>
    <n v="0"/>
    <n v="26169"/>
    <n v="26103"/>
    <n v="26169"/>
    <x v="38"/>
    <n v="0"/>
    <n v="0"/>
    <m/>
    <n v="0"/>
    <n v="26169"/>
    <n v="0"/>
    <n v="0"/>
    <x v="9"/>
    <n v="74929"/>
    <n v="26169"/>
    <x v="0"/>
  </r>
  <r>
    <x v="6"/>
    <b v="0"/>
    <b v="0"/>
    <n v="0"/>
    <n v="20721"/>
    <n v="3702"/>
    <n v="0"/>
    <n v="33891"/>
    <n v="11667"/>
    <n v="33891"/>
    <x v="38"/>
    <n v="0"/>
    <n v="0"/>
    <m/>
    <n v="0"/>
    <n v="33891"/>
    <n v="0"/>
    <n v="0"/>
    <x v="10"/>
    <n v="69981"/>
    <n v="33891"/>
    <x v="0"/>
  </r>
  <r>
    <x v="6"/>
    <b v="0"/>
    <b v="0"/>
    <n v="0"/>
    <n v="22898"/>
    <n v="1897"/>
    <n v="0"/>
    <n v="24007"/>
    <n v="802"/>
    <n v="24007"/>
    <x v="38"/>
    <n v="0"/>
    <n v="0"/>
    <m/>
    <n v="0"/>
    <n v="24007"/>
    <n v="0"/>
    <n v="0"/>
    <x v="11"/>
    <n v="49604"/>
    <n v="24007"/>
    <x v="0"/>
  </r>
  <r>
    <x v="6"/>
    <b v="0"/>
    <b v="0"/>
    <n v="0"/>
    <n v="18282"/>
    <n v="651"/>
    <n v="0"/>
    <n v="17078"/>
    <n v="4318"/>
    <n v="17078"/>
    <x v="38"/>
    <n v="0"/>
    <n v="0"/>
    <m/>
    <n v="0"/>
    <n v="17078"/>
    <n v="0"/>
    <n v="0"/>
    <x v="12"/>
    <n v="40329"/>
    <n v="17078"/>
    <x v="0"/>
  </r>
  <r>
    <x v="6"/>
    <b v="0"/>
    <b v="0"/>
    <n v="0"/>
    <n v="29606"/>
    <n v="625"/>
    <n v="0"/>
    <n v="27193"/>
    <n v="1955"/>
    <n v="27193"/>
    <x v="38"/>
    <n v="0"/>
    <n v="0"/>
    <m/>
    <n v="0"/>
    <n v="27193"/>
    <n v="0"/>
    <n v="0"/>
    <x v="13"/>
    <n v="59379"/>
    <n v="27193"/>
    <x v="0"/>
  </r>
  <r>
    <x v="6"/>
    <b v="0"/>
    <b v="0"/>
    <n v="0"/>
    <n v="11524"/>
    <n v="3173"/>
    <n v="0"/>
    <n v="15162"/>
    <n v="905"/>
    <n v="15162"/>
    <x v="38"/>
    <n v="0"/>
    <n v="0"/>
    <m/>
    <n v="0"/>
    <n v="15162"/>
    <n v="0"/>
    <n v="0"/>
    <x v="14"/>
    <n v="30764"/>
    <n v="15162"/>
    <x v="0"/>
  </r>
  <r>
    <x v="6"/>
    <b v="0"/>
    <b v="0"/>
    <n v="0"/>
    <n v="16560"/>
    <n v="965"/>
    <n v="0"/>
    <n v="10309"/>
    <n v="3530"/>
    <n v="10309"/>
    <x v="38"/>
    <n v="0"/>
    <n v="0"/>
    <m/>
    <n v="0"/>
    <n v="10309"/>
    <n v="0"/>
    <n v="0"/>
    <x v="15"/>
    <n v="31364"/>
    <n v="10309"/>
    <x v="0"/>
  </r>
  <r>
    <x v="6"/>
    <b v="0"/>
    <b v="0"/>
    <n v="0"/>
    <n v="13897"/>
    <n v="174"/>
    <n v="0"/>
    <n v="11770"/>
    <n v="2715"/>
    <n v="11770"/>
    <x v="38"/>
    <n v="0"/>
    <n v="0"/>
    <m/>
    <n v="0"/>
    <n v="11770"/>
    <n v="0"/>
    <n v="0"/>
    <x v="16"/>
    <n v="28556"/>
    <n v="11770"/>
    <x v="0"/>
  </r>
  <r>
    <x v="6"/>
    <b v="0"/>
    <b v="0"/>
    <n v="0"/>
    <n v="18499"/>
    <n v="106"/>
    <n v="0"/>
    <n v="48936"/>
    <n v="2071"/>
    <n v="48936"/>
    <x v="38"/>
    <n v="0"/>
    <n v="0"/>
    <m/>
    <n v="0"/>
    <n v="48936"/>
    <n v="0"/>
    <n v="0"/>
    <x v="17"/>
    <n v="69612"/>
    <n v="48936"/>
    <x v="0"/>
  </r>
  <r>
    <x v="6"/>
    <b v="0"/>
    <b v="0"/>
    <n v="0"/>
    <n v="9789"/>
    <n v="0"/>
    <n v="0"/>
    <n v="22191"/>
    <n v="6807"/>
    <n v="22191"/>
    <x v="38"/>
    <n v="0"/>
    <n v="0"/>
    <m/>
    <n v="0"/>
    <n v="22191"/>
    <n v="0"/>
    <n v="0"/>
    <x v="18"/>
    <n v="38787"/>
    <n v="22191"/>
    <x v="1"/>
  </r>
  <r>
    <x v="6"/>
    <b v="0"/>
    <b v="0"/>
    <n v="0"/>
    <n v="9750"/>
    <n v="497"/>
    <n v="0"/>
    <n v="22806"/>
    <n v="7677"/>
    <n v="22806"/>
    <x v="38"/>
    <n v="0"/>
    <n v="0"/>
    <m/>
    <n v="0"/>
    <n v="22806"/>
    <n v="0"/>
    <n v="0"/>
    <x v="19"/>
    <n v="40730"/>
    <n v="22806"/>
    <x v="1"/>
  </r>
  <r>
    <x v="6"/>
    <b v="0"/>
    <b v="0"/>
    <n v="0"/>
    <n v="12712"/>
    <n v="1487"/>
    <n v="0"/>
    <n v="13361"/>
    <n v="11766"/>
    <n v="13361"/>
    <x v="38"/>
    <n v="0"/>
    <n v="0"/>
    <m/>
    <n v="0"/>
    <n v="13361"/>
    <n v="0"/>
    <n v="0"/>
    <x v="20"/>
    <n v="39326"/>
    <n v="13361"/>
    <x v="1"/>
  </r>
  <r>
    <x v="6"/>
    <b v="0"/>
    <b v="0"/>
    <n v="0"/>
    <n v="20989"/>
    <n v="2381"/>
    <n v="0"/>
    <n v="14327"/>
    <n v="14338"/>
    <n v="14327"/>
    <x v="38"/>
    <n v="0"/>
    <n v="0"/>
    <m/>
    <n v="0"/>
    <n v="14327"/>
    <n v="0"/>
    <n v="0"/>
    <x v="21"/>
    <n v="52035"/>
    <n v="14327"/>
    <x v="1"/>
  </r>
  <r>
    <x v="6"/>
    <b v="0"/>
    <b v="0"/>
    <n v="0"/>
    <n v="10022"/>
    <n v="3925"/>
    <n v="0"/>
    <n v="21373"/>
    <n v="22656"/>
    <n v="21373"/>
    <x v="38"/>
    <n v="0"/>
    <n v="0"/>
    <m/>
    <n v="0"/>
    <n v="21373"/>
    <n v="0"/>
    <n v="0"/>
    <x v="22"/>
    <n v="57976"/>
    <n v="21373"/>
    <x v="1"/>
  </r>
  <r>
    <x v="6"/>
    <b v="0"/>
    <b v="0"/>
    <n v="0"/>
    <n v="38489"/>
    <n v="1688"/>
    <n v="0"/>
    <n v="37029"/>
    <n v="1532"/>
    <n v="37029"/>
    <x v="38"/>
    <n v="0"/>
    <n v="0"/>
    <m/>
    <n v="0"/>
    <n v="37029"/>
    <n v="0"/>
    <n v="0"/>
    <x v="23"/>
    <n v="78738"/>
    <n v="37029"/>
    <x v="1"/>
  </r>
  <r>
    <x v="6"/>
    <b v="0"/>
    <b v="0"/>
    <n v="0"/>
    <n v="23302"/>
    <n v="601"/>
    <n v="0"/>
    <n v="18087"/>
    <n v="1308"/>
    <n v="18087"/>
    <x v="38"/>
    <n v="0"/>
    <n v="0"/>
    <m/>
    <n v="0"/>
    <n v="18087"/>
    <n v="0"/>
    <n v="0"/>
    <x v="24"/>
    <n v="43298"/>
    <n v="18087"/>
    <x v="1"/>
  </r>
  <r>
    <x v="6"/>
    <b v="0"/>
    <b v="0"/>
    <n v="0"/>
    <n v="25959"/>
    <n v="403"/>
    <n v="0"/>
    <n v="26815"/>
    <n v="951"/>
    <n v="26815"/>
    <x v="38"/>
    <n v="0"/>
    <n v="0"/>
    <m/>
    <n v="0"/>
    <n v="26815"/>
    <n v="0"/>
    <n v="0"/>
    <x v="25"/>
    <n v="54128"/>
    <n v="26815"/>
    <x v="1"/>
  </r>
  <r>
    <x v="6"/>
    <b v="0"/>
    <b v="0"/>
    <n v="0"/>
    <n v="15232"/>
    <n v="377"/>
    <n v="0"/>
    <n v="11627"/>
    <n v="823"/>
    <n v="11627"/>
    <x v="38"/>
    <n v="0"/>
    <n v="0"/>
    <m/>
    <n v="0"/>
    <n v="11627"/>
    <n v="0"/>
    <n v="0"/>
    <x v="26"/>
    <n v="28059"/>
    <n v="11627"/>
    <x v="1"/>
  </r>
  <r>
    <x v="6"/>
    <b v="0"/>
    <b v="0"/>
    <n v="0"/>
    <n v="15035"/>
    <n v="727"/>
    <n v="0"/>
    <n v="10576"/>
    <n v="6559"/>
    <n v="10576"/>
    <x v="38"/>
    <n v="0"/>
    <n v="0"/>
    <m/>
    <n v="0"/>
    <n v="10576"/>
    <n v="0"/>
    <n v="0"/>
    <x v="27"/>
    <n v="32897"/>
    <n v="10576"/>
    <x v="1"/>
  </r>
  <r>
    <x v="6"/>
    <b v="0"/>
    <b v="0"/>
    <n v="0"/>
    <n v="14544"/>
    <n v="353"/>
    <n v="0"/>
    <n v="13099"/>
    <n v="826"/>
    <n v="13099"/>
    <x v="38"/>
    <n v="0"/>
    <n v="0"/>
    <m/>
    <n v="0"/>
    <n v="13099"/>
    <n v="0"/>
    <n v="0"/>
    <x v="28"/>
    <n v="28822"/>
    <n v="13099"/>
    <x v="1"/>
  </r>
  <r>
    <x v="6"/>
    <b v="0"/>
    <b v="0"/>
    <n v="0"/>
    <n v="10892"/>
    <n v="168"/>
    <n v="0"/>
    <n v="9957"/>
    <n v="553"/>
    <n v="9957"/>
    <x v="38"/>
    <n v="0"/>
    <n v="0"/>
    <m/>
    <n v="0"/>
    <n v="9957"/>
    <n v="0"/>
    <n v="0"/>
    <x v="29"/>
    <n v="21570"/>
    <n v="9957"/>
    <x v="1"/>
  </r>
  <r>
    <x v="6"/>
    <b v="0"/>
    <b v="0"/>
    <n v="0"/>
    <n v="10005"/>
    <n v="174"/>
    <n v="0"/>
    <n v="11569"/>
    <n v="571"/>
    <n v="11569"/>
    <x v="38"/>
    <n v="0"/>
    <n v="0"/>
    <m/>
    <n v="0"/>
    <n v="11569"/>
    <n v="0"/>
    <n v="0"/>
    <x v="30"/>
    <n v="22319"/>
    <n v="11569"/>
    <x v="2"/>
  </r>
  <r>
    <x v="6"/>
    <b v="0"/>
    <b v="0"/>
    <n v="0"/>
    <n v="10693"/>
    <n v="0"/>
    <n v="0"/>
    <n v="28033"/>
    <n v="569"/>
    <n v="28033"/>
    <x v="38"/>
    <n v="0"/>
    <n v="0"/>
    <m/>
    <n v="0"/>
    <n v="28033"/>
    <n v="0"/>
    <n v="0"/>
    <x v="31"/>
    <n v="39295"/>
    <n v="28033"/>
    <x v="2"/>
  </r>
  <r>
    <x v="6"/>
    <b v="0"/>
    <b v="0"/>
    <n v="0"/>
    <n v="11531"/>
    <n v="1998"/>
    <n v="0"/>
    <n v="25558"/>
    <n v="2057"/>
    <n v="25558"/>
    <x v="38"/>
    <n v="0"/>
    <n v="0"/>
    <m/>
    <n v="0"/>
    <n v="25558"/>
    <n v="0"/>
    <n v="0"/>
    <x v="32"/>
    <n v="41144"/>
    <n v="25558"/>
    <x v="2"/>
  </r>
  <r>
    <x v="6"/>
    <b v="0"/>
    <b v="0"/>
    <n v="0"/>
    <n v="24139"/>
    <n v="0"/>
    <n v="0"/>
    <n v="29128"/>
    <n v="3345"/>
    <n v="29128"/>
    <x v="38"/>
    <n v="0"/>
    <n v="0"/>
    <m/>
    <n v="0"/>
    <n v="29128"/>
    <n v="0"/>
    <n v="0"/>
    <x v="33"/>
    <n v="56612"/>
    <n v="29128"/>
    <x v="2"/>
  </r>
  <r>
    <x v="6"/>
    <b v="0"/>
    <b v="0"/>
    <n v="0"/>
    <n v="23213"/>
    <n v="4098"/>
    <n v="0"/>
    <n v="29401"/>
    <n v="3877"/>
    <n v="29401"/>
    <x v="38"/>
    <n v="0"/>
    <n v="0"/>
    <m/>
    <n v="0"/>
    <n v="29401"/>
    <n v="0"/>
    <n v="0"/>
    <x v="34"/>
    <n v="60589"/>
    <n v="29401"/>
    <x v="2"/>
  </r>
  <r>
    <x v="6"/>
    <b v="0"/>
    <b v="0"/>
    <n v="0"/>
    <n v="12836"/>
    <n v="6516"/>
    <n v="0"/>
    <n v="10272"/>
    <n v="2884"/>
    <n v="10272"/>
    <x v="38"/>
    <n v="0"/>
    <n v="0"/>
    <m/>
    <n v="0"/>
    <n v="10272"/>
    <n v="0"/>
    <n v="0"/>
    <x v="35"/>
    <n v="32508"/>
    <n v="10272"/>
    <x v="2"/>
  </r>
  <r>
    <x v="6"/>
    <b v="0"/>
    <b v="0"/>
    <n v="0"/>
    <n v="29171"/>
    <n v="0"/>
    <n v="0"/>
    <n v="13431"/>
    <n v="297"/>
    <n v="13431"/>
    <x v="38"/>
    <n v="0"/>
    <n v="0"/>
    <m/>
    <n v="0"/>
    <n v="13431"/>
    <n v="0"/>
    <n v="0"/>
    <x v="36"/>
    <n v="42899"/>
    <n v="13431"/>
    <x v="2"/>
  </r>
  <r>
    <x v="6"/>
    <b v="0"/>
    <b v="0"/>
    <n v="0"/>
    <n v="23601"/>
    <n v="695"/>
    <n v="0"/>
    <n v="10863"/>
    <n v="507"/>
    <n v="10863"/>
    <x v="38"/>
    <n v="0"/>
    <n v="0"/>
    <m/>
    <n v="0"/>
    <n v="10863"/>
    <n v="0"/>
    <n v="0"/>
    <x v="37"/>
    <n v="35666"/>
    <n v="10863"/>
    <x v="2"/>
  </r>
  <r>
    <x v="6"/>
    <b v="0"/>
    <b v="0"/>
    <n v="0"/>
    <n v="22407"/>
    <n v="0"/>
    <n v="0"/>
    <n v="16215"/>
    <n v="0"/>
    <n v="16215"/>
    <x v="38"/>
    <n v="0"/>
    <n v="0"/>
    <m/>
    <n v="0"/>
    <n v="16215"/>
    <n v="0"/>
    <n v="0"/>
    <x v="38"/>
    <n v="38622"/>
    <n v="16215"/>
    <x v="2"/>
  </r>
  <r>
    <x v="6"/>
    <b v="0"/>
    <b v="0"/>
    <n v="0"/>
    <n v="16990"/>
    <n v="527"/>
    <n v="0"/>
    <n v="8894"/>
    <n v="5298"/>
    <n v="8894"/>
    <x v="38"/>
    <n v="0"/>
    <n v="0"/>
    <m/>
    <n v="0"/>
    <n v="8894"/>
    <n v="0"/>
    <n v="0"/>
    <x v="39"/>
    <n v="31709"/>
    <n v="8894"/>
    <x v="2"/>
  </r>
  <r>
    <x v="6"/>
    <b v="0"/>
    <b v="0"/>
    <n v="0"/>
    <n v="13269"/>
    <n v="619"/>
    <n v="0"/>
    <n v="5140"/>
    <n v="2721"/>
    <n v="5140"/>
    <x v="38"/>
    <n v="0"/>
    <n v="0"/>
    <m/>
    <n v="0"/>
    <n v="5140"/>
    <n v="0"/>
    <n v="0"/>
    <x v="40"/>
    <n v="21749"/>
    <n v="5140"/>
    <x v="2"/>
  </r>
  <r>
    <x v="6"/>
    <b v="0"/>
    <b v="0"/>
    <n v="0"/>
    <n v="14377"/>
    <n v="1328"/>
    <n v="0"/>
    <n v="6609"/>
    <n v="174"/>
    <n v="6609"/>
    <x v="38"/>
    <n v="0"/>
    <n v="0"/>
    <m/>
    <n v="0"/>
    <n v="6609"/>
    <n v="0"/>
    <n v="0"/>
    <x v="41"/>
    <n v="22488"/>
    <n v="6609"/>
    <x v="2"/>
  </r>
  <r>
    <x v="6"/>
    <b v="0"/>
    <b v="0"/>
    <n v="0"/>
    <n v="10579"/>
    <n v="428"/>
    <n v="0"/>
    <n v="6658"/>
    <n v="4511"/>
    <n v="6658"/>
    <x v="38"/>
    <n v="0"/>
    <n v="0"/>
    <m/>
    <n v="0"/>
    <n v="6658"/>
    <n v="0"/>
    <n v="0"/>
    <x v="42"/>
    <n v="22176"/>
    <n v="6658"/>
    <x v="1"/>
  </r>
  <r>
    <x v="6"/>
    <b v="0"/>
    <b v="0"/>
    <n v="0"/>
    <n v="12928"/>
    <n v="1398"/>
    <n v="0"/>
    <n v="20625"/>
    <n v="6336"/>
    <n v="20625"/>
    <x v="38"/>
    <n v="0"/>
    <n v="0"/>
    <m/>
    <n v="0"/>
    <n v="20625"/>
    <n v="0"/>
    <n v="0"/>
    <x v="43"/>
    <n v="41287"/>
    <n v="20625"/>
    <x v="1"/>
  </r>
  <r>
    <x v="6"/>
    <b v="0"/>
    <b v="0"/>
    <n v="0"/>
    <n v="25995"/>
    <n v="6672"/>
    <n v="0"/>
    <n v="10496"/>
    <n v="8379"/>
    <n v="10496"/>
    <x v="38"/>
    <n v="0"/>
    <n v="0"/>
    <m/>
    <n v="0"/>
    <n v="10496"/>
    <n v="0"/>
    <n v="0"/>
    <x v="44"/>
    <n v="51542"/>
    <n v="10496"/>
    <x v="1"/>
  </r>
  <r>
    <x v="6"/>
    <b v="0"/>
    <b v="0"/>
    <n v="4631"/>
    <n v="17660"/>
    <n v="6921"/>
    <n v="0"/>
    <n v="3822"/>
    <n v="15732"/>
    <n v="3822"/>
    <x v="38"/>
    <n v="0"/>
    <n v="0"/>
    <m/>
    <n v="0"/>
    <n v="3822"/>
    <n v="0"/>
    <n v="0"/>
    <x v="45"/>
    <n v="48766"/>
    <n v="3822"/>
    <x v="1"/>
  </r>
  <r>
    <x v="6"/>
    <b v="0"/>
    <b v="0"/>
    <n v="0"/>
    <n v="21361"/>
    <n v="12857"/>
    <n v="0"/>
    <n v="6038"/>
    <n v="9946"/>
    <n v="6038"/>
    <x v="38"/>
    <n v="0"/>
    <n v="0"/>
    <m/>
    <n v="0"/>
    <n v="6038"/>
    <n v="0"/>
    <n v="0"/>
    <x v="46"/>
    <n v="50202"/>
    <n v="6038"/>
    <x v="1"/>
  </r>
  <r>
    <x v="6"/>
    <b v="0"/>
    <b v="0"/>
    <n v="0"/>
    <n v="21473"/>
    <n v="8249"/>
    <n v="0"/>
    <n v="11214"/>
    <n v="5171"/>
    <n v="11214"/>
    <x v="38"/>
    <n v="0"/>
    <n v="0"/>
    <m/>
    <n v="0"/>
    <n v="11214"/>
    <n v="0"/>
    <n v="0"/>
    <x v="47"/>
    <n v="46107"/>
    <n v="11214"/>
    <x v="1"/>
  </r>
  <r>
    <x v="6"/>
    <b v="0"/>
    <b v="0"/>
    <n v="0"/>
    <n v="20320"/>
    <n v="1030"/>
    <n v="0"/>
    <n v="11970"/>
    <n v="231"/>
    <n v="11970"/>
    <x v="38"/>
    <n v="0"/>
    <n v="0"/>
    <m/>
    <n v="0"/>
    <n v="11970"/>
    <n v="0"/>
    <n v="0"/>
    <x v="48"/>
    <n v="33551"/>
    <n v="11970"/>
    <x v="1"/>
  </r>
  <r>
    <x v="6"/>
    <b v="0"/>
    <b v="0"/>
    <n v="0"/>
    <n v="16861"/>
    <n v="863"/>
    <n v="0"/>
    <n v="9127"/>
    <n v="438"/>
    <n v="9127"/>
    <x v="38"/>
    <n v="0"/>
    <n v="0"/>
    <m/>
    <n v="0"/>
    <n v="9127"/>
    <n v="0"/>
    <n v="0"/>
    <x v="49"/>
    <n v="27289"/>
    <n v="9127"/>
    <x v="1"/>
  </r>
  <r>
    <x v="6"/>
    <b v="0"/>
    <b v="0"/>
    <n v="0"/>
    <n v="9743"/>
    <n v="452"/>
    <n v="0"/>
    <n v="14408"/>
    <n v="2825"/>
    <n v="14408"/>
    <x v="38"/>
    <n v="0"/>
    <n v="0"/>
    <m/>
    <n v="0"/>
    <n v="14408"/>
    <n v="0"/>
    <n v="0"/>
    <x v="50"/>
    <n v="27428"/>
    <n v="14408"/>
    <x v="1"/>
  </r>
  <r>
    <x v="6"/>
    <b v="0"/>
    <b v="0"/>
    <n v="0"/>
    <n v="10856"/>
    <n v="851"/>
    <n v="0"/>
    <n v="9247"/>
    <n v="3306"/>
    <n v="9247"/>
    <x v="38"/>
    <n v="0"/>
    <n v="0"/>
    <m/>
    <n v="0"/>
    <n v="9247"/>
    <n v="0"/>
    <n v="0"/>
    <x v="51"/>
    <n v="24260"/>
    <n v="9247"/>
    <x v="1"/>
  </r>
  <r>
    <x v="6"/>
    <b v="0"/>
    <b v="0"/>
    <n v="0"/>
    <n v="12151"/>
    <n v="470"/>
    <n v="0"/>
    <n v="9898"/>
    <n v="3485"/>
    <n v="9898"/>
    <x v="38"/>
    <n v="0"/>
    <n v="0"/>
    <m/>
    <n v="0"/>
    <n v="9898"/>
    <n v="0"/>
    <n v="0"/>
    <x v="52"/>
    <n v="26004"/>
    <n v="9898"/>
    <x v="1"/>
  </r>
  <r>
    <x v="6"/>
    <b v="0"/>
    <b v="0"/>
    <n v="0"/>
    <n v="12297"/>
    <n v="273"/>
    <n v="0"/>
    <n v="8762"/>
    <n v="1239"/>
    <n v="8762"/>
    <x v="38"/>
    <n v="0"/>
    <n v="0"/>
    <m/>
    <n v="0"/>
    <n v="8762"/>
    <n v="0"/>
    <n v="0"/>
    <x v="53"/>
    <n v="22571"/>
    <n v="8762"/>
    <x v="1"/>
  </r>
  <r>
    <x v="6"/>
    <b v="0"/>
    <b v="0"/>
    <n v="0"/>
    <n v="10016"/>
    <n v="221"/>
    <n v="0"/>
    <n v="8295"/>
    <n v="2833"/>
    <n v="8295"/>
    <x v="38"/>
    <n v="0"/>
    <n v="0"/>
    <m/>
    <n v="0"/>
    <n v="8295"/>
    <n v="0"/>
    <n v="0"/>
    <x v="54"/>
    <n v="21365"/>
    <n v="8295"/>
    <x v="1"/>
  </r>
  <r>
    <x v="6"/>
    <b v="0"/>
    <b v="0"/>
    <n v="0"/>
    <n v="10210"/>
    <n v="469"/>
    <n v="0"/>
    <n v="19804"/>
    <n v="5835"/>
    <n v="19804"/>
    <x v="38"/>
    <n v="0"/>
    <n v="0"/>
    <m/>
    <n v="0"/>
    <n v="19804"/>
    <n v="0"/>
    <n v="0"/>
    <x v="55"/>
    <n v="36318"/>
    <n v="19804"/>
    <x v="1"/>
  </r>
  <r>
    <x v="6"/>
    <b v="0"/>
    <b v="0"/>
    <n v="0"/>
    <n v="11307"/>
    <n v="3759"/>
    <n v="0"/>
    <n v="9273"/>
    <n v="11802"/>
    <n v="9273"/>
    <x v="38"/>
    <n v="0"/>
    <n v="0"/>
    <m/>
    <n v="0"/>
    <n v="9273"/>
    <n v="0"/>
    <n v="0"/>
    <x v="56"/>
    <n v="36141"/>
    <n v="9273"/>
    <x v="1"/>
  </r>
  <r>
    <x v="6"/>
    <b v="0"/>
    <b v="0"/>
    <n v="0"/>
    <n v="17884"/>
    <n v="6375"/>
    <n v="0"/>
    <n v="10853"/>
    <n v="8669"/>
    <n v="10853"/>
    <x v="38"/>
    <n v="0"/>
    <n v="0"/>
    <m/>
    <n v="0"/>
    <n v="10853"/>
    <n v="0"/>
    <n v="0"/>
    <x v="57"/>
    <n v="43781"/>
    <n v="10853"/>
    <x v="1"/>
  </r>
  <r>
    <x v="6"/>
    <b v="0"/>
    <b v="0"/>
    <n v="0"/>
    <n v="10100"/>
    <n v="11624"/>
    <n v="0"/>
    <n v="9997"/>
    <n v="8511"/>
    <n v="9997"/>
    <x v="38"/>
    <n v="0"/>
    <n v="0"/>
    <m/>
    <n v="0"/>
    <n v="9997"/>
    <n v="0"/>
    <n v="0"/>
    <x v="58"/>
    <n v="40232"/>
    <n v="9997"/>
    <x v="1"/>
  </r>
  <r>
    <x v="6"/>
    <b v="0"/>
    <b v="0"/>
    <n v="0"/>
    <n v="13461"/>
    <n v="6206"/>
    <n v="0"/>
    <n v="9043"/>
    <n v="4188"/>
    <n v="9043"/>
    <x v="38"/>
    <n v="0"/>
    <n v="0"/>
    <m/>
    <n v="0"/>
    <n v="9043"/>
    <n v="0"/>
    <n v="0"/>
    <x v="59"/>
    <n v="32898"/>
    <n v="9043"/>
    <x v="1"/>
  </r>
  <r>
    <x v="6"/>
    <b v="0"/>
    <b v="0"/>
    <n v="0"/>
    <n v="18299"/>
    <n v="983"/>
    <n v="0"/>
    <n v="10502"/>
    <n v="2238"/>
    <n v="10502"/>
    <x v="38"/>
    <n v="0"/>
    <n v="0"/>
    <m/>
    <n v="0"/>
    <n v="10502"/>
    <n v="0"/>
    <n v="0"/>
    <x v="60"/>
    <n v="32022"/>
    <n v="10502"/>
    <x v="1"/>
  </r>
  <r>
    <x v="6"/>
    <b v="0"/>
    <b v="0"/>
    <n v="0"/>
    <n v="16297"/>
    <n v="1195"/>
    <n v="0"/>
    <n v="9258"/>
    <n v="91"/>
    <n v="9258"/>
    <x v="38"/>
    <n v="0"/>
    <n v="0"/>
    <m/>
    <n v="0"/>
    <n v="9258"/>
    <n v="0"/>
    <n v="0"/>
    <x v="61"/>
    <n v="26841"/>
    <n v="9258"/>
    <x v="1"/>
  </r>
  <r>
    <x v="6"/>
    <b v="0"/>
    <b v="0"/>
    <n v="0"/>
    <n v="10920"/>
    <n v="259"/>
    <n v="0"/>
    <n v="13056"/>
    <n v="1044"/>
    <n v="13056"/>
    <x v="38"/>
    <n v="0"/>
    <n v="0"/>
    <m/>
    <n v="0"/>
    <n v="13056"/>
    <n v="0"/>
    <n v="0"/>
    <x v="62"/>
    <n v="25279"/>
    <n v="13056"/>
    <x v="1"/>
  </r>
  <r>
    <x v="6"/>
    <b v="0"/>
    <b v="0"/>
    <n v="0"/>
    <n v="8938"/>
    <n v="1135"/>
    <n v="0"/>
    <n v="7311"/>
    <n v="3361"/>
    <n v="7311"/>
    <x v="38"/>
    <n v="0"/>
    <n v="0"/>
    <m/>
    <n v="0"/>
    <n v="7311"/>
    <n v="0"/>
    <n v="0"/>
    <x v="63"/>
    <n v="20745"/>
    <n v="7311"/>
    <x v="1"/>
  </r>
  <r>
    <x v="6"/>
    <b v="0"/>
    <b v="0"/>
    <n v="0"/>
    <n v="10579"/>
    <n v="388"/>
    <n v="0"/>
    <n v="13249"/>
    <n v="4673"/>
    <n v="13249"/>
    <x v="38"/>
    <n v="0"/>
    <n v="0"/>
    <m/>
    <n v="0"/>
    <n v="13249"/>
    <n v="0"/>
    <n v="0"/>
    <x v="64"/>
    <n v="28889"/>
    <n v="13249"/>
    <x v="1"/>
  </r>
  <r>
    <x v="6"/>
    <b v="0"/>
    <b v="0"/>
    <n v="0"/>
    <n v="11974"/>
    <n v="267"/>
    <n v="0"/>
    <n v="7871"/>
    <n v="2488"/>
    <n v="7871"/>
    <x v="38"/>
    <n v="0"/>
    <n v="0"/>
    <m/>
    <n v="0"/>
    <n v="7871"/>
    <n v="0"/>
    <n v="0"/>
    <x v="65"/>
    <n v="22600"/>
    <n v="7871"/>
    <x v="1"/>
  </r>
  <r>
    <x v="6"/>
    <b v="0"/>
    <b v="0"/>
    <n v="0"/>
    <n v="10419"/>
    <n v="213"/>
    <n v="0"/>
    <n v="7581"/>
    <n v="3328"/>
    <n v="7581"/>
    <x v="38"/>
    <n v="0"/>
    <n v="0"/>
    <m/>
    <n v="0"/>
    <n v="7581"/>
    <n v="0"/>
    <n v="0"/>
    <x v="66"/>
    <n v="21541"/>
    <n v="7581"/>
    <x v="2"/>
  </r>
  <r>
    <x v="6"/>
    <b v="0"/>
    <b v="0"/>
    <n v="0"/>
    <n v="11030"/>
    <n v="758"/>
    <n v="0"/>
    <n v="18956"/>
    <n v="5700"/>
    <n v="18956"/>
    <x v="38"/>
    <n v="0"/>
    <n v="0"/>
    <m/>
    <n v="0"/>
    <n v="18956"/>
    <n v="0"/>
    <n v="0"/>
    <x v="67"/>
    <n v="36444"/>
    <n v="18956"/>
    <x v="2"/>
  </r>
  <r>
    <x v="6"/>
    <b v="0"/>
    <b v="0"/>
    <n v="0"/>
    <n v="11150"/>
    <n v="4441"/>
    <n v="0"/>
    <n v="8137"/>
    <n v="13654"/>
    <n v="8137"/>
    <x v="38"/>
    <n v="0"/>
    <n v="0"/>
    <m/>
    <n v="0"/>
    <n v="8137"/>
    <n v="0"/>
    <n v="0"/>
    <x v="68"/>
    <n v="37382"/>
    <n v="8137"/>
    <x v="2"/>
  </r>
  <r>
    <x v="6"/>
    <b v="0"/>
    <b v="0"/>
    <n v="0"/>
    <n v="14009"/>
    <n v="5125"/>
    <n v="0"/>
    <n v="9265"/>
    <n v="13516"/>
    <n v="9265"/>
    <x v="38"/>
    <n v="0"/>
    <n v="0"/>
    <m/>
    <n v="0"/>
    <n v="9265"/>
    <n v="0"/>
    <n v="0"/>
    <x v="69"/>
    <n v="41915"/>
    <n v="9265"/>
    <x v="2"/>
  </r>
  <r>
    <x v="6"/>
    <b v="0"/>
    <b v="0"/>
    <n v="0"/>
    <n v="9984"/>
    <n v="13148"/>
    <n v="0"/>
    <n v="10116"/>
    <n v="10802"/>
    <n v="10116"/>
    <x v="38"/>
    <n v="0"/>
    <n v="0"/>
    <m/>
    <n v="0"/>
    <n v="10116"/>
    <n v="0"/>
    <n v="0"/>
    <x v="70"/>
    <n v="44050"/>
    <n v="10116"/>
    <x v="2"/>
  </r>
  <r>
    <x v="6"/>
    <b v="0"/>
    <b v="0"/>
    <n v="0"/>
    <n v="14343"/>
    <n v="5505"/>
    <n v="0"/>
    <n v="8510"/>
    <n v="4587"/>
    <n v="8510"/>
    <x v="38"/>
    <n v="0"/>
    <n v="0"/>
    <m/>
    <n v="0"/>
    <n v="8510"/>
    <n v="0"/>
    <n v="0"/>
    <x v="71"/>
    <n v="32945"/>
    <n v="8510"/>
    <x v="2"/>
  </r>
  <r>
    <x v="6"/>
    <b v="0"/>
    <b v="0"/>
    <n v="0"/>
    <n v="18748"/>
    <n v="1010"/>
    <n v="0"/>
    <n v="10038"/>
    <n v="314"/>
    <n v="10038"/>
    <x v="38"/>
    <n v="0"/>
    <n v="0"/>
    <m/>
    <n v="0"/>
    <n v="10038"/>
    <n v="0"/>
    <n v="0"/>
    <x v="72"/>
    <n v="30110"/>
    <n v="10038"/>
    <x v="2"/>
  </r>
  <r>
    <x v="6"/>
    <b v="0"/>
    <b v="0"/>
    <n v="0"/>
    <n v="16503"/>
    <n v="848"/>
    <n v="0"/>
    <n v="8154"/>
    <n v="806"/>
    <n v="8154"/>
    <x v="38"/>
    <n v="0"/>
    <n v="0"/>
    <m/>
    <n v="0"/>
    <n v="8154"/>
    <n v="0"/>
    <n v="0"/>
    <x v="73"/>
    <n v="26311"/>
    <n v="8154"/>
    <x v="2"/>
  </r>
  <r>
    <x v="6"/>
    <b v="0"/>
    <b v="0"/>
    <n v="0"/>
    <n v="11595"/>
    <n v="1145"/>
    <n v="0"/>
    <n v="8910"/>
    <n v="455"/>
    <n v="8910"/>
    <x v="38"/>
    <n v="0"/>
    <n v="0"/>
    <m/>
    <n v="0"/>
    <n v="8910"/>
    <n v="0"/>
    <n v="0"/>
    <x v="74"/>
    <n v="22105"/>
    <n v="8910"/>
    <x v="2"/>
  </r>
  <r>
    <x v="6"/>
    <b v="0"/>
    <b v="0"/>
    <n v="0"/>
    <n v="9337"/>
    <n v="773"/>
    <n v="0"/>
    <n v="6652"/>
    <n v="4146"/>
    <n v="6652"/>
    <x v="38"/>
    <n v="0"/>
    <n v="0"/>
    <m/>
    <n v="0"/>
    <n v="6652"/>
    <n v="0"/>
    <n v="0"/>
    <x v="75"/>
    <n v="20908"/>
    <n v="6652"/>
    <x v="2"/>
  </r>
  <r>
    <x v="6"/>
    <b v="0"/>
    <b v="0"/>
    <n v="0"/>
    <n v="10944"/>
    <n v="376"/>
    <n v="0"/>
    <n v="14501"/>
    <n v="3744"/>
    <n v="14501"/>
    <x v="38"/>
    <n v="0"/>
    <n v="0"/>
    <m/>
    <n v="0"/>
    <n v="14501"/>
    <n v="0"/>
    <n v="0"/>
    <x v="76"/>
    <n v="29565"/>
    <n v="14501"/>
    <x v="2"/>
  </r>
  <r>
    <x v="6"/>
    <b v="0"/>
    <b v="0"/>
    <n v="0"/>
    <n v="12593"/>
    <n v="453"/>
    <n v="0"/>
    <n v="21377"/>
    <n v="1627"/>
    <n v="21377"/>
    <x v="38"/>
    <n v="0"/>
    <n v="0"/>
    <m/>
    <n v="0"/>
    <n v="21377"/>
    <n v="0"/>
    <n v="0"/>
    <x v="77"/>
    <n v="36050"/>
    <n v="21377"/>
    <x v="2"/>
  </r>
  <r>
    <x v="6"/>
    <b v="0"/>
    <b v="0"/>
    <n v="0"/>
    <n v="9398"/>
    <n v="613"/>
    <n v="0"/>
    <n v="6809"/>
    <n v="3303"/>
    <n v="6809"/>
    <x v="38"/>
    <n v="0"/>
    <n v="0"/>
    <m/>
    <n v="0"/>
    <n v="6809"/>
    <n v="0"/>
    <n v="0"/>
    <x v="78"/>
    <n v="20123"/>
    <n v="6809"/>
    <x v="0"/>
  </r>
  <r>
    <x v="6"/>
    <b v="0"/>
    <b v="0"/>
    <n v="0"/>
    <n v="9348"/>
    <n v="784"/>
    <n v="0"/>
    <n v="17258"/>
    <n v="6877"/>
    <n v="17258"/>
    <x v="38"/>
    <n v="0"/>
    <n v="0"/>
    <m/>
    <n v="0"/>
    <n v="17258"/>
    <n v="0"/>
    <n v="0"/>
    <x v="79"/>
    <n v="34267"/>
    <n v="17258"/>
    <x v="0"/>
  </r>
  <r>
    <x v="6"/>
    <b v="0"/>
    <b v="0"/>
    <n v="0"/>
    <n v="14486"/>
    <n v="3283"/>
    <n v="0"/>
    <n v="9263"/>
    <n v="9236"/>
    <n v="9263"/>
    <x v="38"/>
    <n v="0"/>
    <n v="0"/>
    <m/>
    <n v="0"/>
    <n v="9263"/>
    <n v="0"/>
    <n v="0"/>
    <x v="80"/>
    <n v="36268"/>
    <n v="9263"/>
    <x v="0"/>
  </r>
  <r>
    <x v="6"/>
    <b v="0"/>
    <b v="0"/>
    <n v="0"/>
    <n v="10548"/>
    <n v="6837"/>
    <n v="0"/>
    <n v="7668"/>
    <n v="15211"/>
    <n v="7668"/>
    <x v="38"/>
    <n v="0"/>
    <n v="0"/>
    <m/>
    <n v="0"/>
    <n v="7668"/>
    <n v="0"/>
    <n v="0"/>
    <x v="81"/>
    <n v="40264"/>
    <n v="7668"/>
    <x v="0"/>
  </r>
  <r>
    <x v="6"/>
    <b v="0"/>
    <b v="0"/>
    <n v="0"/>
    <n v="10507"/>
    <n v="14306"/>
    <n v="0"/>
    <n v="10771"/>
    <n v="7974"/>
    <n v="10771"/>
    <x v="38"/>
    <n v="0"/>
    <n v="0"/>
    <m/>
    <n v="0"/>
    <n v="10771"/>
    <n v="0"/>
    <n v="0"/>
    <x v="82"/>
    <n v="43558"/>
    <n v="10771"/>
    <x v="0"/>
  </r>
  <r>
    <x v="6"/>
    <b v="0"/>
    <b v="0"/>
    <n v="0"/>
    <n v="12683"/>
    <n v="3979"/>
    <n v="0"/>
    <n v="7902"/>
    <n v="3728"/>
    <n v="7902"/>
    <x v="38"/>
    <n v="0"/>
    <n v="0"/>
    <m/>
    <n v="0"/>
    <n v="7902"/>
    <n v="0"/>
    <n v="0"/>
    <x v="83"/>
    <n v="28292"/>
    <n v="7902"/>
    <x v="0"/>
  </r>
  <r>
    <x v="6"/>
    <b v="0"/>
    <b v="0"/>
    <n v="0"/>
    <n v="17558"/>
    <n v="1203"/>
    <n v="0"/>
    <n v="9679"/>
    <n v="457"/>
    <n v="9679"/>
    <x v="38"/>
    <n v="0"/>
    <n v="0"/>
    <m/>
    <n v="0"/>
    <n v="9679"/>
    <n v="0"/>
    <n v="0"/>
    <x v="84"/>
    <n v="28897"/>
    <n v="9679"/>
    <x v="0"/>
  </r>
  <r>
    <x v="6"/>
    <b v="0"/>
    <b v="0"/>
    <n v="0"/>
    <n v="17013"/>
    <n v="957"/>
    <n v="0"/>
    <n v="13097"/>
    <n v="996"/>
    <n v="13097"/>
    <x v="38"/>
    <n v="0"/>
    <n v="0"/>
    <m/>
    <n v="0"/>
    <n v="13097"/>
    <n v="0"/>
    <n v="0"/>
    <x v="85"/>
    <n v="32063"/>
    <n v="13097"/>
    <x v="0"/>
  </r>
  <r>
    <x v="6"/>
    <b v="0"/>
    <b v="0"/>
    <n v="0"/>
    <n v="9019"/>
    <n v="588"/>
    <n v="0"/>
    <n v="8140"/>
    <n v="455"/>
    <n v="8140"/>
    <x v="38"/>
    <n v="0"/>
    <n v="0"/>
    <m/>
    <n v="0"/>
    <n v="8140"/>
    <n v="0"/>
    <n v="0"/>
    <x v="86"/>
    <n v="18202"/>
    <n v="8140"/>
    <x v="0"/>
  </r>
  <r>
    <x v="6"/>
    <b v="0"/>
    <b v="0"/>
    <n v="0"/>
    <n v="8429"/>
    <n v="1287"/>
    <n v="0"/>
    <n v="7137"/>
    <n v="4358"/>
    <n v="7137"/>
    <x v="38"/>
    <n v="0"/>
    <n v="0"/>
    <m/>
    <n v="0"/>
    <n v="7137"/>
    <n v="0"/>
    <n v="0"/>
    <x v="87"/>
    <n v="21211"/>
    <n v="7137"/>
    <x v="0"/>
  </r>
  <r>
    <x v="6"/>
    <b v="0"/>
    <b v="0"/>
    <n v="0"/>
    <n v="10514"/>
    <n v="546"/>
    <n v="0"/>
    <n v="9610"/>
    <n v="3357"/>
    <n v="9610"/>
    <x v="38"/>
    <n v="0"/>
    <n v="0"/>
    <m/>
    <n v="0"/>
    <n v="9610"/>
    <n v="0"/>
    <n v="0"/>
    <x v="88"/>
    <n v="24027"/>
    <n v="9610"/>
    <x v="0"/>
  </r>
  <r>
    <x v="6"/>
    <b v="0"/>
    <b v="0"/>
    <n v="0"/>
    <n v="10539"/>
    <n v="125"/>
    <n v="0"/>
    <n v="22233"/>
    <n v="6879"/>
    <n v="22233"/>
    <x v="38"/>
    <n v="0"/>
    <n v="0"/>
    <m/>
    <n v="0"/>
    <n v="22233"/>
    <n v="0"/>
    <n v="0"/>
    <x v="89"/>
    <n v="39776"/>
    <n v="22233"/>
    <x v="0"/>
  </r>
  <r>
    <x v="6"/>
    <b v="0"/>
    <b v="0"/>
    <n v="0"/>
    <n v="9948"/>
    <n v="388"/>
    <n v="0"/>
    <n v="8278"/>
    <n v="3936"/>
    <n v="8278"/>
    <x v="38"/>
    <n v="0"/>
    <n v="0"/>
    <m/>
    <n v="0"/>
    <n v="8278"/>
    <n v="0"/>
    <n v="0"/>
    <x v="90"/>
    <n v="22550"/>
    <n v="8278"/>
    <x v="2"/>
  </r>
  <r>
    <x v="6"/>
    <b v="0"/>
    <b v="0"/>
    <n v="0"/>
    <n v="8793"/>
    <n v="1138"/>
    <n v="0"/>
    <n v="9069"/>
    <n v="17632"/>
    <n v="9069"/>
    <x v="38"/>
    <n v="0"/>
    <n v="0"/>
    <m/>
    <n v="0"/>
    <n v="9069"/>
    <n v="0"/>
    <n v="0"/>
    <x v="91"/>
    <n v="36632"/>
    <n v="9069"/>
    <x v="2"/>
  </r>
  <r>
    <x v="6"/>
    <b v="0"/>
    <b v="0"/>
    <n v="0"/>
    <n v="11694"/>
    <n v="3307"/>
    <n v="0"/>
    <n v="8756"/>
    <n v="10766"/>
    <n v="8756"/>
    <x v="38"/>
    <n v="0"/>
    <n v="0"/>
    <m/>
    <n v="0"/>
    <n v="8756"/>
    <n v="0"/>
    <n v="0"/>
    <x v="92"/>
    <n v="34523"/>
    <n v="8756"/>
    <x v="2"/>
  </r>
  <r>
    <x v="6"/>
    <b v="0"/>
    <b v="0"/>
    <n v="0"/>
    <n v="14027"/>
    <n v="5659"/>
    <n v="0"/>
    <n v="10026"/>
    <n v="13918"/>
    <n v="10026"/>
    <x v="38"/>
    <n v="0"/>
    <n v="0"/>
    <m/>
    <n v="0"/>
    <n v="10026"/>
    <n v="0"/>
    <n v="0"/>
    <x v="93"/>
    <n v="43630"/>
    <n v="10026"/>
    <x v="2"/>
  </r>
  <r>
    <x v="6"/>
    <b v="0"/>
    <b v="0"/>
    <n v="0"/>
    <n v="11094"/>
    <n v="8981"/>
    <n v="0"/>
    <n v="10268"/>
    <n v="9263"/>
    <n v="10268"/>
    <x v="38"/>
    <n v="0"/>
    <n v="0"/>
    <m/>
    <n v="0"/>
    <n v="10268"/>
    <n v="0"/>
    <n v="0"/>
    <x v="94"/>
    <n v="39606"/>
    <n v="10268"/>
    <x v="2"/>
  </r>
  <r>
    <x v="6"/>
    <b v="0"/>
    <b v="0"/>
    <n v="0"/>
    <n v="13906"/>
    <n v="3692"/>
    <n v="0"/>
    <n v="36249"/>
    <n v="4941"/>
    <n v="36249"/>
    <x v="38"/>
    <n v="0"/>
    <n v="0"/>
    <m/>
    <n v="0"/>
    <n v="36249"/>
    <n v="0"/>
    <n v="0"/>
    <x v="95"/>
    <n v="58788"/>
    <n v="36249"/>
    <x v="2"/>
  </r>
  <r>
    <x v="6"/>
    <b v="0"/>
    <b v="0"/>
    <n v="0"/>
    <n v="17777"/>
    <n v="791"/>
    <n v="0"/>
    <n v="22967"/>
    <n v="687"/>
    <n v="22967"/>
    <x v="38"/>
    <n v="0"/>
    <n v="0"/>
    <m/>
    <n v="0"/>
    <n v="22967"/>
    <n v="0"/>
    <n v="0"/>
    <x v="96"/>
    <n v="42222"/>
    <n v="22967"/>
    <x v="2"/>
  </r>
  <r>
    <x v="6"/>
    <b v="0"/>
    <b v="0"/>
    <n v="0"/>
    <n v="16653"/>
    <n v="319"/>
    <n v="0"/>
    <n v="26426"/>
    <n v="1667"/>
    <n v="26426"/>
    <x v="38"/>
    <n v="0"/>
    <n v="0"/>
    <m/>
    <n v="0"/>
    <n v="26426"/>
    <n v="0"/>
    <n v="0"/>
    <x v="97"/>
    <n v="45065"/>
    <n v="26426"/>
    <x v="2"/>
  </r>
  <r>
    <x v="6"/>
    <b v="0"/>
    <b v="0"/>
    <n v="0"/>
    <n v="9622"/>
    <n v="287"/>
    <n v="0"/>
    <n v="71719"/>
    <n v="4431"/>
    <n v="71719"/>
    <x v="38"/>
    <n v="0"/>
    <n v="0"/>
    <m/>
    <n v="0"/>
    <n v="71719"/>
    <n v="0"/>
    <n v="0"/>
    <x v="98"/>
    <n v="86059"/>
    <n v="71719"/>
    <x v="2"/>
  </r>
  <r>
    <x v="6"/>
    <b v="0"/>
    <b v="0"/>
    <n v="0"/>
    <n v="8678"/>
    <n v="532"/>
    <n v="0"/>
    <n v="15327"/>
    <n v="3851"/>
    <n v="15327"/>
    <x v="38"/>
    <n v="0"/>
    <n v="0"/>
    <m/>
    <n v="0"/>
    <n v="15327"/>
    <n v="0"/>
    <n v="0"/>
    <x v="99"/>
    <n v="28388"/>
    <n v="15327"/>
    <x v="2"/>
  </r>
  <r>
    <x v="6"/>
    <b v="0"/>
    <b v="0"/>
    <n v="0"/>
    <n v="9642"/>
    <n v="450"/>
    <n v="0"/>
    <n v="17683"/>
    <n v="4629"/>
    <n v="17683"/>
    <x v="38"/>
    <n v="0"/>
    <n v="0"/>
    <m/>
    <n v="0"/>
    <n v="17683"/>
    <n v="0"/>
    <n v="0"/>
    <x v="100"/>
    <n v="32404"/>
    <n v="17683"/>
    <x v="2"/>
  </r>
  <r>
    <x v="6"/>
    <b v="0"/>
    <b v="0"/>
    <n v="0"/>
    <n v="11491"/>
    <n v="418"/>
    <n v="0"/>
    <n v="27622"/>
    <n v="1487"/>
    <n v="27622"/>
    <x v="38"/>
    <n v="0"/>
    <n v="0"/>
    <m/>
    <n v="0"/>
    <n v="27622"/>
    <n v="0"/>
    <n v="0"/>
    <x v="101"/>
    <n v="41018"/>
    <n v="27622"/>
    <x v="2"/>
  </r>
  <r>
    <x v="6"/>
    <b v="0"/>
    <b v="0"/>
    <n v="0"/>
    <n v="9280"/>
    <n v="195"/>
    <n v="0"/>
    <n v="9661"/>
    <n v="2722"/>
    <n v="9661"/>
    <x v="38"/>
    <n v="0"/>
    <n v="0"/>
    <m/>
    <n v="0"/>
    <n v="9661"/>
    <n v="0"/>
    <n v="0"/>
    <x v="102"/>
    <n v="21858"/>
    <n v="9661"/>
    <x v="1"/>
  </r>
  <r>
    <x v="6"/>
    <b v="0"/>
    <b v="0"/>
    <n v="0"/>
    <n v="8541"/>
    <n v="672"/>
    <n v="0"/>
    <n v="24943"/>
    <n v="7457"/>
    <n v="24943"/>
    <x v="38"/>
    <n v="0"/>
    <n v="0"/>
    <m/>
    <n v="0"/>
    <n v="24943"/>
    <n v="0"/>
    <n v="0"/>
    <x v="103"/>
    <n v="41613"/>
    <n v="24943"/>
    <x v="1"/>
  </r>
  <r>
    <x v="6"/>
    <b v="0"/>
    <b v="0"/>
    <n v="0"/>
    <n v="10052"/>
    <n v="3935"/>
    <n v="0"/>
    <n v="15152"/>
    <n v="10978"/>
    <n v="15152"/>
    <x v="38"/>
    <n v="0"/>
    <n v="0"/>
    <m/>
    <n v="0"/>
    <n v="15152"/>
    <n v="0"/>
    <n v="0"/>
    <x v="104"/>
    <n v="40117"/>
    <n v="15152"/>
    <x v="1"/>
  </r>
  <r>
    <x v="6"/>
    <b v="0"/>
    <b v="0"/>
    <n v="0"/>
    <n v="12395"/>
    <n v="5020"/>
    <n v="0"/>
    <n v="24291"/>
    <n v="10448"/>
    <n v="24291"/>
    <x v="38"/>
    <n v="0"/>
    <n v="0"/>
    <m/>
    <n v="0"/>
    <n v="24291"/>
    <n v="0"/>
    <n v="0"/>
    <x v="105"/>
    <n v="52154"/>
    <n v="24291"/>
    <x v="1"/>
  </r>
  <r>
    <x v="6"/>
    <b v="0"/>
    <b v="0"/>
    <n v="0"/>
    <n v="11619"/>
    <n v="8915"/>
    <n v="0"/>
    <n v="59075"/>
    <n v="6509"/>
    <n v="59075"/>
    <x v="38"/>
    <n v="0"/>
    <n v="0"/>
    <m/>
    <n v="0"/>
    <n v="59075"/>
    <n v="0"/>
    <n v="0"/>
    <x v="106"/>
    <n v="86118"/>
    <n v="59075"/>
    <x v="1"/>
  </r>
  <r>
    <x v="6"/>
    <b v="0"/>
    <b v="0"/>
    <n v="0"/>
    <n v="13096"/>
    <n v="4738"/>
    <n v="0"/>
    <n v="21682"/>
    <n v="5134"/>
    <n v="21682"/>
    <x v="38"/>
    <n v="0"/>
    <n v="0"/>
    <m/>
    <n v="0"/>
    <n v="21682"/>
    <n v="0"/>
    <n v="0"/>
    <x v="107"/>
    <n v="44650"/>
    <n v="21682"/>
    <x v="1"/>
  </r>
  <r>
    <x v="6"/>
    <b v="0"/>
    <b v="0"/>
    <n v="0"/>
    <n v="17766"/>
    <n v="864"/>
    <n v="0"/>
    <n v="32832"/>
    <n v="327"/>
    <n v="32832"/>
    <x v="38"/>
    <n v="0"/>
    <n v="0"/>
    <m/>
    <n v="0"/>
    <n v="32832"/>
    <n v="0"/>
    <n v="0"/>
    <x v="108"/>
    <n v="51789"/>
    <n v="32832"/>
    <x v="1"/>
  </r>
  <r>
    <x v="6"/>
    <b v="0"/>
    <b v="0"/>
    <n v="0"/>
    <n v="15689"/>
    <n v="352"/>
    <n v="0"/>
    <n v="30696"/>
    <n v="3347"/>
    <n v="30696"/>
    <x v="38"/>
    <n v="0"/>
    <n v="0"/>
    <m/>
    <n v="0"/>
    <n v="30696"/>
    <n v="0"/>
    <n v="0"/>
    <x v="109"/>
    <n v="50084"/>
    <n v="30696"/>
    <x v="1"/>
  </r>
  <r>
    <x v="6"/>
    <b v="0"/>
    <b v="0"/>
    <n v="0"/>
    <n v="10268"/>
    <n v="486"/>
    <n v="0"/>
    <n v="70526"/>
    <n v="2158"/>
    <n v="70526"/>
    <x v="38"/>
    <n v="0"/>
    <n v="0"/>
    <m/>
    <n v="0"/>
    <n v="70526"/>
    <n v="0"/>
    <n v="0"/>
    <x v="110"/>
    <n v="83438"/>
    <n v="70526"/>
    <x v="1"/>
  </r>
  <r>
    <x v="6"/>
    <b v="0"/>
    <b v="0"/>
    <n v="0"/>
    <n v="9093"/>
    <n v="619"/>
    <n v="0"/>
    <n v="23014"/>
    <n v="3284"/>
    <n v="23014"/>
    <x v="38"/>
    <n v="0"/>
    <n v="0"/>
    <m/>
    <n v="0"/>
    <n v="23014"/>
    <n v="0"/>
    <n v="0"/>
    <x v="111"/>
    <n v="36010"/>
    <n v="23014"/>
    <x v="1"/>
  </r>
  <r>
    <x v="6"/>
    <b v="0"/>
    <b v="0"/>
    <n v="0"/>
    <n v="10779"/>
    <n v="372"/>
    <n v="0"/>
    <n v="17976"/>
    <n v="3104"/>
    <n v="17976"/>
    <x v="38"/>
    <n v="0"/>
    <n v="0"/>
    <m/>
    <n v="0"/>
    <n v="17976"/>
    <n v="0"/>
    <n v="0"/>
    <x v="112"/>
    <n v="32231"/>
    <n v="17976"/>
    <x v="1"/>
  </r>
  <r>
    <x v="6"/>
    <b v="0"/>
    <b v="0"/>
    <n v="0"/>
    <n v="11263"/>
    <n v="117"/>
    <n v="0"/>
    <n v="36306"/>
    <n v="1277"/>
    <n v="36306"/>
    <x v="38"/>
    <n v="0"/>
    <n v="0"/>
    <m/>
    <n v="0"/>
    <n v="36306"/>
    <n v="0"/>
    <n v="0"/>
    <x v="113"/>
    <n v="48963"/>
    <n v="36306"/>
    <x v="1"/>
  </r>
  <r>
    <x v="6"/>
    <b v="0"/>
    <b v="0"/>
    <n v="0"/>
    <n v="9011"/>
    <n v="66"/>
    <n v="0"/>
    <n v="9873"/>
    <n v="2147"/>
    <n v="9873"/>
    <x v="38"/>
    <n v="0"/>
    <n v="0"/>
    <m/>
    <n v="0"/>
    <n v="9873"/>
    <n v="0"/>
    <n v="0"/>
    <x v="114"/>
    <n v="21097"/>
    <n v="9873"/>
    <x v="1"/>
  </r>
  <r>
    <x v="6"/>
    <b v="0"/>
    <b v="0"/>
    <n v="0"/>
    <n v="9776"/>
    <n v="257"/>
    <n v="0"/>
    <n v="28896"/>
    <n v="3588"/>
    <n v="28896"/>
    <x v="38"/>
    <n v="0"/>
    <n v="0"/>
    <m/>
    <n v="0"/>
    <n v="28896"/>
    <n v="0"/>
    <n v="0"/>
    <x v="115"/>
    <n v="42517"/>
    <n v="28896"/>
    <x v="1"/>
  </r>
  <r>
    <x v="6"/>
    <b v="0"/>
    <b v="0"/>
    <n v="0"/>
    <n v="11172"/>
    <n v="3443"/>
    <n v="0"/>
    <n v="19607"/>
    <n v="8329"/>
    <n v="19607"/>
    <x v="38"/>
    <n v="0"/>
    <n v="0"/>
    <m/>
    <n v="0"/>
    <n v="19607"/>
    <n v="0"/>
    <n v="0"/>
    <x v="116"/>
    <n v="42551"/>
    <n v="19607"/>
    <x v="1"/>
  </r>
  <r>
    <x v="6"/>
    <b v="0"/>
    <b v="0"/>
    <n v="0"/>
    <n v="12967"/>
    <n v="4151"/>
    <n v="0"/>
    <n v="26785"/>
    <n v="10854"/>
    <n v="26785"/>
    <x v="38"/>
    <n v="0"/>
    <n v="0"/>
    <m/>
    <n v="0"/>
    <n v="26785"/>
    <n v="0"/>
    <n v="0"/>
    <x v="117"/>
    <n v="54757"/>
    <n v="26785"/>
    <x v="1"/>
  </r>
  <r>
    <x v="6"/>
    <b v="0"/>
    <b v="0"/>
    <n v="0"/>
    <n v="10941"/>
    <n v="9095"/>
    <n v="0"/>
    <n v="60955"/>
    <n v="7986"/>
    <n v="60955"/>
    <x v="38"/>
    <n v="0"/>
    <n v="0"/>
    <m/>
    <n v="0"/>
    <n v="60955"/>
    <n v="0"/>
    <n v="0"/>
    <x v="118"/>
    <n v="88977"/>
    <n v="60955"/>
    <x v="1"/>
  </r>
  <r>
    <x v="6"/>
    <b v="0"/>
    <b v="0"/>
    <n v="0"/>
    <n v="13685"/>
    <n v="4182"/>
    <n v="0"/>
    <n v="22727"/>
    <n v="4894"/>
    <n v="22727"/>
    <x v="38"/>
    <n v="0"/>
    <n v="0"/>
    <m/>
    <n v="0"/>
    <n v="22727"/>
    <n v="0"/>
    <n v="0"/>
    <x v="119"/>
    <n v="45488"/>
    <n v="22727"/>
    <x v="1"/>
  </r>
  <r>
    <x v="6"/>
    <b v="0"/>
    <b v="0"/>
    <n v="0"/>
    <n v="18621"/>
    <n v="786"/>
    <n v="0"/>
    <n v="29073"/>
    <n v="2128"/>
    <n v="29073"/>
    <x v="38"/>
    <n v="0"/>
    <n v="0"/>
    <m/>
    <n v="0"/>
    <n v="29073"/>
    <n v="0"/>
    <n v="0"/>
    <x v="120"/>
    <n v="50608"/>
    <n v="29073"/>
    <x v="1"/>
  </r>
  <r>
    <x v="6"/>
    <b v="0"/>
    <b v="0"/>
    <n v="0"/>
    <n v="14854"/>
    <n v="400"/>
    <n v="0"/>
    <n v="23729"/>
    <n v="738"/>
    <n v="23729"/>
    <x v="38"/>
    <n v="0"/>
    <n v="0"/>
    <m/>
    <n v="0"/>
    <n v="23729"/>
    <n v="0"/>
    <n v="0"/>
    <x v="121"/>
    <n v="39721"/>
    <n v="23729"/>
    <x v="1"/>
  </r>
  <r>
    <x v="6"/>
    <b v="0"/>
    <b v="0"/>
    <n v="0"/>
    <n v="7104"/>
    <n v="621"/>
    <n v="0"/>
    <n v="68496"/>
    <n v="1609"/>
    <n v="68496"/>
    <x v="38"/>
    <n v="0"/>
    <n v="0"/>
    <m/>
    <n v="0"/>
    <n v="68496"/>
    <n v="0"/>
    <n v="0"/>
    <x v="122"/>
    <n v="77830"/>
    <n v="68496"/>
    <x v="1"/>
  </r>
  <r>
    <x v="6"/>
    <b v="0"/>
    <b v="0"/>
    <n v="0"/>
    <n v="9443"/>
    <n v="802"/>
    <n v="0"/>
    <n v="20078"/>
    <n v="5735"/>
    <n v="20078"/>
    <x v="38"/>
    <n v="0"/>
    <n v="0"/>
    <m/>
    <n v="0"/>
    <n v="20078"/>
    <n v="0"/>
    <n v="0"/>
    <x v="123"/>
    <n v="36058"/>
    <n v="20078"/>
    <x v="1"/>
  </r>
  <r>
    <x v="6"/>
    <b v="0"/>
    <b v="0"/>
    <n v="0"/>
    <n v="11654"/>
    <n v="364"/>
    <n v="0"/>
    <n v="16453"/>
    <n v="7830"/>
    <n v="16453"/>
    <x v="38"/>
    <n v="0"/>
    <n v="0"/>
    <m/>
    <n v="0"/>
    <n v="16453"/>
    <n v="0"/>
    <n v="0"/>
    <x v="124"/>
    <n v="36301"/>
    <n v="16453"/>
    <x v="1"/>
  </r>
  <r>
    <x v="6"/>
    <b v="0"/>
    <b v="0"/>
    <n v="0"/>
    <n v="12863"/>
    <n v="448"/>
    <n v="0"/>
    <n v="15800"/>
    <n v="17812"/>
    <n v="15800"/>
    <x v="38"/>
    <n v="0"/>
    <n v="0"/>
    <m/>
    <n v="0"/>
    <n v="15800"/>
    <n v="0"/>
    <n v="0"/>
    <x v="125"/>
    <n v="46923"/>
    <n v="15800"/>
    <x v="1"/>
  </r>
  <r>
    <x v="6"/>
    <b v="0"/>
    <b v="0"/>
    <n v="0"/>
    <n v="9842"/>
    <n v="692"/>
    <n v="0"/>
    <n v="11328"/>
    <n v="2994"/>
    <n v="11328"/>
    <x v="38"/>
    <n v="0"/>
    <n v="0"/>
    <m/>
    <n v="0"/>
    <n v="11328"/>
    <n v="0"/>
    <n v="0"/>
    <x v="126"/>
    <n v="24856"/>
    <n v="11328"/>
    <x v="1"/>
  </r>
  <r>
    <x v="6"/>
    <b v="0"/>
    <b v="0"/>
    <n v="0"/>
    <n v="10841"/>
    <n v="777"/>
    <n v="0"/>
    <n v="27417"/>
    <n v="3858"/>
    <n v="27417"/>
    <x v="38"/>
    <n v="0"/>
    <n v="0"/>
    <m/>
    <n v="0"/>
    <n v="27417"/>
    <n v="0"/>
    <n v="0"/>
    <x v="127"/>
    <n v="42893"/>
    <n v="27417"/>
    <x v="1"/>
  </r>
  <r>
    <x v="6"/>
    <b v="0"/>
    <b v="0"/>
    <n v="0"/>
    <n v="11942"/>
    <n v="3481"/>
    <n v="0"/>
    <n v="21072"/>
    <n v="6477"/>
    <n v="21072"/>
    <x v="38"/>
    <n v="0"/>
    <n v="0"/>
    <m/>
    <n v="0"/>
    <n v="21072"/>
    <n v="0"/>
    <n v="0"/>
    <x v="128"/>
    <n v="42972"/>
    <n v="21072"/>
    <x v="1"/>
  </r>
  <r>
    <x v="6"/>
    <b v="0"/>
    <b v="0"/>
    <n v="0"/>
    <n v="13501"/>
    <n v="4509"/>
    <n v="0"/>
    <n v="25367"/>
    <n v="6235"/>
    <n v="25367"/>
    <x v="38"/>
    <n v="0"/>
    <n v="0"/>
    <m/>
    <n v="0"/>
    <n v="25367"/>
    <n v="0"/>
    <n v="0"/>
    <x v="129"/>
    <n v="49612"/>
    <n v="25367"/>
    <x v="1"/>
  </r>
  <r>
    <x v="6"/>
    <b v="0"/>
    <b v="0"/>
    <n v="0"/>
    <n v="10149"/>
    <n v="10094"/>
    <n v="0"/>
    <n v="59421"/>
    <n v="5570"/>
    <n v="59421"/>
    <x v="38"/>
    <n v="0"/>
    <n v="0"/>
    <m/>
    <n v="0"/>
    <n v="59421"/>
    <n v="0"/>
    <n v="0"/>
    <x v="130"/>
    <n v="85234"/>
    <n v="59421"/>
    <x v="1"/>
  </r>
  <r>
    <x v="6"/>
    <b v="0"/>
    <b v="0"/>
    <n v="0"/>
    <n v="14190"/>
    <n v="3154"/>
    <n v="0"/>
    <n v="21679"/>
    <n v="2740"/>
    <n v="21679"/>
    <x v="38"/>
    <n v="0"/>
    <n v="0"/>
    <m/>
    <n v="0"/>
    <n v="21679"/>
    <n v="0"/>
    <n v="0"/>
    <x v="131"/>
    <n v="41763"/>
    <n v="21679"/>
    <x v="1"/>
  </r>
  <r>
    <x v="6"/>
    <b v="0"/>
    <b v="0"/>
    <n v="0"/>
    <n v="18538"/>
    <n v="478"/>
    <n v="0"/>
    <n v="25085"/>
    <n v="151"/>
    <n v="25085"/>
    <x v="38"/>
    <n v="0"/>
    <n v="0"/>
    <m/>
    <n v="0"/>
    <n v="25085"/>
    <n v="0"/>
    <n v="0"/>
    <x v="132"/>
    <n v="44252"/>
    <n v="25085"/>
    <x v="1"/>
  </r>
  <r>
    <x v="6"/>
    <b v="0"/>
    <b v="0"/>
    <n v="0"/>
    <n v="15327"/>
    <n v="784"/>
    <n v="0"/>
    <n v="26152"/>
    <n v="116"/>
    <n v="26152"/>
    <x v="38"/>
    <n v="0"/>
    <n v="0"/>
    <m/>
    <n v="0"/>
    <n v="26152"/>
    <n v="0"/>
    <n v="0"/>
    <x v="133"/>
    <n v="42379"/>
    <n v="26152"/>
    <x v="1"/>
  </r>
  <r>
    <x v="6"/>
    <b v="0"/>
    <b v="0"/>
    <n v="0"/>
    <n v="9785"/>
    <n v="704"/>
    <n v="0"/>
    <n v="89783"/>
    <n v="3695"/>
    <n v="89783"/>
    <x v="38"/>
    <n v="0"/>
    <n v="0"/>
    <m/>
    <n v="0"/>
    <n v="89783"/>
    <n v="0"/>
    <n v="0"/>
    <x v="134"/>
    <n v="103967"/>
    <n v="89783"/>
    <x v="1"/>
  </r>
  <r>
    <x v="6"/>
    <b v="0"/>
    <b v="0"/>
    <n v="0"/>
    <n v="8679"/>
    <n v="1024"/>
    <n v="0"/>
    <n v="14947"/>
    <n v="2514"/>
    <n v="14947"/>
    <x v="38"/>
    <n v="0"/>
    <n v="0"/>
    <m/>
    <n v="0"/>
    <n v="14947"/>
    <n v="0"/>
    <n v="0"/>
    <x v="135"/>
    <n v="27164"/>
    <n v="14947"/>
    <x v="1"/>
  </r>
  <r>
    <x v="6"/>
    <b v="0"/>
    <b v="0"/>
    <n v="0"/>
    <n v="10459"/>
    <n v="604"/>
    <n v="0"/>
    <n v="12608"/>
    <n v="6666"/>
    <n v="12608"/>
    <x v="38"/>
    <n v="0"/>
    <n v="0"/>
    <m/>
    <n v="0"/>
    <n v="12608"/>
    <n v="0"/>
    <n v="0"/>
    <x v="136"/>
    <n v="30337"/>
    <n v="12608"/>
    <x v="1"/>
  </r>
  <r>
    <x v="6"/>
    <b v="0"/>
    <b v="0"/>
    <n v="0"/>
    <n v="11766"/>
    <n v="313"/>
    <n v="0"/>
    <n v="14541"/>
    <n v="15788"/>
    <n v="14541"/>
    <x v="38"/>
    <n v="0"/>
    <n v="0"/>
    <m/>
    <n v="0"/>
    <n v="14541"/>
    <n v="0"/>
    <n v="0"/>
    <x v="137"/>
    <n v="42408"/>
    <n v="14541"/>
    <x v="1"/>
  </r>
  <r>
    <x v="6"/>
    <b v="0"/>
    <b v="0"/>
    <n v="0"/>
    <n v="9471"/>
    <n v="451"/>
    <n v="0"/>
    <n v="10651"/>
    <n v="2161"/>
    <n v="10651"/>
    <x v="38"/>
    <n v="0"/>
    <n v="0"/>
    <m/>
    <n v="0"/>
    <n v="10651"/>
    <n v="0"/>
    <n v="0"/>
    <x v="138"/>
    <n v="22734"/>
    <n v="10651"/>
    <x v="3"/>
  </r>
  <r>
    <x v="6"/>
    <b v="0"/>
    <b v="0"/>
    <n v="0"/>
    <n v="9557"/>
    <n v="761"/>
    <n v="0"/>
    <n v="21458"/>
    <n v="3228"/>
    <n v="21458"/>
    <x v="38"/>
    <n v="0"/>
    <n v="0"/>
    <m/>
    <n v="0"/>
    <n v="21458"/>
    <n v="0"/>
    <n v="0"/>
    <x v="139"/>
    <n v="35004"/>
    <n v="21458"/>
    <x v="3"/>
  </r>
  <r>
    <x v="6"/>
    <b v="0"/>
    <b v="0"/>
    <n v="0"/>
    <n v="12343"/>
    <n v="3307"/>
    <n v="0"/>
    <n v="13449"/>
    <n v="5806"/>
    <n v="13449"/>
    <x v="38"/>
    <n v="0"/>
    <n v="0"/>
    <m/>
    <n v="0"/>
    <n v="13449"/>
    <n v="0"/>
    <n v="0"/>
    <x v="140"/>
    <n v="34905"/>
    <n v="13449"/>
    <x v="3"/>
  </r>
  <r>
    <x v="6"/>
    <b v="0"/>
    <b v="0"/>
    <n v="0"/>
    <n v="11491"/>
    <n v="4900"/>
    <n v="0"/>
    <n v="20418"/>
    <n v="7971"/>
    <n v="20418"/>
    <x v="38"/>
    <n v="0"/>
    <n v="0"/>
    <m/>
    <n v="0"/>
    <n v="20418"/>
    <n v="0"/>
    <n v="0"/>
    <x v="141"/>
    <n v="44780"/>
    <n v="20418"/>
    <x v="3"/>
  </r>
  <r>
    <x v="6"/>
    <b v="0"/>
    <b v="0"/>
    <n v="0"/>
    <n v="9338"/>
    <n v="10666"/>
    <n v="0"/>
    <n v="60627"/>
    <n v="5088"/>
    <n v="60627"/>
    <x v="38"/>
    <n v="0"/>
    <n v="0"/>
    <m/>
    <n v="0"/>
    <n v="60627"/>
    <n v="0"/>
    <n v="0"/>
    <x v="142"/>
    <n v="85719"/>
    <n v="60627"/>
    <x v="3"/>
  </r>
  <r>
    <x v="6"/>
    <b v="0"/>
    <b v="0"/>
    <n v="0"/>
    <n v="14239"/>
    <n v="2472"/>
    <n v="0"/>
    <n v="20547"/>
    <n v="2372"/>
    <n v="20547"/>
    <x v="38"/>
    <n v="0"/>
    <n v="0"/>
    <m/>
    <n v="0"/>
    <n v="20547"/>
    <n v="0"/>
    <n v="0"/>
    <x v="143"/>
    <n v="39630"/>
    <n v="20547"/>
    <x v="3"/>
  </r>
  <r>
    <x v="6"/>
    <b v="0"/>
    <b v="0"/>
    <n v="0"/>
    <n v="17322"/>
    <n v="1155"/>
    <n v="0"/>
    <n v="22484"/>
    <n v="197"/>
    <n v="22484"/>
    <x v="38"/>
    <n v="0"/>
    <n v="0"/>
    <m/>
    <n v="0"/>
    <n v="22484"/>
    <n v="0"/>
    <n v="0"/>
    <x v="144"/>
    <n v="41158"/>
    <n v="22484"/>
    <x v="3"/>
  </r>
  <r>
    <x v="6"/>
    <b v="0"/>
    <b v="0"/>
    <n v="0"/>
    <n v="15768"/>
    <n v="644"/>
    <n v="0"/>
    <n v="26904"/>
    <n v="542"/>
    <n v="26904"/>
    <x v="38"/>
    <n v="0"/>
    <n v="0"/>
    <m/>
    <n v="0"/>
    <n v="26904"/>
    <n v="0"/>
    <n v="0"/>
    <x v="145"/>
    <n v="43858"/>
    <n v="26904"/>
    <x v="3"/>
  </r>
  <r>
    <x v="6"/>
    <b v="0"/>
    <b v="0"/>
    <n v="0"/>
    <n v="10304"/>
    <n v="584"/>
    <n v="0"/>
    <n v="19143"/>
    <n v="472"/>
    <n v="19143"/>
    <x v="38"/>
    <n v="0"/>
    <n v="0"/>
    <m/>
    <n v="0"/>
    <n v="19143"/>
    <n v="0"/>
    <n v="0"/>
    <x v="146"/>
    <n v="30503"/>
    <n v="19143"/>
    <x v="3"/>
  </r>
  <r>
    <x v="6"/>
    <b v="0"/>
    <b v="0"/>
    <n v="0"/>
    <n v="9024"/>
    <n v="1272"/>
    <n v="0"/>
    <n v="16297"/>
    <n v="2499"/>
    <n v="16297"/>
    <x v="38"/>
    <n v="0"/>
    <n v="0"/>
    <m/>
    <n v="0"/>
    <n v="16297"/>
    <n v="0"/>
    <n v="0"/>
    <x v="147"/>
    <n v="29092"/>
    <n v="16297"/>
    <x v="3"/>
  </r>
  <r>
    <x v="6"/>
    <b v="0"/>
    <b v="0"/>
    <n v="0"/>
    <n v="11725"/>
    <n v="472"/>
    <n v="0"/>
    <n v="13121"/>
    <n v="2205"/>
    <n v="13121"/>
    <x v="38"/>
    <n v="0"/>
    <n v="0"/>
    <m/>
    <n v="0"/>
    <n v="13121"/>
    <n v="0"/>
    <n v="0"/>
    <x v="148"/>
    <n v="27523"/>
    <n v="13121"/>
    <x v="3"/>
  </r>
  <r>
    <x v="6"/>
    <b v="0"/>
    <b v="0"/>
    <n v="0"/>
    <n v="11464"/>
    <n v="640"/>
    <n v="0"/>
    <n v="38786"/>
    <n v="1641"/>
    <n v="38786"/>
    <x v="38"/>
    <n v="0"/>
    <n v="0"/>
    <m/>
    <n v="0"/>
    <n v="38786"/>
    <n v="0"/>
    <n v="0"/>
    <x v="149"/>
    <n v="52531"/>
    <n v="38786"/>
    <x v="3"/>
  </r>
  <r>
    <x v="6"/>
    <b v="0"/>
    <b v="0"/>
    <n v="0"/>
    <n v="9429"/>
    <n v="372"/>
    <n v="0"/>
    <n v="10014"/>
    <n v="1738"/>
    <n v="10014"/>
    <x v="38"/>
    <n v="0"/>
    <n v="0"/>
    <m/>
    <n v="0"/>
    <n v="10014"/>
    <n v="0"/>
    <n v="0"/>
    <x v="150"/>
    <n v="21553"/>
    <n v="10014"/>
    <x v="4"/>
  </r>
  <r>
    <x v="6"/>
    <b v="0"/>
    <b v="0"/>
    <n v="0"/>
    <n v="9440"/>
    <n v="932"/>
    <n v="0"/>
    <n v="9049"/>
    <n v="3370"/>
    <n v="9049"/>
    <x v="38"/>
    <n v="0"/>
    <n v="0"/>
    <m/>
    <n v="0"/>
    <n v="9049"/>
    <n v="0"/>
    <n v="0"/>
    <x v="151"/>
    <n v="22791"/>
    <n v="9049"/>
    <x v="4"/>
  </r>
  <r>
    <x v="6"/>
    <b v="0"/>
    <b v="0"/>
    <n v="0"/>
    <n v="11921"/>
    <n v="3092"/>
    <n v="0"/>
    <n v="13244"/>
    <n v="5082"/>
    <n v="13244"/>
    <x v="38"/>
    <n v="0"/>
    <n v="0"/>
    <m/>
    <n v="0"/>
    <n v="13244"/>
    <n v="0"/>
    <n v="0"/>
    <x v="152"/>
    <n v="33339"/>
    <n v="13244"/>
    <x v="4"/>
  </r>
  <r>
    <x v="6"/>
    <b v="0"/>
    <b v="0"/>
    <n v="0"/>
    <n v="12925"/>
    <n v="5747"/>
    <n v="0"/>
    <n v="23929"/>
    <n v="6744"/>
    <n v="23929"/>
    <x v="38"/>
    <n v="0"/>
    <n v="0"/>
    <m/>
    <n v="0"/>
    <n v="23929"/>
    <n v="0"/>
    <n v="0"/>
    <x v="153"/>
    <n v="49345"/>
    <n v="23929"/>
    <x v="4"/>
  </r>
  <r>
    <x v="6"/>
    <b v="0"/>
    <b v="0"/>
    <n v="0"/>
    <n v="10768"/>
    <n v="8348"/>
    <n v="0"/>
    <n v="11339"/>
    <n v="4243"/>
    <n v="11339"/>
    <x v="38"/>
    <n v="0"/>
    <n v="0"/>
    <m/>
    <n v="0"/>
    <n v="11339"/>
    <n v="0"/>
    <n v="0"/>
    <x v="154"/>
    <n v="34698"/>
    <n v="11339"/>
    <x v="4"/>
  </r>
  <r>
    <x v="6"/>
    <b v="0"/>
    <b v="0"/>
    <n v="0"/>
    <n v="14226"/>
    <n v="2561"/>
    <n v="0"/>
    <n v="12231"/>
    <n v="2133"/>
    <n v="12231"/>
    <x v="38"/>
    <n v="0"/>
    <n v="0"/>
    <m/>
    <n v="0"/>
    <n v="12231"/>
    <n v="0"/>
    <n v="0"/>
    <x v="155"/>
    <n v="31151"/>
    <n v="12231"/>
    <x v="4"/>
  </r>
  <r>
    <x v="6"/>
    <b v="0"/>
    <b v="0"/>
    <n v="0"/>
    <n v="18304"/>
    <n v="1242"/>
    <n v="0"/>
    <n v="22032"/>
    <n v="145"/>
    <n v="22032"/>
    <x v="38"/>
    <n v="0"/>
    <n v="0"/>
    <m/>
    <n v="0"/>
    <n v="22032"/>
    <n v="0"/>
    <n v="0"/>
    <x v="156"/>
    <n v="41723"/>
    <n v="22032"/>
    <x v="4"/>
  </r>
  <r>
    <x v="6"/>
    <b v="0"/>
    <b v="0"/>
    <n v="0"/>
    <n v="16826"/>
    <n v="606"/>
    <n v="0"/>
    <n v="27263"/>
    <n v="804"/>
    <n v="27263"/>
    <x v="38"/>
    <n v="0"/>
    <n v="0"/>
    <m/>
    <n v="0"/>
    <n v="27263"/>
    <n v="0"/>
    <n v="0"/>
    <x v="157"/>
    <n v="45499"/>
    <n v="27263"/>
    <x v="4"/>
  </r>
  <r>
    <x v="6"/>
    <b v="0"/>
    <b v="0"/>
    <n v="0"/>
    <n v="9908"/>
    <n v="717"/>
    <n v="0"/>
    <n v="18641"/>
    <n v="719"/>
    <n v="18641"/>
    <x v="38"/>
    <n v="0"/>
    <n v="0"/>
    <m/>
    <n v="0"/>
    <n v="18641"/>
    <n v="0"/>
    <n v="0"/>
    <x v="158"/>
    <n v="29985"/>
    <n v="18641"/>
    <x v="4"/>
  </r>
  <r>
    <x v="6"/>
    <b v="0"/>
    <b v="0"/>
    <n v="0"/>
    <n v="8908"/>
    <n v="761"/>
    <n v="0"/>
    <n v="8939"/>
    <n v="1640"/>
    <n v="8939"/>
    <x v="38"/>
    <n v="0"/>
    <n v="0"/>
    <m/>
    <n v="0"/>
    <n v="8939"/>
    <n v="0"/>
    <n v="0"/>
    <x v="159"/>
    <n v="20248"/>
    <n v="8939"/>
    <x v="4"/>
  </r>
  <r>
    <x v="6"/>
    <b v="0"/>
    <b v="0"/>
    <n v="0"/>
    <n v="12746"/>
    <n v="670"/>
    <n v="0"/>
    <n v="16208"/>
    <n v="979"/>
    <n v="16208"/>
    <x v="38"/>
    <n v="0"/>
    <n v="0"/>
    <m/>
    <n v="0"/>
    <n v="16208"/>
    <n v="0"/>
    <n v="0"/>
    <x v="160"/>
    <n v="30603"/>
    <n v="16208"/>
    <x v="4"/>
  </r>
  <r>
    <x v="6"/>
    <b v="0"/>
    <b v="0"/>
    <n v="0"/>
    <n v="12840"/>
    <n v="356"/>
    <n v="0"/>
    <n v="7282"/>
    <n v="913"/>
    <n v="7282"/>
    <x v="38"/>
    <n v="0"/>
    <n v="0"/>
    <m/>
    <n v="0"/>
    <n v="7282"/>
    <n v="0"/>
    <n v="0"/>
    <x v="161"/>
    <n v="21391"/>
    <n v="7282"/>
    <x v="4"/>
  </r>
  <r>
    <x v="6"/>
    <b v="0"/>
    <b v="0"/>
    <n v="0"/>
    <n v="11218"/>
    <n v="279"/>
    <n v="0"/>
    <n v="10159"/>
    <n v="1694"/>
    <n v="10159"/>
    <x v="38"/>
    <n v="0"/>
    <n v="0"/>
    <m/>
    <n v="0"/>
    <n v="10159"/>
    <n v="0"/>
    <n v="0"/>
    <x v="162"/>
    <n v="23350"/>
    <n v="10159"/>
    <x v="4"/>
  </r>
  <r>
    <x v="6"/>
    <b v="0"/>
    <b v="0"/>
    <n v="0"/>
    <n v="10292"/>
    <n v="1270"/>
    <n v="0"/>
    <n v="20312"/>
    <n v="3047"/>
    <n v="20312"/>
    <x v="38"/>
    <n v="0"/>
    <n v="0"/>
    <m/>
    <n v="0"/>
    <n v="20312"/>
    <n v="0"/>
    <n v="0"/>
    <x v="163"/>
    <n v="34921"/>
    <n v="20312"/>
    <x v="4"/>
  </r>
  <r>
    <x v="6"/>
    <b v="0"/>
    <b v="0"/>
    <n v="0"/>
    <n v="12044"/>
    <n v="3750"/>
    <n v="0"/>
    <n v="15966"/>
    <n v="4657"/>
    <n v="15966"/>
    <x v="38"/>
    <n v="0"/>
    <n v="0"/>
    <m/>
    <n v="0"/>
    <n v="15966"/>
    <n v="0"/>
    <n v="0"/>
    <x v="164"/>
    <n v="36417"/>
    <n v="15966"/>
    <x v="4"/>
  </r>
  <r>
    <x v="6"/>
    <b v="0"/>
    <b v="0"/>
    <n v="0"/>
    <n v="12961"/>
    <n v="6091"/>
    <n v="0"/>
    <n v="25896"/>
    <n v="6127"/>
    <n v="25896"/>
    <x v="38"/>
    <n v="0"/>
    <n v="0"/>
    <m/>
    <n v="0"/>
    <n v="25896"/>
    <n v="0"/>
    <n v="0"/>
    <x v="165"/>
    <n v="51075"/>
    <n v="25896"/>
    <x v="4"/>
  </r>
  <r>
    <x v="6"/>
    <b v="0"/>
    <b v="0"/>
    <n v="0"/>
    <n v="12306"/>
    <n v="8722"/>
    <n v="0"/>
    <n v="31864"/>
    <n v="4414"/>
    <n v="31864"/>
    <x v="38"/>
    <n v="0"/>
    <n v="0"/>
    <m/>
    <n v="0"/>
    <n v="31864"/>
    <n v="0"/>
    <n v="0"/>
    <x v="166"/>
    <n v="57306"/>
    <n v="31864"/>
    <x v="4"/>
  </r>
  <r>
    <x v="6"/>
    <b v="0"/>
    <b v="0"/>
    <n v="0"/>
    <n v="14231"/>
    <n v="2054"/>
    <n v="0"/>
    <n v="30014"/>
    <n v="3183"/>
    <n v="30014"/>
    <x v="38"/>
    <n v="0"/>
    <n v="0"/>
    <m/>
    <n v="0"/>
    <n v="30014"/>
    <n v="0"/>
    <n v="0"/>
    <x v="167"/>
    <n v="49482"/>
    <n v="30014"/>
    <x v="4"/>
  </r>
  <r>
    <x v="6"/>
    <b v="0"/>
    <b v="0"/>
    <n v="0"/>
    <n v="19427"/>
    <n v="1573"/>
    <n v="0"/>
    <n v="27230"/>
    <n v="0"/>
    <n v="27230"/>
    <x v="38"/>
    <n v="0"/>
    <n v="0"/>
    <m/>
    <n v="0"/>
    <n v="27230"/>
    <n v="0"/>
    <n v="0"/>
    <x v="168"/>
    <n v="48230"/>
    <n v="27230"/>
    <x v="4"/>
  </r>
  <r>
    <x v="6"/>
    <b v="0"/>
    <b v="0"/>
    <n v="0"/>
    <n v="17982"/>
    <n v="495"/>
    <n v="0"/>
    <n v="28670"/>
    <n v="0"/>
    <n v="28670"/>
    <x v="38"/>
    <n v="0"/>
    <n v="0"/>
    <m/>
    <n v="0"/>
    <n v="28670"/>
    <n v="0"/>
    <n v="0"/>
    <x v="169"/>
    <n v="47147"/>
    <n v="28670"/>
    <x v="4"/>
  </r>
  <r>
    <x v="6"/>
    <b v="0"/>
    <b v="0"/>
    <n v="0"/>
    <n v="11505"/>
    <n v="1120"/>
    <n v="0"/>
    <n v="98305"/>
    <n v="404"/>
    <n v="98305"/>
    <x v="38"/>
    <n v="0"/>
    <n v="0"/>
    <m/>
    <n v="0"/>
    <n v="98305"/>
    <n v="0"/>
    <n v="0"/>
    <x v="170"/>
    <n v="111334"/>
    <n v="98305"/>
    <x v="4"/>
  </r>
  <r>
    <x v="6"/>
    <b v="0"/>
    <b v="0"/>
    <n v="0"/>
    <n v="9542"/>
    <n v="1167"/>
    <n v="0"/>
    <n v="23050"/>
    <n v="3600"/>
    <n v="23050"/>
    <x v="38"/>
    <n v="0"/>
    <n v="0"/>
    <m/>
    <n v="0"/>
    <n v="23050"/>
    <n v="0"/>
    <n v="0"/>
    <x v="171"/>
    <n v="37359"/>
    <n v="23050"/>
    <x v="4"/>
  </r>
  <r>
    <x v="6"/>
    <b v="0"/>
    <b v="0"/>
    <n v="0"/>
    <n v="12237"/>
    <n v="311"/>
    <n v="0"/>
    <n v="19952"/>
    <n v="1817"/>
    <n v="19952"/>
    <x v="38"/>
    <n v="0"/>
    <n v="0"/>
    <m/>
    <n v="0"/>
    <n v="19952"/>
    <n v="0"/>
    <n v="0"/>
    <x v="172"/>
    <n v="34317"/>
    <n v="19952"/>
    <x v="4"/>
  </r>
  <r>
    <x v="6"/>
    <b v="0"/>
    <b v="0"/>
    <n v="0"/>
    <n v="14280"/>
    <n v="633"/>
    <n v="0"/>
    <n v="21267"/>
    <n v="19752"/>
    <n v="21267"/>
    <x v="38"/>
    <n v="0"/>
    <n v="0"/>
    <m/>
    <n v="0"/>
    <n v="21267"/>
    <n v="0"/>
    <n v="0"/>
    <x v="173"/>
    <n v="55932"/>
    <n v="21267"/>
    <x v="4"/>
  </r>
  <r>
    <x v="6"/>
    <b v="0"/>
    <b v="0"/>
    <n v="0"/>
    <n v="11656"/>
    <n v="726"/>
    <n v="0"/>
    <n v="10261"/>
    <n v="731"/>
    <n v="10261"/>
    <x v="38"/>
    <n v="0"/>
    <n v="0"/>
    <m/>
    <n v="0"/>
    <n v="10261"/>
    <n v="0"/>
    <n v="0"/>
    <x v="174"/>
    <n v="23374"/>
    <n v="10261"/>
    <x v="0"/>
  </r>
  <r>
    <x v="6"/>
    <b v="0"/>
    <b v="0"/>
    <n v="0"/>
    <n v="10419"/>
    <n v="1235"/>
    <n v="0"/>
    <n v="23536"/>
    <n v="1517"/>
    <n v="23536"/>
    <x v="38"/>
    <n v="0"/>
    <n v="0"/>
    <m/>
    <n v="0"/>
    <n v="23536"/>
    <n v="0"/>
    <n v="0"/>
    <x v="175"/>
    <n v="36707"/>
    <n v="23536"/>
    <x v="0"/>
  </r>
  <r>
    <x v="6"/>
    <b v="0"/>
    <b v="0"/>
    <n v="0"/>
    <n v="14306"/>
    <n v="4767"/>
    <n v="0"/>
    <n v="15971"/>
    <n v="1879"/>
    <n v="15971"/>
    <x v="38"/>
    <n v="0"/>
    <n v="0"/>
    <m/>
    <n v="0"/>
    <n v="15971"/>
    <n v="0"/>
    <n v="0"/>
    <x v="176"/>
    <n v="36923"/>
    <n v="15971"/>
    <x v="0"/>
  </r>
  <r>
    <x v="6"/>
    <b v="0"/>
    <b v="0"/>
    <n v="0"/>
    <n v="11672"/>
    <n v="6575"/>
    <n v="0"/>
    <n v="29441"/>
    <n v="12840"/>
    <n v="29441"/>
    <x v="38"/>
    <n v="0"/>
    <n v="0"/>
    <m/>
    <n v="0"/>
    <n v="29441"/>
    <n v="0"/>
    <n v="0"/>
    <x v="177"/>
    <n v="60528"/>
    <n v="29441"/>
    <x v="0"/>
  </r>
  <r>
    <x v="6"/>
    <b v="0"/>
    <b v="0"/>
    <n v="0"/>
    <n v="12016"/>
    <n v="8479"/>
    <n v="0"/>
    <n v="25008"/>
    <n v="3963"/>
    <n v="25008"/>
    <x v="38"/>
    <n v="0"/>
    <n v="0"/>
    <m/>
    <n v="0"/>
    <n v="25008"/>
    <n v="0"/>
    <n v="0"/>
    <x v="178"/>
    <n v="49466"/>
    <n v="25008"/>
    <x v="0"/>
  </r>
  <r>
    <x v="6"/>
    <b v="0"/>
    <b v="0"/>
    <n v="0"/>
    <n v="14662"/>
    <n v="3235"/>
    <n v="0"/>
    <n v="23764"/>
    <n v="1386"/>
    <n v="23764"/>
    <x v="38"/>
    <n v="0"/>
    <n v="0"/>
    <m/>
    <n v="0"/>
    <n v="23764"/>
    <n v="0"/>
    <n v="0"/>
    <x v="179"/>
    <n v="43047"/>
    <n v="23764"/>
    <x v="0"/>
  </r>
  <r>
    <x v="6"/>
    <b v="0"/>
    <b v="0"/>
    <n v="0"/>
    <n v="19662"/>
    <n v="1599"/>
    <n v="0"/>
    <n v="25441"/>
    <n v="176"/>
    <n v="25441"/>
    <x v="38"/>
    <n v="0"/>
    <n v="0"/>
    <m/>
    <n v="0"/>
    <n v="25441"/>
    <n v="0"/>
    <n v="0"/>
    <x v="180"/>
    <n v="46878"/>
    <n v="25441"/>
    <x v="0"/>
  </r>
  <r>
    <x v="6"/>
    <b v="0"/>
    <b v="0"/>
    <n v="0"/>
    <n v="15175"/>
    <n v="263"/>
    <n v="0"/>
    <n v="32343"/>
    <n v="80"/>
    <n v="32343"/>
    <x v="38"/>
    <n v="0"/>
    <n v="0"/>
    <m/>
    <n v="0"/>
    <n v="32343"/>
    <n v="0"/>
    <n v="0"/>
    <x v="181"/>
    <n v="47861"/>
    <n v="32343"/>
    <x v="0"/>
  </r>
  <r>
    <x v="6"/>
    <b v="0"/>
    <b v="0"/>
    <n v="0"/>
    <n v="11099"/>
    <n v="532"/>
    <n v="0"/>
    <n v="44794"/>
    <n v="75"/>
    <n v="44794"/>
    <x v="38"/>
    <n v="0"/>
    <n v="0"/>
    <m/>
    <n v="0"/>
    <n v="44794"/>
    <n v="0"/>
    <n v="0"/>
    <x v="182"/>
    <n v="56500"/>
    <n v="44794"/>
    <x v="0"/>
  </r>
  <r>
    <x v="6"/>
    <b v="0"/>
    <b v="0"/>
    <n v="0"/>
    <n v="10054"/>
    <n v="994"/>
    <n v="0"/>
    <n v="26254"/>
    <n v="34"/>
    <n v="26254"/>
    <x v="38"/>
    <n v="0"/>
    <n v="0"/>
    <m/>
    <n v="0"/>
    <n v="26254"/>
    <n v="0"/>
    <n v="0"/>
    <x v="183"/>
    <n v="37336"/>
    <n v="26254"/>
    <x v="0"/>
  </r>
  <r>
    <x v="6"/>
    <b v="0"/>
    <b v="0"/>
    <n v="0"/>
    <n v="12107"/>
    <n v="902"/>
    <n v="0"/>
    <n v="31495"/>
    <n v="5052"/>
    <n v="31495"/>
    <x v="38"/>
    <n v="0"/>
    <n v="0"/>
    <m/>
    <n v="0"/>
    <n v="31495"/>
    <n v="0"/>
    <n v="0"/>
    <x v="184"/>
    <n v="49556"/>
    <n v="31495"/>
    <x v="0"/>
  </r>
  <r>
    <x v="6"/>
    <b v="0"/>
    <b v="0"/>
    <n v="0"/>
    <n v="14350"/>
    <n v="325"/>
    <n v="0"/>
    <n v="349180"/>
    <n v="16790"/>
    <n v="349180"/>
    <x v="38"/>
    <n v="0"/>
    <n v="0"/>
    <m/>
    <n v="0"/>
    <n v="349180"/>
    <n v="0"/>
    <n v="0"/>
    <x v="185"/>
    <n v="380645"/>
    <n v="349180"/>
    <x v="0"/>
  </r>
  <r>
    <x v="6"/>
    <b v="0"/>
    <b v="0"/>
    <n v="0"/>
    <n v="10626"/>
    <n v="362"/>
    <n v="0"/>
    <n v="17014"/>
    <n v="1415"/>
    <n v="17014"/>
    <x v="38"/>
    <n v="0"/>
    <n v="0"/>
    <m/>
    <n v="0"/>
    <n v="17014"/>
    <n v="0"/>
    <n v="0"/>
    <x v="186"/>
    <n v="29417"/>
    <n v="17014"/>
    <x v="1"/>
  </r>
  <r>
    <x v="6"/>
    <b v="0"/>
    <b v="0"/>
    <n v="0"/>
    <n v="10120"/>
    <n v="934"/>
    <n v="0"/>
    <n v="30436"/>
    <n v="4599"/>
    <n v="30436"/>
    <x v="38"/>
    <n v="0"/>
    <n v="0"/>
    <m/>
    <n v="0"/>
    <n v="30436"/>
    <n v="0"/>
    <n v="0"/>
    <x v="187"/>
    <n v="46089"/>
    <n v="30436"/>
    <x v="1"/>
  </r>
  <r>
    <x v="6"/>
    <b v="0"/>
    <b v="0"/>
    <n v="0"/>
    <n v="11581"/>
    <n v="4363"/>
    <n v="0"/>
    <n v="15345"/>
    <n v="11071"/>
    <n v="15345"/>
    <x v="38"/>
    <n v="0"/>
    <n v="0"/>
    <m/>
    <n v="0"/>
    <n v="15345"/>
    <n v="0"/>
    <n v="0"/>
    <x v="188"/>
    <n v="42360"/>
    <n v="15345"/>
    <x v="1"/>
  </r>
  <r>
    <x v="6"/>
    <b v="0"/>
    <b v="0"/>
    <n v="0"/>
    <n v="14236"/>
    <n v="5940"/>
    <n v="0"/>
    <n v="16329"/>
    <n v="0"/>
    <n v="16329"/>
    <x v="38"/>
    <n v="0"/>
    <n v="0"/>
    <m/>
    <n v="0"/>
    <n v="16329"/>
    <n v="0"/>
    <n v="11"/>
    <x v="189"/>
    <n v="36516"/>
    <n v="16329"/>
    <x v="1"/>
  </r>
  <r>
    <x v="6"/>
    <b v="0"/>
    <b v="0"/>
    <n v="0"/>
    <n v="10467"/>
    <n v="6733"/>
    <n v="0"/>
    <n v="19147"/>
    <n v="0"/>
    <n v="19147"/>
    <x v="38"/>
    <n v="0"/>
    <n v="0"/>
    <m/>
    <n v="0"/>
    <n v="19147"/>
    <n v="0"/>
    <n v="0"/>
    <x v="190"/>
    <n v="36347"/>
    <n v="19147"/>
    <x v="1"/>
  </r>
  <r>
    <x v="6"/>
    <b v="0"/>
    <b v="0"/>
    <n v="0"/>
    <n v="14244"/>
    <n v="2575"/>
    <n v="0"/>
    <n v="23841"/>
    <n v="2246"/>
    <n v="23841"/>
    <x v="38"/>
    <n v="0"/>
    <n v="0"/>
    <m/>
    <n v="0"/>
    <n v="23841"/>
    <n v="0"/>
    <n v="0"/>
    <x v="191"/>
    <n v="42906"/>
    <n v="23841"/>
    <x v="1"/>
  </r>
  <r>
    <x v="6"/>
    <b v="0"/>
    <b v="0"/>
    <n v="0"/>
    <n v="19599"/>
    <n v="1589"/>
    <n v="0"/>
    <n v="25994"/>
    <n v="189"/>
    <n v="25994"/>
    <x v="38"/>
    <n v="0"/>
    <n v="0"/>
    <m/>
    <n v="0"/>
    <n v="25994"/>
    <n v="0"/>
    <n v="0"/>
    <x v="192"/>
    <n v="47371"/>
    <n v="25994"/>
    <x v="1"/>
  </r>
  <r>
    <x v="6"/>
    <b v="0"/>
    <b v="0"/>
    <n v="0"/>
    <n v="15774"/>
    <n v="566"/>
    <n v="0"/>
    <n v="32241"/>
    <n v="176"/>
    <n v="32241"/>
    <x v="38"/>
    <n v="0"/>
    <n v="0"/>
    <m/>
    <n v="0"/>
    <n v="32241"/>
    <n v="0"/>
    <n v="0"/>
    <x v="193"/>
    <n v="48757"/>
    <n v="32241"/>
    <x v="1"/>
  </r>
  <r>
    <x v="6"/>
    <b v="0"/>
    <b v="0"/>
    <n v="0"/>
    <n v="11141"/>
    <n v="604"/>
    <n v="0"/>
    <n v="44804"/>
    <n v="424"/>
    <n v="44804"/>
    <x v="38"/>
    <n v="0"/>
    <n v="0"/>
    <m/>
    <n v="0"/>
    <n v="44804"/>
    <n v="0"/>
    <n v="0"/>
    <x v="194"/>
    <n v="56973"/>
    <n v="44804"/>
    <x v="1"/>
  </r>
  <r>
    <x v="6"/>
    <b v="0"/>
    <b v="0"/>
    <n v="0"/>
    <n v="9566"/>
    <n v="1141"/>
    <n v="0"/>
    <n v="26114"/>
    <n v="1669"/>
    <n v="26114"/>
    <x v="38"/>
    <n v="0"/>
    <n v="0"/>
    <m/>
    <n v="0"/>
    <n v="26114"/>
    <n v="0"/>
    <n v="0"/>
    <x v="195"/>
    <n v="38490"/>
    <n v="26114"/>
    <x v="1"/>
  </r>
  <r>
    <x v="6"/>
    <b v="0"/>
    <b v="0"/>
    <n v="0"/>
    <n v="10892"/>
    <n v="351"/>
    <n v="0"/>
    <n v="10952"/>
    <n v="0"/>
    <n v="10952"/>
    <x v="38"/>
    <n v="0"/>
    <n v="0"/>
    <m/>
    <n v="0"/>
    <n v="10952"/>
    <n v="0"/>
    <n v="0"/>
    <x v="196"/>
    <n v="22195"/>
    <n v="10952"/>
    <x v="1"/>
  </r>
  <r>
    <x v="6"/>
    <b v="0"/>
    <b v="0"/>
    <n v="0"/>
    <n v="13964"/>
    <n v="501"/>
    <n v="0"/>
    <n v="38918"/>
    <n v="0"/>
    <n v="38918"/>
    <x v="38"/>
    <n v="0"/>
    <n v="0"/>
    <m/>
    <n v="0"/>
    <n v="38918"/>
    <n v="0"/>
    <n v="0"/>
    <x v="197"/>
    <n v="53383"/>
    <n v="38918"/>
    <x v="1"/>
  </r>
  <r>
    <x v="6"/>
    <b v="0"/>
    <b v="0"/>
    <n v="0"/>
    <n v="11033"/>
    <n v="355"/>
    <n v="0"/>
    <n v="12259"/>
    <n v="0"/>
    <n v="12259"/>
    <x v="38"/>
    <n v="0"/>
    <n v="0"/>
    <m/>
    <n v="0"/>
    <n v="12259"/>
    <n v="0"/>
    <n v="0"/>
    <x v="198"/>
    <n v="23647"/>
    <n v="12259"/>
    <x v="1"/>
  </r>
  <r>
    <x v="6"/>
    <b v="0"/>
    <b v="0"/>
    <n v="0"/>
    <n v="10301"/>
    <n v="1216"/>
    <n v="0"/>
    <n v="32283"/>
    <n v="52"/>
    <n v="32283"/>
    <x v="38"/>
    <n v="0"/>
    <n v="0"/>
    <m/>
    <n v="0"/>
    <n v="32283"/>
    <n v="0"/>
    <n v="0"/>
    <x v="199"/>
    <n v="43852"/>
    <n v="32283"/>
    <x v="1"/>
  </r>
  <r>
    <x v="6"/>
    <b v="0"/>
    <b v="0"/>
    <n v="0"/>
    <n v="12880"/>
    <n v="3899"/>
    <n v="0"/>
    <n v="19269"/>
    <n v="0"/>
    <n v="19269"/>
    <x v="38"/>
    <n v="0"/>
    <n v="0"/>
    <m/>
    <n v="0"/>
    <n v="19269"/>
    <n v="0"/>
    <n v="0"/>
    <x v="200"/>
    <n v="36048"/>
    <n v="19269"/>
    <x v="1"/>
  </r>
  <r>
    <x v="6"/>
    <b v="0"/>
    <b v="0"/>
    <n v="0"/>
    <n v="12666"/>
    <n v="5078"/>
    <n v="0"/>
    <n v="15632"/>
    <n v="27"/>
    <n v="15632"/>
    <x v="38"/>
    <n v="0"/>
    <n v="0"/>
    <m/>
    <n v="0"/>
    <n v="15632"/>
    <n v="0"/>
    <n v="0"/>
    <x v="201"/>
    <n v="33403"/>
    <n v="15632"/>
    <x v="1"/>
  </r>
  <r>
    <x v="6"/>
    <b v="0"/>
    <b v="0"/>
    <n v="0"/>
    <n v="10615"/>
    <n v="8091"/>
    <n v="0"/>
    <n v="11507"/>
    <n v="0"/>
    <n v="11507"/>
    <x v="38"/>
    <n v="0"/>
    <n v="0"/>
    <m/>
    <n v="0"/>
    <n v="11507"/>
    <n v="0"/>
    <n v="0"/>
    <x v="202"/>
    <n v="30213"/>
    <n v="11507"/>
    <x v="1"/>
  </r>
  <r>
    <x v="6"/>
    <b v="0"/>
    <b v="0"/>
    <n v="0"/>
    <n v="14125"/>
    <n v="2899"/>
    <n v="0"/>
    <n v="40390"/>
    <n v="0"/>
    <n v="40390"/>
    <x v="38"/>
    <n v="0"/>
    <n v="0"/>
    <m/>
    <n v="0"/>
    <n v="40390"/>
    <n v="0"/>
    <n v="0"/>
    <x v="203"/>
    <n v="57414"/>
    <n v="40390"/>
    <x v="1"/>
  </r>
  <r>
    <x v="6"/>
    <b v="0"/>
    <b v="0"/>
    <n v="0"/>
    <n v="18499"/>
    <n v="1064"/>
    <n v="0"/>
    <n v="50606"/>
    <n v="0"/>
    <n v="50606"/>
    <x v="38"/>
    <n v="0"/>
    <n v="0"/>
    <m/>
    <n v="0"/>
    <n v="50606"/>
    <n v="0"/>
    <n v="0"/>
    <x v="204"/>
    <n v="70169"/>
    <n v="50606"/>
    <x v="1"/>
  </r>
  <r>
    <x v="6"/>
    <b v="0"/>
    <b v="0"/>
    <n v="0"/>
    <n v="14788"/>
    <n v="476"/>
    <n v="0"/>
    <n v="44719"/>
    <n v="0"/>
    <n v="44719"/>
    <x v="38"/>
    <n v="0"/>
    <n v="0"/>
    <m/>
    <n v="0"/>
    <n v="44719"/>
    <n v="0"/>
    <n v="0"/>
    <x v="205"/>
    <n v="59983"/>
    <n v="44719"/>
    <x v="1"/>
  </r>
  <r>
    <x v="6"/>
    <b v="0"/>
    <b v="0"/>
    <n v="0"/>
    <n v="13868"/>
    <n v="787"/>
    <n v="0"/>
    <n v="31409"/>
    <n v="0"/>
    <n v="31409"/>
    <x v="38"/>
    <n v="0"/>
    <n v="0"/>
    <m/>
    <n v="0"/>
    <n v="31409"/>
    <n v="0"/>
    <n v="0"/>
    <x v="206"/>
    <n v="46064"/>
    <n v="31409"/>
    <x v="1"/>
  </r>
  <r>
    <x v="6"/>
    <b v="0"/>
    <b v="0"/>
    <n v="0"/>
    <n v="8677"/>
    <n v="880"/>
    <n v="0"/>
    <n v="39721"/>
    <n v="95"/>
    <n v="39721"/>
    <x v="38"/>
    <n v="0"/>
    <n v="0"/>
    <m/>
    <n v="0"/>
    <n v="39721"/>
    <n v="0"/>
    <n v="0"/>
    <x v="207"/>
    <n v="49373"/>
    <n v="39721"/>
    <x v="1"/>
  </r>
  <r>
    <x v="6"/>
    <b v="0"/>
    <b v="0"/>
    <n v="0"/>
    <n v="9917"/>
    <n v="450"/>
    <n v="0"/>
    <n v="14460"/>
    <n v="7519"/>
    <n v="14460"/>
    <x v="38"/>
    <n v="0"/>
    <n v="0"/>
    <m/>
    <n v="0"/>
    <n v="14460"/>
    <n v="0"/>
    <n v="0"/>
    <x v="208"/>
    <n v="32346"/>
    <n v="14460"/>
    <x v="1"/>
  </r>
  <r>
    <x v="6"/>
    <b v="0"/>
    <b v="0"/>
    <n v="0"/>
    <n v="1356"/>
    <n v="0"/>
    <n v="0"/>
    <n v="13919"/>
    <n v="16934"/>
    <n v="13919"/>
    <x v="38"/>
    <n v="0"/>
    <n v="0"/>
    <m/>
    <n v="0"/>
    <n v="13919"/>
    <n v="0"/>
    <n v="0"/>
    <x v="209"/>
    <n v="32209"/>
    <n v="13919"/>
    <x v="1"/>
  </r>
  <r>
    <x v="6"/>
    <b v="0"/>
    <b v="0"/>
    <n v="0"/>
    <n v="11397"/>
    <n v="826"/>
    <n v="0"/>
    <n v="14912"/>
    <n v="1096"/>
    <n v="14912"/>
    <x v="38"/>
    <n v="0"/>
    <n v="0"/>
    <m/>
    <n v="0"/>
    <n v="14912"/>
    <n v="0"/>
    <n v="0"/>
    <x v="210"/>
    <n v="28231"/>
    <n v="14912"/>
    <x v="1"/>
  </r>
  <r>
    <x v="6"/>
    <b v="0"/>
    <b v="0"/>
    <n v="0"/>
    <n v="11155"/>
    <n v="1361"/>
    <n v="0"/>
    <n v="25190"/>
    <n v="1155"/>
    <n v="25190"/>
    <x v="38"/>
    <n v="0"/>
    <n v="0"/>
    <m/>
    <n v="0"/>
    <n v="25190"/>
    <n v="0"/>
    <n v="0"/>
    <x v="211"/>
    <n v="38861"/>
    <n v="25190"/>
    <x v="1"/>
  </r>
  <r>
    <x v="6"/>
    <b v="0"/>
    <b v="0"/>
    <n v="0"/>
    <n v="14458"/>
    <n v="5295"/>
    <n v="0"/>
    <n v="13925"/>
    <n v="2231"/>
    <n v="13925"/>
    <x v="38"/>
    <n v="0"/>
    <n v="0"/>
    <m/>
    <n v="0"/>
    <n v="13925"/>
    <n v="0"/>
    <n v="0"/>
    <x v="212"/>
    <n v="35909"/>
    <n v="13925"/>
    <x v="1"/>
  </r>
  <r>
    <x v="6"/>
    <b v="0"/>
    <b v="0"/>
    <n v="0"/>
    <n v="14278"/>
    <n v="6191"/>
    <n v="0"/>
    <n v="23672"/>
    <n v="4951"/>
    <n v="23672"/>
    <x v="38"/>
    <n v="0"/>
    <n v="0"/>
    <m/>
    <n v="0"/>
    <n v="23672"/>
    <n v="0"/>
    <n v="0"/>
    <x v="213"/>
    <n v="49092"/>
    <n v="23672"/>
    <x v="1"/>
  </r>
  <r>
    <x v="6"/>
    <b v="0"/>
    <b v="0"/>
    <n v="0"/>
    <n v="13474"/>
    <n v="9422"/>
    <n v="0"/>
    <n v="20985"/>
    <n v="4826"/>
    <n v="20985"/>
    <x v="38"/>
    <n v="0"/>
    <n v="0"/>
    <m/>
    <n v="0"/>
    <n v="20985"/>
    <n v="0"/>
    <n v="0"/>
    <x v="214"/>
    <n v="48707"/>
    <n v="20985"/>
    <x v="1"/>
  </r>
  <r>
    <x v="6"/>
    <b v="0"/>
    <b v="0"/>
    <n v="0"/>
    <n v="15890"/>
    <n v="2010"/>
    <n v="0"/>
    <n v="18496"/>
    <n v="980"/>
    <n v="18496"/>
    <x v="38"/>
    <n v="0"/>
    <n v="0"/>
    <m/>
    <n v="0"/>
    <n v="18496"/>
    <n v="0"/>
    <n v="0"/>
    <x v="215"/>
    <n v="37376"/>
    <n v="18496"/>
    <x v="1"/>
  </r>
  <r>
    <x v="6"/>
    <b v="0"/>
    <b v="0"/>
    <n v="0"/>
    <n v="20035"/>
    <n v="1119"/>
    <n v="0"/>
    <n v="18071"/>
    <n v="2493"/>
    <n v="18071"/>
    <x v="38"/>
    <n v="0"/>
    <n v="0"/>
    <m/>
    <n v="0"/>
    <n v="18071"/>
    <n v="0"/>
    <n v="0"/>
    <x v="216"/>
    <n v="41718"/>
    <n v="18071"/>
    <x v="1"/>
  </r>
  <r>
    <x v="6"/>
    <b v="0"/>
    <b v="0"/>
    <n v="0"/>
    <n v="15790"/>
    <n v="433"/>
    <n v="0"/>
    <n v="17301"/>
    <n v="977"/>
    <n v="17301"/>
    <x v="38"/>
    <n v="0"/>
    <n v="0"/>
    <m/>
    <n v="0"/>
    <n v="17301"/>
    <n v="0"/>
    <n v="0"/>
    <x v="217"/>
    <n v="34501"/>
    <n v="17301"/>
    <x v="1"/>
  </r>
  <r>
    <x v="6"/>
    <b v="0"/>
    <b v="0"/>
    <n v="0"/>
    <n v="11638"/>
    <n v="771"/>
    <n v="0"/>
    <n v="17579"/>
    <n v="2479"/>
    <n v="17579"/>
    <x v="38"/>
    <n v="0"/>
    <n v="0"/>
    <m/>
    <n v="0"/>
    <n v="17579"/>
    <n v="0"/>
    <n v="0"/>
    <x v="218"/>
    <n v="32467"/>
    <n v="17579"/>
    <x v="1"/>
  </r>
  <r>
    <x v="6"/>
    <b v="0"/>
    <b v="0"/>
    <n v="0"/>
    <n v="9078"/>
    <n v="1292"/>
    <n v="0"/>
    <n v="20282"/>
    <n v="5582"/>
    <n v="20282"/>
    <x v="38"/>
    <n v="0"/>
    <n v="0"/>
    <m/>
    <n v="0"/>
    <n v="20282"/>
    <n v="0"/>
    <n v="0"/>
    <x v="219"/>
    <n v="36234"/>
    <n v="20282"/>
    <x v="1"/>
  </r>
  <r>
    <x v="6"/>
    <b v="0"/>
    <b v="0"/>
    <n v="0"/>
    <n v="13028"/>
    <n v="466"/>
    <n v="0"/>
    <n v="11492"/>
    <n v="12579"/>
    <n v="11492"/>
    <x v="38"/>
    <n v="0"/>
    <n v="0"/>
    <m/>
    <n v="0"/>
    <n v="11492"/>
    <n v="0"/>
    <n v="0"/>
    <x v="220"/>
    <n v="37565"/>
    <n v="11492"/>
    <x v="1"/>
  </r>
  <r>
    <x v="6"/>
    <b v="0"/>
    <b v="0"/>
    <n v="0"/>
    <n v="14471"/>
    <n v="400"/>
    <n v="0"/>
    <n v="21252"/>
    <n v="27895"/>
    <n v="21252"/>
    <x v="38"/>
    <n v="0"/>
    <n v="0"/>
    <m/>
    <n v="0"/>
    <n v="21252"/>
    <n v="0"/>
    <n v="0"/>
    <x v="221"/>
    <n v="64018"/>
    <n v="21252"/>
    <x v="1"/>
  </r>
  <r>
    <x v="6"/>
    <b v="0"/>
    <b v="0"/>
    <n v="0"/>
    <n v="11552"/>
    <n v="866"/>
    <n v="0"/>
    <n v="8598"/>
    <n v="1593"/>
    <n v="8598"/>
    <x v="38"/>
    <n v="0"/>
    <n v="0"/>
    <m/>
    <n v="0"/>
    <n v="8598"/>
    <n v="0"/>
    <n v="0"/>
    <x v="222"/>
    <n v="22609"/>
    <n v="8598"/>
    <x v="1"/>
  </r>
  <r>
    <x v="6"/>
    <b v="0"/>
    <b v="0"/>
    <n v="0"/>
    <n v="11619"/>
    <n v="1538"/>
    <n v="0"/>
    <n v="23763"/>
    <n v="842"/>
    <n v="23763"/>
    <x v="38"/>
    <n v="0"/>
    <n v="0"/>
    <m/>
    <n v="0"/>
    <n v="23763"/>
    <n v="0"/>
    <n v="0"/>
    <x v="223"/>
    <n v="37762"/>
    <n v="23763"/>
    <x v="1"/>
  </r>
  <r>
    <x v="6"/>
    <b v="0"/>
    <b v="0"/>
    <n v="0"/>
    <n v="3224"/>
    <n v="1475"/>
    <n v="0"/>
    <n v="2393"/>
    <n v="0"/>
    <n v="2393"/>
    <x v="38"/>
    <n v="0"/>
    <n v="0"/>
    <m/>
    <n v="0"/>
    <n v="2393"/>
    <n v="0"/>
    <n v="0"/>
    <x v="224"/>
    <n v="7092"/>
    <n v="2393"/>
    <x v="1"/>
  </r>
  <r>
    <x v="6"/>
    <b v="1"/>
    <b v="0"/>
    <n v="0"/>
    <n v="0"/>
    <n v="0"/>
    <n v="0"/>
    <n v="0"/>
    <n v="0"/>
    <n v="0"/>
    <x v="38"/>
    <n v="0"/>
    <n v="0"/>
    <m/>
    <n v="0"/>
    <n v="0"/>
    <n v="0"/>
    <n v="0"/>
    <x v="225"/>
    <n v="0"/>
    <n v="0"/>
    <x v="1"/>
  </r>
  <r>
    <x v="6"/>
    <b v="1"/>
    <b v="0"/>
    <n v="0"/>
    <n v="0"/>
    <n v="0"/>
    <n v="0"/>
    <n v="0"/>
    <n v="0"/>
    <n v="0"/>
    <x v="38"/>
    <n v="0"/>
    <n v="0"/>
    <m/>
    <n v="0"/>
    <n v="0"/>
    <n v="0"/>
    <n v="0"/>
    <x v="226"/>
    <n v="0"/>
    <n v="0"/>
    <x v="1"/>
  </r>
  <r>
    <x v="6"/>
    <b v="1"/>
    <b v="0"/>
    <n v="0"/>
    <n v="0"/>
    <n v="0"/>
    <n v="0"/>
    <n v="0"/>
    <n v="0"/>
    <n v="0"/>
    <x v="38"/>
    <n v="0"/>
    <n v="0"/>
    <m/>
    <n v="0"/>
    <n v="0"/>
    <n v="0"/>
    <n v="0"/>
    <x v="227"/>
    <n v="0"/>
    <n v="0"/>
    <x v="1"/>
  </r>
  <r>
    <x v="6"/>
    <b v="1"/>
    <b v="0"/>
    <n v="0"/>
    <n v="0"/>
    <n v="0"/>
    <n v="0"/>
    <n v="0"/>
    <n v="0"/>
    <n v="0"/>
    <x v="38"/>
    <n v="0"/>
    <n v="0"/>
    <m/>
    <n v="0"/>
    <n v="0"/>
    <n v="0"/>
    <n v="0"/>
    <x v="228"/>
    <n v="0"/>
    <n v="0"/>
    <x v="1"/>
  </r>
  <r>
    <x v="6"/>
    <b v="0"/>
    <b v="0"/>
    <n v="0"/>
    <n v="0"/>
    <n v="0"/>
    <n v="0"/>
    <n v="0"/>
    <n v="0"/>
    <n v="0"/>
    <x v="38"/>
    <n v="0"/>
    <n v="0"/>
    <m/>
    <n v="0"/>
    <n v="0"/>
    <n v="0"/>
    <n v="0"/>
    <x v="228"/>
    <n v="0"/>
    <n v="0"/>
    <x v="1"/>
  </r>
  <r>
    <x v="6"/>
    <b v="1"/>
    <b v="0"/>
    <n v="0"/>
    <n v="0"/>
    <n v="0"/>
    <n v="0"/>
    <n v="0"/>
    <n v="0"/>
    <n v="0"/>
    <x v="38"/>
    <n v="0"/>
    <n v="0"/>
    <m/>
    <n v="0"/>
    <n v="0"/>
    <n v="0"/>
    <n v="0"/>
    <x v="229"/>
    <n v="0"/>
    <n v="0"/>
    <x v="1"/>
  </r>
  <r>
    <x v="6"/>
    <b v="0"/>
    <b v="0"/>
    <n v="0"/>
    <n v="0"/>
    <n v="0"/>
    <n v="0"/>
    <n v="0"/>
    <n v="0"/>
    <n v="0"/>
    <x v="38"/>
    <n v="0"/>
    <n v="0"/>
    <m/>
    <n v="0"/>
    <n v="0"/>
    <n v="0"/>
    <n v="0"/>
    <x v="229"/>
    <n v="0"/>
    <n v="0"/>
    <x v="1"/>
  </r>
  <r>
    <x v="6"/>
    <b v="1"/>
    <b v="0"/>
    <n v="0"/>
    <n v="0"/>
    <n v="0"/>
    <n v="0"/>
    <n v="0"/>
    <n v="0"/>
    <n v="0"/>
    <x v="38"/>
    <n v="0"/>
    <n v="0"/>
    <m/>
    <n v="0"/>
    <n v="0"/>
    <n v="0"/>
    <n v="0"/>
    <x v="230"/>
    <n v="0"/>
    <n v="0"/>
    <x v="1"/>
  </r>
  <r>
    <x v="6"/>
    <b v="0"/>
    <b v="0"/>
    <n v="0"/>
    <n v="0"/>
    <n v="0"/>
    <n v="0"/>
    <n v="0"/>
    <n v="0"/>
    <n v="0"/>
    <x v="38"/>
    <n v="0"/>
    <n v="0"/>
    <m/>
    <n v="0"/>
    <n v="0"/>
    <n v="0"/>
    <n v="0"/>
    <x v="231"/>
    <n v="0"/>
    <n v="0"/>
    <x v="1"/>
  </r>
  <r>
    <x v="6"/>
    <b v="0"/>
    <b v="0"/>
    <n v="0"/>
    <n v="0"/>
    <n v="0"/>
    <n v="0"/>
    <n v="0"/>
    <n v="0"/>
    <n v="0"/>
    <x v="38"/>
    <n v="0"/>
    <n v="0"/>
    <m/>
    <n v="0"/>
    <n v="0"/>
    <n v="0"/>
    <n v="0"/>
    <x v="232"/>
    <n v="0"/>
    <n v="0"/>
    <x v="1"/>
  </r>
  <r>
    <x v="6"/>
    <b v="0"/>
    <b v="0"/>
    <n v="0"/>
    <n v="0"/>
    <n v="0"/>
    <n v="0"/>
    <n v="0"/>
    <n v="0"/>
    <n v="0"/>
    <x v="38"/>
    <n v="0"/>
    <n v="0"/>
    <m/>
    <n v="0"/>
    <n v="0"/>
    <n v="0"/>
    <n v="0"/>
    <x v="233"/>
    <n v="0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ABF63C-F742-48DD-8DDE-47AD5EEADDC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X6:Y19" firstHeaderRow="1" firstDataRow="1" firstDataCol="1" rowPageCount="1" colPageCount="1"/>
  <pivotFields count="25">
    <pivotField axis="axisPage" multipleItemSelectionAllowed="1" showAll="0">
      <items count="8">
        <item h="1" x="5"/>
        <item x="3"/>
        <item h="1" x="0"/>
        <item h="1" x="4"/>
        <item h="1" x="2"/>
        <item h="1" x="1"/>
        <item h="1" x="6"/>
        <item t="default"/>
      </items>
    </pivotField>
    <pivotField showAll="0"/>
    <pivotField showAll="0"/>
    <pivotField numFmtId="164" showAll="0"/>
    <pivotField numFmtId="164" showAll="0"/>
    <pivotField numFmtId="164"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numFmtId="164" showAll="0"/>
    <pivotField dataField="1" showAll="0"/>
    <pivotField numFmtId="164" showAll="0"/>
    <pivotField numFmtId="164" showAll="0"/>
    <pivotField numFmtId="165" showAll="0">
      <items count="2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umFmtId="164" showAll="0"/>
    <pivotField numFmtId="164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2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t="default"/>
      </items>
    </pivotField>
  </pivotFields>
  <rowFields count="1">
    <field x="2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0" hier="-1"/>
  </pageFields>
  <dataFields count="1">
    <dataField name="Average of Non-boaters" fld="15" subtotal="average" baseField="22" baseItem="1"/>
  </dataFields>
  <chartFormats count="1">
    <chartFormat chart="0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C7C5FB-5B2C-4C91-865F-14029A53D83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G11" firstHeaderRow="1" firstDataRow="2" firstDataCol="1" rowPageCount="1" colPageCount="1"/>
  <pivotFields count="25">
    <pivotField showAll="0"/>
    <pivotField showAll="0"/>
    <pivotField showAll="0"/>
    <pivotField numFmtId="164" showAll="0"/>
    <pivotField numFmtId="164" showAll="0"/>
    <pivotField numFmtId="164" showAll="0"/>
    <pivotField showAll="0"/>
    <pivotField numFmtId="164" showAll="0"/>
    <pivotField numFmtId="164" showAll="0"/>
    <pivotField numFmtId="164" showAll="0"/>
    <pivotField axis="axisPage" numFmtId="164" showAll="0">
      <items count="473">
        <item x="38"/>
        <item x="438"/>
        <item x="449"/>
        <item x="221"/>
        <item x="370"/>
        <item x="468"/>
        <item x="260"/>
        <item x="371"/>
        <item x="445"/>
        <item x="409"/>
        <item x="452"/>
        <item x="443"/>
        <item x="258"/>
        <item x="440"/>
        <item x="262"/>
        <item x="444"/>
        <item x="261"/>
        <item x="442"/>
        <item x="259"/>
        <item x="263"/>
        <item x="381"/>
        <item x="125"/>
        <item x="408"/>
        <item x="362"/>
        <item x="453"/>
        <item x="257"/>
        <item x="416"/>
        <item x="214"/>
        <item x="467"/>
        <item x="439"/>
        <item x="369"/>
        <item x="466"/>
        <item x="356"/>
        <item x="428"/>
        <item x="113"/>
        <item x="451"/>
        <item x="361"/>
        <item x="213"/>
        <item x="457"/>
        <item x="441"/>
        <item x="210"/>
        <item x="465"/>
        <item x="126"/>
        <item x="471"/>
        <item x="454"/>
        <item x="461"/>
        <item x="264"/>
        <item x="216"/>
        <item x="464"/>
        <item x="447"/>
        <item x="450"/>
        <item x="382"/>
        <item x="448"/>
        <item x="470"/>
        <item x="355"/>
        <item x="469"/>
        <item x="212"/>
        <item x="459"/>
        <item x="455"/>
        <item x="229"/>
        <item x="380"/>
        <item x="114"/>
        <item x="336"/>
        <item x="137"/>
        <item x="372"/>
        <item x="458"/>
        <item x="462"/>
        <item x="363"/>
        <item x="303"/>
        <item x="435"/>
        <item x="456"/>
        <item x="222"/>
        <item x="388"/>
        <item x="313"/>
        <item x="90"/>
        <item x="102"/>
        <item x="101"/>
        <item x="446"/>
        <item x="314"/>
        <item x="219"/>
        <item x="460"/>
        <item x="215"/>
        <item x="394"/>
        <item x="211"/>
        <item x="116"/>
        <item x="194"/>
        <item x="417"/>
        <item x="463"/>
        <item x="195"/>
        <item x="230"/>
        <item x="112"/>
        <item x="224"/>
        <item x="89"/>
        <item x="115"/>
        <item x="218"/>
        <item x="104"/>
        <item x="220"/>
        <item x="325"/>
        <item x="427"/>
        <item x="139"/>
        <item x="244"/>
        <item x="269"/>
        <item x="103"/>
        <item x="393"/>
        <item x="235"/>
        <item x="124"/>
        <item x="231"/>
        <item x="138"/>
        <item x="410"/>
        <item x="226"/>
        <item x="407"/>
        <item x="225"/>
        <item x="250"/>
        <item x="149"/>
        <item x="280"/>
        <item x="389"/>
        <item x="245"/>
        <item x="346"/>
        <item x="326"/>
        <item x="207"/>
        <item x="243"/>
        <item x="240"/>
        <item x="429"/>
        <item x="316"/>
        <item x="91"/>
        <item x="223"/>
        <item x="242"/>
        <item x="418"/>
        <item x="228"/>
        <item x="232"/>
        <item x="67"/>
        <item x="390"/>
        <item x="206"/>
        <item x="205"/>
        <item x="315"/>
        <item x="281"/>
        <item x="237"/>
        <item x="282"/>
        <item x="208"/>
        <item x="127"/>
        <item x="419"/>
        <item x="335"/>
        <item x="80"/>
        <item x="249"/>
        <item x="181"/>
        <item x="247"/>
        <item x="41"/>
        <item x="256"/>
        <item x="271"/>
        <item x="248"/>
        <item x="430"/>
        <item x="234"/>
        <item x="270"/>
        <item x="401"/>
        <item x="238"/>
        <item x="66"/>
        <item x="204"/>
        <item x="254"/>
        <item x="172"/>
        <item x="383"/>
        <item x="217"/>
        <item x="171"/>
        <item x="354"/>
        <item x="227"/>
        <item x="255"/>
        <item x="236"/>
        <item x="78"/>
        <item x="345"/>
        <item x="28"/>
        <item x="246"/>
        <item x="193"/>
        <item x="252"/>
        <item x="333"/>
        <item x="128"/>
        <item x="233"/>
        <item x="117"/>
        <item x="5"/>
        <item x="239"/>
        <item x="318"/>
        <item x="420"/>
        <item x="373"/>
        <item x="241"/>
        <item x="209"/>
        <item x="68"/>
        <item x="92"/>
        <item x="136"/>
        <item x="302"/>
        <item x="129"/>
        <item x="253"/>
        <item x="40"/>
        <item x="324"/>
        <item x="305"/>
        <item x="251"/>
        <item x="173"/>
        <item x="131"/>
        <item x="100"/>
        <item x="304"/>
        <item x="146"/>
        <item x="400"/>
        <item x="16"/>
        <item x="29"/>
        <item x="292"/>
        <item x="140"/>
        <item x="130"/>
        <item x="134"/>
        <item x="317"/>
        <item x="182"/>
        <item x="406"/>
        <item x="347"/>
        <item x="203"/>
        <item x="42"/>
        <item x="30"/>
        <item x="411"/>
        <item x="327"/>
        <item x="196"/>
        <item x="293"/>
        <item x="161"/>
        <item x="160"/>
        <item x="197"/>
        <item x="379"/>
        <item x="291"/>
        <item x="272"/>
        <item x="183"/>
        <item x="18"/>
        <item x="79"/>
        <item x="334"/>
        <item x="301"/>
        <item x="337"/>
        <item x="135"/>
        <item x="307"/>
        <item x="148"/>
        <item x="105"/>
        <item x="184"/>
        <item x="366"/>
        <item x="426"/>
        <item x="123"/>
        <item x="6"/>
        <item x="437"/>
        <item x="294"/>
        <item x="17"/>
        <item x="150"/>
        <item x="162"/>
        <item x="192"/>
        <item x="283"/>
        <item x="306"/>
        <item x="308"/>
        <item x="348"/>
        <item x="323"/>
        <item x="198"/>
        <item x="200"/>
        <item x="312"/>
        <item x="111"/>
        <item x="268"/>
        <item x="93"/>
        <item x="81"/>
        <item x="344"/>
        <item x="328"/>
        <item x="159"/>
        <item x="180"/>
        <item x="151"/>
        <item x="338"/>
        <item x="50"/>
        <item x="421"/>
        <item x="284"/>
        <item x="202"/>
        <item x="88"/>
        <item x="436"/>
        <item x="374"/>
        <item x="191"/>
        <item x="185"/>
        <item x="122"/>
        <item x="118"/>
        <item x="364"/>
        <item x="119"/>
        <item x="273"/>
        <item x="357"/>
        <item x="147"/>
        <item x="402"/>
        <item x="107"/>
        <item x="279"/>
        <item x="31"/>
        <item x="378"/>
        <item x="65"/>
        <item x="132"/>
        <item x="405"/>
        <item x="7"/>
        <item x="415"/>
        <item x="392"/>
        <item x="387"/>
        <item x="391"/>
        <item x="201"/>
        <item x="190"/>
        <item x="290"/>
        <item x="295"/>
        <item x="332"/>
        <item x="43"/>
        <item x="395"/>
        <item x="170"/>
        <item x="353"/>
        <item x="403"/>
        <item x="99"/>
        <item x="141"/>
        <item x="413"/>
        <item x="27"/>
        <item x="309"/>
        <item x="106"/>
        <item x="199"/>
        <item x="386"/>
        <item x="425"/>
        <item x="110"/>
        <item x="422"/>
        <item x="158"/>
        <item x="368"/>
        <item x="399"/>
        <item x="179"/>
        <item x="39"/>
        <item x="133"/>
        <item x="329"/>
        <item x="69"/>
        <item x="300"/>
        <item x="343"/>
        <item x="289"/>
        <item x="19"/>
        <item x="70"/>
        <item x="58"/>
        <item x="311"/>
        <item x="109"/>
        <item x="384"/>
        <item x="77"/>
        <item x="57"/>
        <item x="152"/>
        <item x="44"/>
        <item x="360"/>
        <item x="169"/>
        <item x="349"/>
        <item x="424"/>
        <item x="49"/>
        <item x="278"/>
        <item x="186"/>
        <item x="412"/>
        <item x="274"/>
        <item x="365"/>
        <item x="396"/>
        <item x="163"/>
        <item x="98"/>
        <item x="319"/>
        <item x="296"/>
        <item x="178"/>
        <item x="423"/>
        <item x="358"/>
        <item x="188"/>
        <item x="157"/>
        <item x="339"/>
        <item x="322"/>
        <item x="56"/>
        <item x="94"/>
        <item x="95"/>
        <item x="120"/>
        <item x="121"/>
        <item x="330"/>
        <item x="285"/>
        <item x="142"/>
        <item x="164"/>
        <item x="15"/>
        <item x="59"/>
        <item x="367"/>
        <item x="187"/>
        <item x="87"/>
        <item x="4"/>
        <item x="64"/>
        <item x="153"/>
        <item x="434"/>
        <item x="375"/>
        <item x="267"/>
        <item x="189"/>
        <item x="310"/>
        <item x="398"/>
        <item x="297"/>
        <item x="404"/>
        <item x="20"/>
        <item x="377"/>
        <item x="414"/>
        <item x="154"/>
        <item x="51"/>
        <item x="286"/>
        <item x="86"/>
        <item x="359"/>
        <item x="350"/>
        <item x="32"/>
        <item x="168"/>
        <item x="75"/>
        <item x="299"/>
        <item x="340"/>
        <item x="321"/>
        <item x="8"/>
        <item x="108"/>
        <item x="376"/>
        <item x="63"/>
        <item x="174"/>
        <item x="431"/>
        <item x="165"/>
        <item x="76"/>
        <item x="331"/>
        <item x="320"/>
        <item x="82"/>
        <item x="26"/>
        <item x="97"/>
        <item x="397"/>
        <item x="167"/>
        <item x="177"/>
        <item x="83"/>
        <item x="45"/>
        <item x="175"/>
        <item x="71"/>
        <item x="432"/>
        <item x="341"/>
        <item x="55"/>
        <item x="352"/>
        <item x="275"/>
        <item x="287"/>
        <item x="298"/>
        <item x="433"/>
        <item x="25"/>
        <item x="276"/>
        <item x="156"/>
        <item x="143"/>
        <item x="60"/>
        <item x="342"/>
        <item x="265"/>
        <item x="288"/>
        <item x="37"/>
        <item x="52"/>
        <item x="48"/>
        <item x="277"/>
        <item x="72"/>
        <item x="351"/>
        <item x="21"/>
        <item x="34"/>
        <item x="9"/>
        <item x="54"/>
        <item x="33"/>
        <item x="266"/>
        <item x="47"/>
        <item x="14"/>
        <item x="155"/>
        <item x="62"/>
        <item x="13"/>
        <item x="22"/>
        <item x="36"/>
        <item x="176"/>
        <item x="166"/>
        <item x="3"/>
        <item x="73"/>
        <item x="10"/>
        <item x="2"/>
        <item x="84"/>
        <item x="74"/>
        <item x="11"/>
        <item x="96"/>
        <item x="61"/>
        <item x="53"/>
        <item x="23"/>
        <item x="144"/>
        <item x="85"/>
        <item x="35"/>
        <item x="46"/>
        <item x="24"/>
        <item x="0"/>
        <item x="1"/>
        <item x="12"/>
        <item x="145"/>
        <item x="385"/>
        <item t="default"/>
      </items>
    </pivotField>
    <pivotField numFmtId="164" showAll="0"/>
    <pivotField numFmtId="164" showAll="0"/>
    <pivotField showAll="0"/>
    <pivotField dataField="1" numFmtId="164" showAll="0"/>
    <pivotField showAll="0"/>
    <pivotField numFmtId="164" showAll="0"/>
    <pivotField numFmtId="164" showAll="0"/>
    <pivotField numFmtId="165" showAll="0">
      <items count="2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umFmtId="164" showAll="0"/>
    <pivotField numFmtId="164" showAll="0"/>
    <pivotField axis="axisCol" showAll="0">
      <items count="6">
        <item x="2"/>
        <item x="0"/>
        <item x="4"/>
        <item x="3"/>
        <item x="1"/>
        <item t="default"/>
      </items>
    </pivotField>
    <pivotField axis="axisRow" showAll="0" defaultSubtotal="0">
      <items count="14">
        <item h="1" sd="0" x="0"/>
        <item h="1" sd="0" x="1"/>
        <item h="1" sd="0" x="2"/>
        <item h="1" sd="0" x="3"/>
        <item sd="0" x="4"/>
        <item sd="0" x="5"/>
        <item sd="0" x="6"/>
        <item sd="0" x="7"/>
        <item sd="0" x="8"/>
        <item sd="0" x="9"/>
        <item h="1" sd="0" x="10"/>
        <item h="1" sd="0" x="11"/>
        <item h="1" sd="0" x="12"/>
        <item h="1"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2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</items>
    </pivotField>
  </pivotFields>
  <rowFields count="1">
    <field x="22"/>
  </rowFields>
  <rowItems count="7"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10" hier="-1"/>
  </pageFields>
  <dataFields count="1">
    <dataField name="Average of BoatsL" fld="14" subtotal="average" baseField="22" baseItem="4" numFmtId="164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6FEE28-816D-4F16-9CC0-28358BAACB3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G11" firstHeaderRow="1" firstDataRow="2" firstDataCol="1" rowPageCount="1" colPageCount="1"/>
  <pivotFields count="25">
    <pivotField showAll="0"/>
    <pivotField showAll="0"/>
    <pivotField showAll="0"/>
    <pivotField numFmtId="164" showAll="0"/>
    <pivotField numFmtId="164" showAll="0"/>
    <pivotField numFmtId="164" showAll="0"/>
    <pivotField showAll="0"/>
    <pivotField numFmtId="164" showAll="0"/>
    <pivotField numFmtId="164" showAll="0"/>
    <pivotField dataField="1" numFmtId="164" showAll="0"/>
    <pivotField axis="axisPage" numFmtId="164" showAll="0">
      <items count="473">
        <item x="38"/>
        <item x="438"/>
        <item x="449"/>
        <item x="221"/>
        <item x="370"/>
        <item x="468"/>
        <item x="260"/>
        <item x="371"/>
        <item x="445"/>
        <item x="409"/>
        <item x="452"/>
        <item x="443"/>
        <item x="258"/>
        <item x="440"/>
        <item x="262"/>
        <item x="444"/>
        <item x="261"/>
        <item x="442"/>
        <item x="259"/>
        <item x="263"/>
        <item x="381"/>
        <item x="125"/>
        <item x="408"/>
        <item x="362"/>
        <item x="453"/>
        <item x="257"/>
        <item x="416"/>
        <item x="214"/>
        <item x="467"/>
        <item x="439"/>
        <item x="369"/>
        <item x="466"/>
        <item x="356"/>
        <item x="428"/>
        <item x="113"/>
        <item x="451"/>
        <item x="361"/>
        <item x="213"/>
        <item x="457"/>
        <item x="441"/>
        <item x="210"/>
        <item x="465"/>
        <item x="126"/>
        <item x="471"/>
        <item x="454"/>
        <item x="461"/>
        <item x="264"/>
        <item x="216"/>
        <item x="464"/>
        <item x="447"/>
        <item x="450"/>
        <item x="382"/>
        <item x="448"/>
        <item x="470"/>
        <item x="355"/>
        <item x="469"/>
        <item x="212"/>
        <item x="459"/>
        <item x="455"/>
        <item x="229"/>
        <item x="380"/>
        <item x="114"/>
        <item x="336"/>
        <item x="137"/>
        <item x="372"/>
        <item x="458"/>
        <item x="462"/>
        <item x="363"/>
        <item x="303"/>
        <item x="435"/>
        <item x="456"/>
        <item x="222"/>
        <item x="388"/>
        <item x="313"/>
        <item x="90"/>
        <item x="102"/>
        <item x="101"/>
        <item x="446"/>
        <item x="314"/>
        <item x="219"/>
        <item x="460"/>
        <item x="215"/>
        <item x="394"/>
        <item x="211"/>
        <item x="116"/>
        <item x="194"/>
        <item x="417"/>
        <item x="463"/>
        <item x="195"/>
        <item x="230"/>
        <item x="112"/>
        <item x="224"/>
        <item x="89"/>
        <item x="115"/>
        <item x="218"/>
        <item x="104"/>
        <item x="220"/>
        <item x="325"/>
        <item x="427"/>
        <item x="139"/>
        <item x="244"/>
        <item x="269"/>
        <item x="103"/>
        <item x="393"/>
        <item x="235"/>
        <item x="124"/>
        <item x="231"/>
        <item x="138"/>
        <item x="410"/>
        <item x="226"/>
        <item x="407"/>
        <item x="225"/>
        <item x="250"/>
        <item x="149"/>
        <item x="280"/>
        <item x="389"/>
        <item x="245"/>
        <item x="346"/>
        <item x="326"/>
        <item x="207"/>
        <item x="243"/>
        <item x="240"/>
        <item x="429"/>
        <item x="316"/>
        <item x="91"/>
        <item x="223"/>
        <item x="242"/>
        <item x="418"/>
        <item x="228"/>
        <item x="232"/>
        <item x="67"/>
        <item x="390"/>
        <item x="206"/>
        <item x="205"/>
        <item x="315"/>
        <item x="281"/>
        <item x="237"/>
        <item x="282"/>
        <item x="208"/>
        <item x="127"/>
        <item x="419"/>
        <item x="335"/>
        <item x="80"/>
        <item x="249"/>
        <item x="181"/>
        <item x="247"/>
        <item x="41"/>
        <item x="256"/>
        <item x="271"/>
        <item x="248"/>
        <item x="430"/>
        <item x="234"/>
        <item x="270"/>
        <item x="401"/>
        <item x="238"/>
        <item x="66"/>
        <item x="204"/>
        <item x="254"/>
        <item x="172"/>
        <item x="383"/>
        <item x="217"/>
        <item x="171"/>
        <item x="354"/>
        <item x="227"/>
        <item x="255"/>
        <item x="236"/>
        <item x="78"/>
        <item x="345"/>
        <item x="28"/>
        <item x="246"/>
        <item x="193"/>
        <item x="252"/>
        <item x="333"/>
        <item x="128"/>
        <item x="233"/>
        <item x="117"/>
        <item x="5"/>
        <item x="239"/>
        <item x="318"/>
        <item x="420"/>
        <item x="373"/>
        <item x="241"/>
        <item x="209"/>
        <item x="68"/>
        <item x="92"/>
        <item x="136"/>
        <item x="302"/>
        <item x="129"/>
        <item x="253"/>
        <item x="40"/>
        <item x="324"/>
        <item x="305"/>
        <item x="251"/>
        <item x="173"/>
        <item x="131"/>
        <item x="100"/>
        <item x="304"/>
        <item x="146"/>
        <item x="400"/>
        <item x="16"/>
        <item x="29"/>
        <item x="292"/>
        <item x="140"/>
        <item x="130"/>
        <item x="134"/>
        <item x="317"/>
        <item x="182"/>
        <item x="406"/>
        <item x="347"/>
        <item x="203"/>
        <item x="42"/>
        <item x="30"/>
        <item x="411"/>
        <item x="327"/>
        <item x="196"/>
        <item x="293"/>
        <item x="161"/>
        <item x="160"/>
        <item x="197"/>
        <item x="379"/>
        <item x="291"/>
        <item x="272"/>
        <item x="183"/>
        <item x="18"/>
        <item x="79"/>
        <item x="334"/>
        <item x="301"/>
        <item x="337"/>
        <item x="135"/>
        <item x="307"/>
        <item x="148"/>
        <item x="105"/>
        <item x="184"/>
        <item x="366"/>
        <item x="426"/>
        <item x="123"/>
        <item x="6"/>
        <item x="437"/>
        <item x="294"/>
        <item x="17"/>
        <item x="150"/>
        <item x="162"/>
        <item x="192"/>
        <item x="283"/>
        <item x="306"/>
        <item x="308"/>
        <item x="348"/>
        <item x="323"/>
        <item x="198"/>
        <item x="200"/>
        <item x="312"/>
        <item x="111"/>
        <item x="268"/>
        <item x="93"/>
        <item x="81"/>
        <item x="344"/>
        <item x="328"/>
        <item x="159"/>
        <item x="180"/>
        <item x="151"/>
        <item x="338"/>
        <item x="50"/>
        <item x="421"/>
        <item x="284"/>
        <item x="202"/>
        <item x="88"/>
        <item x="436"/>
        <item x="374"/>
        <item x="191"/>
        <item x="185"/>
        <item x="122"/>
        <item x="118"/>
        <item x="364"/>
        <item x="119"/>
        <item x="273"/>
        <item x="357"/>
        <item x="147"/>
        <item x="402"/>
        <item x="107"/>
        <item x="279"/>
        <item x="31"/>
        <item x="378"/>
        <item x="65"/>
        <item x="132"/>
        <item x="405"/>
        <item x="7"/>
        <item x="415"/>
        <item x="392"/>
        <item x="387"/>
        <item x="391"/>
        <item x="201"/>
        <item x="190"/>
        <item x="290"/>
        <item x="295"/>
        <item x="332"/>
        <item x="43"/>
        <item x="395"/>
        <item x="170"/>
        <item x="353"/>
        <item x="403"/>
        <item x="99"/>
        <item x="141"/>
        <item x="413"/>
        <item x="27"/>
        <item x="309"/>
        <item x="106"/>
        <item x="199"/>
        <item x="386"/>
        <item x="425"/>
        <item x="110"/>
        <item x="422"/>
        <item x="158"/>
        <item x="368"/>
        <item x="399"/>
        <item x="179"/>
        <item x="39"/>
        <item x="133"/>
        <item x="329"/>
        <item x="69"/>
        <item x="300"/>
        <item x="343"/>
        <item x="289"/>
        <item x="19"/>
        <item x="70"/>
        <item x="58"/>
        <item x="311"/>
        <item x="109"/>
        <item x="384"/>
        <item x="77"/>
        <item x="57"/>
        <item x="152"/>
        <item x="44"/>
        <item x="360"/>
        <item x="169"/>
        <item x="349"/>
        <item x="424"/>
        <item x="49"/>
        <item x="278"/>
        <item x="186"/>
        <item x="412"/>
        <item x="274"/>
        <item x="365"/>
        <item x="396"/>
        <item x="163"/>
        <item x="98"/>
        <item x="319"/>
        <item x="296"/>
        <item x="178"/>
        <item x="423"/>
        <item x="358"/>
        <item x="188"/>
        <item x="157"/>
        <item x="339"/>
        <item x="322"/>
        <item x="56"/>
        <item x="94"/>
        <item x="95"/>
        <item x="120"/>
        <item x="121"/>
        <item x="330"/>
        <item x="285"/>
        <item x="142"/>
        <item x="164"/>
        <item x="15"/>
        <item x="59"/>
        <item x="367"/>
        <item x="187"/>
        <item x="87"/>
        <item x="4"/>
        <item x="64"/>
        <item x="153"/>
        <item x="434"/>
        <item x="375"/>
        <item x="267"/>
        <item x="189"/>
        <item x="310"/>
        <item x="398"/>
        <item x="297"/>
        <item x="404"/>
        <item x="20"/>
        <item x="377"/>
        <item x="414"/>
        <item x="154"/>
        <item x="51"/>
        <item x="286"/>
        <item x="86"/>
        <item x="359"/>
        <item x="350"/>
        <item x="32"/>
        <item x="168"/>
        <item x="75"/>
        <item x="299"/>
        <item x="340"/>
        <item x="321"/>
        <item x="8"/>
        <item x="108"/>
        <item x="376"/>
        <item x="63"/>
        <item x="174"/>
        <item x="431"/>
        <item x="165"/>
        <item x="76"/>
        <item x="331"/>
        <item x="320"/>
        <item x="82"/>
        <item x="26"/>
        <item x="97"/>
        <item x="397"/>
        <item x="167"/>
        <item x="177"/>
        <item x="83"/>
        <item x="45"/>
        <item x="175"/>
        <item x="71"/>
        <item x="432"/>
        <item x="341"/>
        <item x="55"/>
        <item x="352"/>
        <item x="275"/>
        <item x="287"/>
        <item x="298"/>
        <item x="433"/>
        <item x="25"/>
        <item x="276"/>
        <item x="156"/>
        <item x="143"/>
        <item x="60"/>
        <item x="342"/>
        <item x="265"/>
        <item x="288"/>
        <item x="37"/>
        <item x="52"/>
        <item x="48"/>
        <item x="277"/>
        <item x="72"/>
        <item x="351"/>
        <item x="21"/>
        <item x="34"/>
        <item x="9"/>
        <item x="54"/>
        <item x="33"/>
        <item x="266"/>
        <item x="47"/>
        <item x="14"/>
        <item x="155"/>
        <item x="62"/>
        <item x="13"/>
        <item x="22"/>
        <item x="36"/>
        <item x="176"/>
        <item x="166"/>
        <item x="3"/>
        <item x="73"/>
        <item x="10"/>
        <item x="2"/>
        <item x="84"/>
        <item x="74"/>
        <item x="11"/>
        <item x="96"/>
        <item x="61"/>
        <item x="53"/>
        <item x="23"/>
        <item x="144"/>
        <item x="85"/>
        <item x="35"/>
        <item x="46"/>
        <item x="24"/>
        <item x="0"/>
        <item x="1"/>
        <item x="12"/>
        <item x="145"/>
        <item x="385"/>
        <item t="default"/>
      </items>
    </pivotField>
    <pivotField numFmtId="164" showAll="0"/>
    <pivotField numFmtId="164" showAll="0"/>
    <pivotField showAll="0"/>
    <pivotField numFmtId="164" showAll="0"/>
    <pivotField showAll="0"/>
    <pivotField numFmtId="164" showAll="0"/>
    <pivotField numFmtId="164" showAll="0"/>
    <pivotField numFmtId="14" showAll="0">
      <items count="2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umFmtId="164" showAll="0"/>
    <pivotField numFmtId="164" showAll="0"/>
    <pivotField axis="axisCol" showAll="0">
      <items count="6">
        <item x="2"/>
        <item x="0"/>
        <item x="4"/>
        <item x="3"/>
        <item x="1"/>
        <item t="default"/>
      </items>
    </pivotField>
    <pivotField axis="axisRow" showAll="0" defaultSubtotal="0">
      <items count="14">
        <item h="1" sd="0" x="0"/>
        <item h="1" sd="0" x="1"/>
        <item h="1" sd="0" x="2"/>
        <item h="1" sd="0" x="3"/>
        <item sd="0" x="4"/>
        <item sd="0" x="5"/>
        <item sd="0" x="6"/>
        <item sd="0" x="7"/>
        <item sd="0" x="8"/>
        <item sd="0" x="9"/>
        <item h="1" sd="0" x="10"/>
        <item h="1" sd="0" x="11"/>
        <item h="1" sd="0" x="12"/>
        <item h="1"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2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</items>
    </pivotField>
  </pivotFields>
  <rowFields count="1">
    <field x="22"/>
  </rowFields>
  <rowItems count="7"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10" hier="-1"/>
  </pageFields>
  <dataFields count="1">
    <dataField name="Average of DU_Total " fld="9" subtotal="average" baseField="22" baseItem="4" numFmtId="164"/>
  </dataFields>
  <chartFormats count="5"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F4D47-ADEF-4CD9-9724-CF6C9C93CDB4}">
  <dimension ref="A1:CH1653"/>
  <sheetViews>
    <sheetView zoomScaleNormal="100" workbookViewId="0">
      <pane ySplit="1" topLeftCell="A2" activePane="bottomLeft" state="frozen"/>
      <selection pane="bottomLeft" activeCell="K17" sqref="K17"/>
    </sheetView>
  </sheetViews>
  <sheetFormatPr defaultRowHeight="15" x14ac:dyDescent="0.25"/>
  <cols>
    <col min="1" max="1" width="20.42578125" style="10" bestFit="1" customWidth="1"/>
    <col min="15" max="15" width="9.140625" style="15"/>
    <col min="16" max="16" width="12.85546875" style="18" bestFit="1" customWidth="1"/>
    <col min="17" max="17" width="27.85546875" bestFit="1" customWidth="1"/>
    <col min="19" max="19" width="27.85546875" style="20" bestFit="1" customWidth="1"/>
    <col min="20" max="20" width="13.140625" bestFit="1" customWidth="1"/>
    <col min="21" max="21" width="13.140625" style="10" customWidth="1"/>
    <col min="22" max="22" width="38.5703125" style="10" customWidth="1"/>
    <col min="23" max="23" width="79.5703125" customWidth="1"/>
    <col min="24" max="24" width="13.140625" bestFit="1" customWidth="1"/>
    <col min="25" max="25" width="23.7109375" bestFit="1" customWidth="1"/>
    <col min="26" max="30" width="16.85546875" bestFit="1" customWidth="1"/>
    <col min="31" max="31" width="6.85546875" bestFit="1" customWidth="1"/>
    <col min="32" max="32" width="17.5703125" bestFit="1" customWidth="1"/>
    <col min="33" max="33" width="18.7109375" customWidth="1"/>
    <col min="34" max="34" width="16.140625" customWidth="1"/>
    <col min="35" max="35" width="17.85546875" customWidth="1"/>
    <col min="36" max="36" width="16.140625" customWidth="1"/>
    <col min="37" max="37" width="15.42578125" customWidth="1"/>
    <col min="38" max="38" width="14.140625" bestFit="1" customWidth="1"/>
    <col min="39" max="39" width="8.42578125" bestFit="1" customWidth="1"/>
    <col min="40" max="40" width="16.140625" customWidth="1"/>
    <col min="41" max="41" width="17.140625" customWidth="1"/>
    <col min="42" max="42" width="17.85546875" customWidth="1"/>
    <col min="43" max="43" width="20.28515625" customWidth="1"/>
    <col min="44" max="44" width="16.140625" customWidth="1"/>
    <col min="45" max="45" width="12.85546875" customWidth="1"/>
    <col min="46" max="46" width="19.28515625" customWidth="1"/>
    <col min="48" max="48" width="11.85546875" bestFit="1" customWidth="1"/>
    <col min="49" max="54" width="14.140625" bestFit="1" customWidth="1"/>
    <col min="56" max="56" width="28.42578125" bestFit="1" customWidth="1"/>
    <col min="57" max="62" width="14.140625" bestFit="1" customWidth="1"/>
    <col min="64" max="64" width="11.85546875" bestFit="1" customWidth="1"/>
    <col min="65" max="65" width="12.7109375" customWidth="1"/>
    <col min="66" max="66" width="15.140625" customWidth="1"/>
    <col min="67" max="67" width="17.140625" customWidth="1"/>
    <col min="68" max="68" width="16.42578125" customWidth="1"/>
    <col min="69" max="69" width="13.5703125" customWidth="1"/>
    <col min="70" max="70" width="15.140625" customWidth="1"/>
    <col min="72" max="72" width="15.85546875" bestFit="1" customWidth="1"/>
    <col min="73" max="73" width="14.140625" customWidth="1"/>
    <col min="74" max="74" width="16.140625" customWidth="1"/>
    <col min="75" max="75" width="15.140625" customWidth="1"/>
    <col min="76" max="76" width="14.5703125" customWidth="1"/>
    <col min="77" max="77" width="16" customWidth="1"/>
    <col min="78" max="78" width="15" customWidth="1"/>
    <col min="80" max="80" width="20.5703125" customWidth="1"/>
    <col min="81" max="81" width="13.5703125" bestFit="1" customWidth="1"/>
    <col min="82" max="82" width="15.140625" customWidth="1"/>
    <col min="83" max="83" width="11.42578125" customWidth="1"/>
    <col min="84" max="84" width="12.7109375" customWidth="1"/>
    <col min="85" max="85" width="12.85546875" customWidth="1"/>
    <col min="86" max="86" width="15.42578125" customWidth="1"/>
  </cols>
  <sheetData>
    <row r="1" spans="1:86" ht="15.75" x14ac:dyDescent="0.25">
      <c r="A1" s="8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1" t="s">
        <v>61</v>
      </c>
      <c r="K1" s="2" t="s">
        <v>10</v>
      </c>
      <c r="L1" s="2" t="s">
        <v>11</v>
      </c>
      <c r="M1" s="2" t="s">
        <v>12</v>
      </c>
      <c r="N1" s="2" t="s">
        <v>34</v>
      </c>
      <c r="O1" s="13" t="s">
        <v>13</v>
      </c>
      <c r="P1" s="16" t="s">
        <v>47</v>
      </c>
      <c r="Q1" s="2" t="s">
        <v>14</v>
      </c>
      <c r="R1" s="2" t="s">
        <v>15</v>
      </c>
      <c r="S1" s="19" t="s">
        <v>16</v>
      </c>
      <c r="T1" s="2" t="s">
        <v>17</v>
      </c>
      <c r="U1" s="8" t="s">
        <v>60</v>
      </c>
      <c r="V1" s="8" t="s">
        <v>62</v>
      </c>
    </row>
    <row r="2" spans="1:86" x14ac:dyDescent="0.25">
      <c r="A2" s="10" t="s">
        <v>0</v>
      </c>
      <c r="B2" t="b">
        <v>0</v>
      </c>
      <c r="C2" t="b">
        <v>0</v>
      </c>
      <c r="D2" s="1">
        <v>9455</v>
      </c>
      <c r="E2" s="1">
        <v>0</v>
      </c>
      <c r="F2" s="1">
        <v>458</v>
      </c>
      <c r="G2" s="1">
        <v>2445</v>
      </c>
      <c r="H2" s="1">
        <v>0</v>
      </c>
      <c r="I2" s="1">
        <v>0</v>
      </c>
      <c r="J2" s="1">
        <f>D2+E2+F2+G2+H2+I2</f>
        <v>12358</v>
      </c>
      <c r="K2" s="1">
        <v>6047</v>
      </c>
      <c r="L2" s="1">
        <v>0</v>
      </c>
      <c r="M2" s="1">
        <v>2792</v>
      </c>
      <c r="N2" s="1">
        <f t="shared" ref="N2:N28" si="0">K2+L2+M2</f>
        <v>8839</v>
      </c>
      <c r="O2" s="14">
        <v>86</v>
      </c>
      <c r="P2" s="17">
        <f>J2+N2</f>
        <v>21197</v>
      </c>
      <c r="Q2" s="1">
        <v>0</v>
      </c>
      <c r="R2" s="1">
        <v>0</v>
      </c>
      <c r="S2" s="20">
        <v>37073</v>
      </c>
      <c r="T2" s="1">
        <v>21283</v>
      </c>
      <c r="U2" s="9">
        <v>12358</v>
      </c>
      <c r="V2" s="9" t="s">
        <v>46</v>
      </c>
    </row>
    <row r="3" spans="1:86" x14ac:dyDescent="0.25">
      <c r="A3" s="10" t="s">
        <v>0</v>
      </c>
      <c r="B3" t="b">
        <v>0</v>
      </c>
      <c r="C3" t="b">
        <v>0</v>
      </c>
      <c r="D3" s="1">
        <v>8113</v>
      </c>
      <c r="E3" s="1">
        <v>0</v>
      </c>
      <c r="F3" s="1">
        <v>279</v>
      </c>
      <c r="G3" s="1">
        <v>2445</v>
      </c>
      <c r="H3" s="1">
        <v>0</v>
      </c>
      <c r="I3" s="1">
        <v>0</v>
      </c>
      <c r="J3" s="1">
        <f t="shared" ref="J3:J66" si="1">D3+E3+F3+G3+H3+I3</f>
        <v>10837</v>
      </c>
      <c r="K3" s="1">
        <v>6053</v>
      </c>
      <c r="L3" s="1">
        <v>0</v>
      </c>
      <c r="M3" s="1">
        <v>1917</v>
      </c>
      <c r="N3" s="1">
        <f t="shared" si="0"/>
        <v>7970</v>
      </c>
      <c r="O3" s="14">
        <v>911</v>
      </c>
      <c r="P3" s="17">
        <f t="shared" ref="P3:P66" si="2">J3+N3</f>
        <v>18807</v>
      </c>
      <c r="Q3" s="1">
        <v>0</v>
      </c>
      <c r="R3" s="1">
        <v>0</v>
      </c>
      <c r="S3" s="20">
        <v>37104</v>
      </c>
      <c r="T3" s="1">
        <v>19718</v>
      </c>
      <c r="U3" s="9">
        <v>10837</v>
      </c>
      <c r="V3" s="9" t="s">
        <v>46</v>
      </c>
    </row>
    <row r="4" spans="1:86" x14ac:dyDescent="0.25">
      <c r="A4" s="10" t="s">
        <v>0</v>
      </c>
      <c r="B4" t="b">
        <v>0</v>
      </c>
      <c r="C4" t="b">
        <v>0</v>
      </c>
      <c r="D4" s="1">
        <v>8761</v>
      </c>
      <c r="E4" s="1">
        <v>0</v>
      </c>
      <c r="F4" s="1">
        <v>251</v>
      </c>
      <c r="G4" s="1">
        <v>2258</v>
      </c>
      <c r="H4" s="1">
        <v>0</v>
      </c>
      <c r="I4" s="1">
        <v>0</v>
      </c>
      <c r="J4" s="1">
        <f t="shared" si="1"/>
        <v>11270</v>
      </c>
      <c r="K4" s="1">
        <v>5095</v>
      </c>
      <c r="L4" s="1">
        <v>0</v>
      </c>
      <c r="M4" s="1">
        <v>1082</v>
      </c>
      <c r="N4" s="1">
        <f t="shared" si="0"/>
        <v>6177</v>
      </c>
      <c r="O4" s="14">
        <v>1364</v>
      </c>
      <c r="P4" s="17">
        <f t="shared" si="2"/>
        <v>17447</v>
      </c>
      <c r="Q4" s="1">
        <v>0</v>
      </c>
      <c r="R4" s="1">
        <v>0</v>
      </c>
      <c r="S4" s="20">
        <v>37135</v>
      </c>
      <c r="T4" s="1">
        <v>18811</v>
      </c>
      <c r="U4" s="9">
        <v>11270</v>
      </c>
      <c r="V4" s="9" t="s">
        <v>46</v>
      </c>
      <c r="X4" s="5" t="s">
        <v>1</v>
      </c>
      <c r="Y4" t="s">
        <v>37</v>
      </c>
    </row>
    <row r="5" spans="1:86" x14ac:dyDescent="0.25">
      <c r="A5" s="10" t="s">
        <v>0</v>
      </c>
      <c r="B5" t="b">
        <v>0</v>
      </c>
      <c r="C5" t="b">
        <v>0</v>
      </c>
      <c r="D5" s="1">
        <v>5712</v>
      </c>
      <c r="E5" s="1">
        <v>0</v>
      </c>
      <c r="F5" s="1">
        <v>190</v>
      </c>
      <c r="G5" s="1">
        <v>2204</v>
      </c>
      <c r="H5" s="1">
        <v>0</v>
      </c>
      <c r="I5" s="1">
        <v>0</v>
      </c>
      <c r="J5" s="1">
        <f t="shared" si="1"/>
        <v>8106</v>
      </c>
      <c r="K5" s="1">
        <v>5014</v>
      </c>
      <c r="L5" s="1">
        <v>0</v>
      </c>
      <c r="M5" s="1">
        <v>532</v>
      </c>
      <c r="N5" s="1">
        <f t="shared" si="0"/>
        <v>5546</v>
      </c>
      <c r="O5" s="14">
        <v>1241</v>
      </c>
      <c r="P5" s="17">
        <f t="shared" si="2"/>
        <v>13652</v>
      </c>
      <c r="Q5" s="1">
        <v>0</v>
      </c>
      <c r="R5" s="1">
        <v>0</v>
      </c>
      <c r="S5" s="20">
        <v>37165</v>
      </c>
      <c r="T5" s="1">
        <v>14893</v>
      </c>
      <c r="U5" s="9">
        <v>8106</v>
      </c>
      <c r="V5" s="9" t="s">
        <v>46</v>
      </c>
    </row>
    <row r="6" spans="1:86" x14ac:dyDescent="0.25">
      <c r="A6" s="10" t="s">
        <v>0</v>
      </c>
      <c r="B6" t="b">
        <v>0</v>
      </c>
      <c r="C6" t="b">
        <v>0</v>
      </c>
      <c r="D6" s="1">
        <v>3508</v>
      </c>
      <c r="E6" s="1">
        <v>0</v>
      </c>
      <c r="F6" s="1">
        <v>0</v>
      </c>
      <c r="G6" s="1">
        <v>122</v>
      </c>
      <c r="H6" s="1">
        <v>0</v>
      </c>
      <c r="I6" s="1">
        <v>0</v>
      </c>
      <c r="J6" s="1">
        <f t="shared" si="1"/>
        <v>3630</v>
      </c>
      <c r="K6" s="1">
        <v>2681</v>
      </c>
      <c r="L6" s="1">
        <v>0</v>
      </c>
      <c r="M6" s="1">
        <v>300</v>
      </c>
      <c r="N6" s="1">
        <f t="shared" si="0"/>
        <v>2981</v>
      </c>
      <c r="O6" s="14">
        <v>564</v>
      </c>
      <c r="P6" s="17">
        <f t="shared" si="2"/>
        <v>6611</v>
      </c>
      <c r="Q6" s="1">
        <v>0</v>
      </c>
      <c r="R6" s="1">
        <v>0</v>
      </c>
      <c r="S6" s="20">
        <v>37196</v>
      </c>
      <c r="T6" s="1">
        <v>7175</v>
      </c>
      <c r="U6" s="9">
        <v>3630</v>
      </c>
      <c r="V6" s="9" t="s">
        <v>46</v>
      </c>
      <c r="X6" s="5" t="s">
        <v>42</v>
      </c>
      <c r="Y6" t="s">
        <v>48</v>
      </c>
      <c r="AF6" s="4" t="s">
        <v>53</v>
      </c>
      <c r="AN6" s="4" t="s">
        <v>54</v>
      </c>
      <c r="AV6" s="4" t="s">
        <v>52</v>
      </c>
      <c r="BD6" s="4" t="s">
        <v>55</v>
      </c>
      <c r="BL6" s="4" t="s">
        <v>57</v>
      </c>
      <c r="BT6" s="4" t="s">
        <v>56</v>
      </c>
      <c r="CB6" s="4" t="s">
        <v>58</v>
      </c>
    </row>
    <row r="7" spans="1:86" x14ac:dyDescent="0.25">
      <c r="A7" s="10" t="s">
        <v>0</v>
      </c>
      <c r="B7" t="b">
        <v>0</v>
      </c>
      <c r="C7" t="b">
        <v>0</v>
      </c>
      <c r="D7" s="1">
        <v>1439</v>
      </c>
      <c r="E7" s="1">
        <v>0</v>
      </c>
      <c r="F7" s="1">
        <v>0</v>
      </c>
      <c r="G7" s="1">
        <v>281</v>
      </c>
      <c r="H7" s="1">
        <v>0</v>
      </c>
      <c r="I7" s="1">
        <v>0</v>
      </c>
      <c r="J7" s="1">
        <f t="shared" si="1"/>
        <v>1720</v>
      </c>
      <c r="K7" s="1">
        <v>499</v>
      </c>
      <c r="L7" s="1">
        <v>0</v>
      </c>
      <c r="M7" s="1">
        <v>0</v>
      </c>
      <c r="N7" s="1">
        <f t="shared" si="0"/>
        <v>499</v>
      </c>
      <c r="O7" s="14">
        <v>668</v>
      </c>
      <c r="P7" s="17">
        <f t="shared" si="2"/>
        <v>2219</v>
      </c>
      <c r="Q7" s="1">
        <v>0</v>
      </c>
      <c r="R7" s="1">
        <v>0</v>
      </c>
      <c r="S7" s="20">
        <v>37226</v>
      </c>
      <c r="T7" s="1">
        <v>2887</v>
      </c>
      <c r="U7" s="9">
        <v>1720</v>
      </c>
      <c r="V7" s="9" t="s">
        <v>46</v>
      </c>
      <c r="X7" s="6" t="s">
        <v>25</v>
      </c>
      <c r="Y7">
        <v>1011.9473684210526</v>
      </c>
      <c r="AF7" t="s">
        <v>42</v>
      </c>
      <c r="AG7" t="s">
        <v>45</v>
      </c>
      <c r="AH7" t="s">
        <v>46</v>
      </c>
      <c r="AI7" t="s">
        <v>39</v>
      </c>
      <c r="AJ7" t="s">
        <v>40</v>
      </c>
      <c r="AK7" t="s">
        <v>21</v>
      </c>
      <c r="AL7" t="s">
        <v>43</v>
      </c>
      <c r="AN7" t="s">
        <v>42</v>
      </c>
      <c r="AO7" t="s">
        <v>45</v>
      </c>
      <c r="AP7" t="s">
        <v>46</v>
      </c>
      <c r="AQ7" t="s">
        <v>39</v>
      </c>
      <c r="AR7" t="s">
        <v>40</v>
      </c>
      <c r="AS7" t="s">
        <v>21</v>
      </c>
      <c r="AT7" t="s">
        <v>43</v>
      </c>
      <c r="AV7" t="s">
        <v>42</v>
      </c>
      <c r="AW7" t="s">
        <v>45</v>
      </c>
      <c r="AX7" t="s">
        <v>46</v>
      </c>
      <c r="AY7" t="s">
        <v>39</v>
      </c>
      <c r="AZ7" t="s">
        <v>40</v>
      </c>
      <c r="BA7" t="s">
        <v>21</v>
      </c>
      <c r="BB7" t="s">
        <v>43</v>
      </c>
      <c r="BD7" t="s">
        <v>42</v>
      </c>
      <c r="BE7" t="s">
        <v>45</v>
      </c>
      <c r="BF7" t="s">
        <v>46</v>
      </c>
      <c r="BG7" t="s">
        <v>39</v>
      </c>
      <c r="BH7" t="s">
        <v>40</v>
      </c>
      <c r="BI7" t="s">
        <v>21</v>
      </c>
      <c r="BJ7" t="s">
        <v>43</v>
      </c>
      <c r="BL7" t="s">
        <v>42</v>
      </c>
      <c r="BM7" t="s">
        <v>45</v>
      </c>
      <c r="BN7" t="s">
        <v>46</v>
      </c>
      <c r="BO7" t="s">
        <v>39</v>
      </c>
      <c r="BP7" t="s">
        <v>40</v>
      </c>
      <c r="BQ7" t="s">
        <v>21</v>
      </c>
      <c r="BR7" t="s">
        <v>43</v>
      </c>
      <c r="BT7" t="s">
        <v>42</v>
      </c>
      <c r="BU7" t="s">
        <v>45</v>
      </c>
      <c r="BV7" t="s">
        <v>46</v>
      </c>
      <c r="BW7" t="s">
        <v>39</v>
      </c>
      <c r="BX7" t="s">
        <v>40</v>
      </c>
      <c r="BY7" t="s">
        <v>21</v>
      </c>
      <c r="BZ7" t="s">
        <v>43</v>
      </c>
      <c r="CB7" t="s">
        <v>42</v>
      </c>
      <c r="CC7" t="s">
        <v>45</v>
      </c>
      <c r="CD7" t="s">
        <v>46</v>
      </c>
      <c r="CE7" t="s">
        <v>39</v>
      </c>
      <c r="CF7" t="s">
        <v>40</v>
      </c>
      <c r="CG7" t="s">
        <v>21</v>
      </c>
      <c r="CH7" t="s">
        <v>43</v>
      </c>
    </row>
    <row r="8" spans="1:86" x14ac:dyDescent="0.25">
      <c r="A8" s="10" t="s">
        <v>0</v>
      </c>
      <c r="B8" t="b">
        <v>0</v>
      </c>
      <c r="C8" t="b">
        <v>0</v>
      </c>
      <c r="D8" s="1">
        <v>2883</v>
      </c>
      <c r="E8" s="1">
        <v>0</v>
      </c>
      <c r="F8" s="1">
        <v>0</v>
      </c>
      <c r="G8" s="1">
        <v>530</v>
      </c>
      <c r="H8" s="1">
        <v>0</v>
      </c>
      <c r="I8" s="1">
        <v>0</v>
      </c>
      <c r="J8" s="1">
        <f t="shared" si="1"/>
        <v>3413</v>
      </c>
      <c r="K8" s="1">
        <v>873</v>
      </c>
      <c r="L8" s="1">
        <v>0</v>
      </c>
      <c r="M8" s="1">
        <v>0</v>
      </c>
      <c r="N8" s="1">
        <f t="shared" si="0"/>
        <v>873</v>
      </c>
      <c r="O8" s="14">
        <v>913</v>
      </c>
      <c r="P8" s="17">
        <f t="shared" si="2"/>
        <v>4286</v>
      </c>
      <c r="Q8" s="1">
        <v>0</v>
      </c>
      <c r="R8" s="1">
        <v>0</v>
      </c>
      <c r="S8" s="20">
        <v>37257</v>
      </c>
      <c r="T8" s="1">
        <v>5199</v>
      </c>
      <c r="U8" s="9">
        <v>3413</v>
      </c>
      <c r="V8" s="9" t="s">
        <v>46</v>
      </c>
      <c r="X8" s="6" t="s">
        <v>27</v>
      </c>
      <c r="Y8">
        <v>1155.421052631579</v>
      </c>
      <c r="AF8" s="6" t="s">
        <v>25</v>
      </c>
      <c r="AG8">
        <v>4215.166666666667</v>
      </c>
      <c r="AH8">
        <v>8372</v>
      </c>
      <c r="AI8">
        <v>4998.363636363636</v>
      </c>
      <c r="AJ8">
        <v>4615.2</v>
      </c>
      <c r="AK8">
        <v>3555.8333333333335</v>
      </c>
      <c r="AL8">
        <v>4957.9473684210525</v>
      </c>
      <c r="AN8" t="s">
        <v>25</v>
      </c>
      <c r="AO8">
        <v>1005</v>
      </c>
      <c r="AP8">
        <v>4235</v>
      </c>
      <c r="AQ8">
        <v>2164.6363636363635</v>
      </c>
      <c r="AR8">
        <v>2556.4</v>
      </c>
      <c r="AS8">
        <v>2726</v>
      </c>
      <c r="AT8">
        <v>2345.2105263157896</v>
      </c>
      <c r="AV8" t="s">
        <v>25</v>
      </c>
      <c r="AW8">
        <v>494</v>
      </c>
      <c r="AX8">
        <v>420</v>
      </c>
      <c r="AY8">
        <v>475.72727272727275</v>
      </c>
      <c r="AZ8">
        <v>610.4</v>
      </c>
      <c r="BA8">
        <v>666</v>
      </c>
      <c r="BB8">
        <v>519.21052631578948</v>
      </c>
      <c r="BD8" t="s">
        <v>25</v>
      </c>
      <c r="BE8">
        <v>17014</v>
      </c>
      <c r="BF8">
        <v>22191</v>
      </c>
      <c r="BG8">
        <v>9612.636363636364</v>
      </c>
      <c r="BH8">
        <v>10675.4</v>
      </c>
      <c r="BI8">
        <v>9661</v>
      </c>
      <c r="BJ8">
        <v>10946.421052631578</v>
      </c>
      <c r="BL8" t="s">
        <v>25</v>
      </c>
      <c r="BM8">
        <v>6425</v>
      </c>
      <c r="BN8">
        <v>19374</v>
      </c>
      <c r="BO8">
        <v>15214.545454545454</v>
      </c>
      <c r="BP8">
        <v>12232.2</v>
      </c>
      <c r="BQ8">
        <v>6165</v>
      </c>
      <c r="BR8">
        <v>13709.736842105263</v>
      </c>
      <c r="BT8" t="s">
        <v>25</v>
      </c>
      <c r="BU8">
        <v>315</v>
      </c>
      <c r="BV8">
        <v>1602</v>
      </c>
      <c r="BW8">
        <v>1329.6363636363637</v>
      </c>
      <c r="BX8">
        <v>946.2</v>
      </c>
      <c r="BY8">
        <v>1814</v>
      </c>
      <c r="BZ8">
        <v>1215.1578947368421</v>
      </c>
      <c r="CB8" t="s">
        <v>25</v>
      </c>
      <c r="CC8">
        <v>38</v>
      </c>
      <c r="CD8">
        <v>2410</v>
      </c>
      <c r="CE8">
        <v>1193</v>
      </c>
      <c r="CF8">
        <v>670.6</v>
      </c>
      <c r="CG8">
        <v>303</v>
      </c>
      <c r="CH8">
        <v>1011.9473684210526</v>
      </c>
    </row>
    <row r="9" spans="1:86" x14ac:dyDescent="0.25">
      <c r="A9" s="10" t="s">
        <v>0</v>
      </c>
      <c r="B9" t="b">
        <v>0</v>
      </c>
      <c r="C9" t="b">
        <v>0</v>
      </c>
      <c r="D9" s="1">
        <v>928</v>
      </c>
      <c r="E9" s="1">
        <v>0</v>
      </c>
      <c r="F9" s="1">
        <v>0</v>
      </c>
      <c r="G9" s="1">
        <v>997</v>
      </c>
      <c r="H9" s="1">
        <v>0</v>
      </c>
      <c r="I9" s="1">
        <v>0</v>
      </c>
      <c r="J9" s="1">
        <f t="shared" si="1"/>
        <v>1925</v>
      </c>
      <c r="K9" s="1">
        <v>1480</v>
      </c>
      <c r="L9" s="1">
        <v>0</v>
      </c>
      <c r="M9" s="1">
        <v>0</v>
      </c>
      <c r="N9" s="1">
        <f t="shared" si="0"/>
        <v>1480</v>
      </c>
      <c r="O9" s="14">
        <v>1389</v>
      </c>
      <c r="P9" s="17">
        <f t="shared" si="2"/>
        <v>3405</v>
      </c>
      <c r="Q9" s="1">
        <v>0</v>
      </c>
      <c r="R9" s="1">
        <v>0</v>
      </c>
      <c r="S9" s="20">
        <v>37288</v>
      </c>
      <c r="T9" s="1">
        <v>4794</v>
      </c>
      <c r="U9" s="9">
        <v>1925</v>
      </c>
      <c r="V9" s="9" t="s">
        <v>46</v>
      </c>
      <c r="X9" s="6" t="s">
        <v>26</v>
      </c>
      <c r="Y9">
        <v>1294.421052631579</v>
      </c>
      <c r="AF9" s="6" t="s">
        <v>27</v>
      </c>
      <c r="AG9">
        <v>6236.166666666667</v>
      </c>
      <c r="AH9">
        <v>8132.666666666667</v>
      </c>
      <c r="AI9">
        <v>7167.606060606061</v>
      </c>
      <c r="AJ9">
        <v>5762.4</v>
      </c>
      <c r="AK9">
        <v>7089.833333333333</v>
      </c>
      <c r="AL9">
        <v>6795.4912280701756</v>
      </c>
      <c r="AN9" t="s">
        <v>27</v>
      </c>
      <c r="AO9">
        <v>1285</v>
      </c>
      <c r="AP9">
        <v>5028</v>
      </c>
      <c r="AQ9">
        <v>2293.2727272727275</v>
      </c>
      <c r="AR9">
        <v>2047.2</v>
      </c>
      <c r="AS9">
        <v>2072</v>
      </c>
      <c r="AT9">
        <v>2307.7368421052633</v>
      </c>
      <c r="AV9" t="s">
        <v>27</v>
      </c>
      <c r="AW9">
        <v>408</v>
      </c>
      <c r="AX9">
        <v>411</v>
      </c>
      <c r="AY9">
        <v>535.18181818181813</v>
      </c>
      <c r="AZ9">
        <v>874.8</v>
      </c>
      <c r="BA9">
        <v>1171</v>
      </c>
      <c r="BB9">
        <v>644.78947368421052</v>
      </c>
      <c r="BD9" t="s">
        <v>27</v>
      </c>
      <c r="BE9">
        <v>30436</v>
      </c>
      <c r="BF9">
        <v>22806</v>
      </c>
      <c r="BG9">
        <v>21911.636363636364</v>
      </c>
      <c r="BH9">
        <v>21795</v>
      </c>
      <c r="BI9">
        <v>24943</v>
      </c>
      <c r="BJ9">
        <v>22536.21052631579</v>
      </c>
      <c r="BL9" t="s">
        <v>27</v>
      </c>
      <c r="BM9">
        <v>5034</v>
      </c>
      <c r="BN9">
        <v>16157</v>
      </c>
      <c r="BO9">
        <v>15545.636363636364</v>
      </c>
      <c r="BP9">
        <v>8212.7999999999993</v>
      </c>
      <c r="BQ9">
        <v>10089</v>
      </c>
      <c r="BR9">
        <v>12807.684210526315</v>
      </c>
      <c r="BT9" t="s">
        <v>27</v>
      </c>
      <c r="BU9">
        <v>222</v>
      </c>
      <c r="BV9">
        <v>2014</v>
      </c>
      <c r="BW9">
        <v>1493.8181818181818</v>
      </c>
      <c r="BX9">
        <v>860</v>
      </c>
      <c r="BY9">
        <v>2133</v>
      </c>
      <c r="BZ9">
        <v>1321.1052631578948</v>
      </c>
      <c r="CB9" t="s">
        <v>27</v>
      </c>
      <c r="CC9">
        <v>32</v>
      </c>
      <c r="CD9">
        <v>2380</v>
      </c>
      <c r="CE9">
        <v>1226.090909090909</v>
      </c>
      <c r="CF9">
        <v>784.6</v>
      </c>
      <c r="CG9">
        <v>2131</v>
      </c>
      <c r="CH9">
        <v>1155.421052631579</v>
      </c>
    </row>
    <row r="10" spans="1:86" x14ac:dyDescent="0.25">
      <c r="A10" s="10" t="s">
        <v>0</v>
      </c>
      <c r="B10" t="b">
        <v>0</v>
      </c>
      <c r="C10" t="b">
        <v>0</v>
      </c>
      <c r="D10" s="1">
        <v>3044</v>
      </c>
      <c r="E10" s="1">
        <v>0</v>
      </c>
      <c r="F10" s="1">
        <v>50</v>
      </c>
      <c r="G10" s="1">
        <v>1870</v>
      </c>
      <c r="H10" s="1">
        <v>0</v>
      </c>
      <c r="I10" s="1">
        <v>0</v>
      </c>
      <c r="J10" s="1">
        <f t="shared" si="1"/>
        <v>4964</v>
      </c>
      <c r="K10" s="1">
        <v>3232</v>
      </c>
      <c r="L10" s="1">
        <v>0</v>
      </c>
      <c r="M10" s="1">
        <v>462</v>
      </c>
      <c r="N10" s="1">
        <f t="shared" si="0"/>
        <v>3694</v>
      </c>
      <c r="O10" s="14">
        <v>1182</v>
      </c>
      <c r="P10" s="17">
        <f t="shared" si="2"/>
        <v>8658</v>
      </c>
      <c r="Q10" s="1">
        <v>0</v>
      </c>
      <c r="R10" s="1">
        <v>0</v>
      </c>
      <c r="S10" s="20">
        <v>37316</v>
      </c>
      <c r="T10" s="1">
        <v>9840</v>
      </c>
      <c r="U10" s="9">
        <v>4964</v>
      </c>
      <c r="V10" s="9" t="s">
        <v>46</v>
      </c>
      <c r="X10" s="6" t="s">
        <v>28</v>
      </c>
      <c r="Y10">
        <v>1247.8947368421052</v>
      </c>
      <c r="AF10" s="6" t="s">
        <v>26</v>
      </c>
      <c r="AG10">
        <v>4994.333333333333</v>
      </c>
      <c r="AH10">
        <v>7646.833333333333</v>
      </c>
      <c r="AI10">
        <v>6723.151515151515</v>
      </c>
      <c r="AJ10">
        <v>4578.5666666666666</v>
      </c>
      <c r="AK10">
        <v>6646.333333333333</v>
      </c>
      <c r="AL10">
        <v>6112.3684210526317</v>
      </c>
      <c r="AN10" t="s">
        <v>26</v>
      </c>
      <c r="AO10">
        <v>7298</v>
      </c>
      <c r="AP10">
        <v>8038</v>
      </c>
      <c r="AQ10">
        <v>5168</v>
      </c>
      <c r="AR10">
        <v>3482.8</v>
      </c>
      <c r="AS10">
        <v>3307</v>
      </c>
      <c r="AT10">
        <v>4889.7368421052633</v>
      </c>
      <c r="AV10" t="s">
        <v>26</v>
      </c>
      <c r="AW10">
        <v>504</v>
      </c>
      <c r="AX10">
        <v>410</v>
      </c>
      <c r="AY10">
        <v>487.36363636363637</v>
      </c>
      <c r="AZ10">
        <v>822.2</v>
      </c>
      <c r="BA10">
        <v>1355</v>
      </c>
      <c r="BB10">
        <v>617.9473684210526</v>
      </c>
      <c r="BD10" t="s">
        <v>26</v>
      </c>
      <c r="BE10">
        <v>15345</v>
      </c>
      <c r="BF10">
        <v>13361</v>
      </c>
      <c r="BG10">
        <v>14416.272727272728</v>
      </c>
      <c r="BH10">
        <v>12423.4</v>
      </c>
      <c r="BI10">
        <v>15152</v>
      </c>
      <c r="BJ10">
        <v>13923.894736842105</v>
      </c>
      <c r="BL10" t="s">
        <v>26</v>
      </c>
      <c r="BM10">
        <v>6011</v>
      </c>
      <c r="BN10">
        <v>18424</v>
      </c>
      <c r="BO10">
        <v>16377.363636363636</v>
      </c>
      <c r="BP10">
        <v>8368.2000000000007</v>
      </c>
      <c r="BQ10">
        <v>13439</v>
      </c>
      <c r="BR10">
        <v>13677.157894736842</v>
      </c>
      <c r="BT10" t="s">
        <v>26</v>
      </c>
      <c r="BU10">
        <v>759</v>
      </c>
      <c r="BV10">
        <v>2958</v>
      </c>
      <c r="BW10">
        <v>2535.7272727272725</v>
      </c>
      <c r="BX10">
        <v>1457.6</v>
      </c>
      <c r="BY10">
        <v>4252</v>
      </c>
      <c r="BZ10">
        <v>2271.0526315789475</v>
      </c>
      <c r="CB10" t="s">
        <v>26</v>
      </c>
      <c r="CC10">
        <v>49</v>
      </c>
      <c r="CD10">
        <v>2690</v>
      </c>
      <c r="CE10">
        <v>1354.1818181818182</v>
      </c>
      <c r="CF10">
        <v>917.2</v>
      </c>
      <c r="CG10">
        <v>2373</v>
      </c>
      <c r="CH10">
        <v>1294.421052631579</v>
      </c>
    </row>
    <row r="11" spans="1:86" x14ac:dyDescent="0.25">
      <c r="A11" s="10" t="s">
        <v>0</v>
      </c>
      <c r="B11" t="b">
        <v>0</v>
      </c>
      <c r="C11" t="b">
        <v>0</v>
      </c>
      <c r="D11" s="1">
        <v>4403</v>
      </c>
      <c r="E11" s="1">
        <v>0</v>
      </c>
      <c r="F11" s="1">
        <v>152</v>
      </c>
      <c r="G11" s="1">
        <v>2026</v>
      </c>
      <c r="H11" s="1">
        <v>0</v>
      </c>
      <c r="I11" s="1">
        <v>58</v>
      </c>
      <c r="J11" s="1">
        <f t="shared" si="1"/>
        <v>6639</v>
      </c>
      <c r="K11" s="1">
        <v>4386</v>
      </c>
      <c r="L11" s="1">
        <v>0</v>
      </c>
      <c r="M11" s="1">
        <v>768</v>
      </c>
      <c r="N11" s="1">
        <f t="shared" si="0"/>
        <v>5154</v>
      </c>
      <c r="O11" s="14">
        <v>1170</v>
      </c>
      <c r="P11" s="17">
        <f t="shared" si="2"/>
        <v>11793</v>
      </c>
      <c r="Q11" s="1">
        <v>0</v>
      </c>
      <c r="R11" s="1">
        <v>0</v>
      </c>
      <c r="S11" s="20">
        <v>37347</v>
      </c>
      <c r="T11" s="1">
        <v>12963</v>
      </c>
      <c r="U11" s="9">
        <v>6639</v>
      </c>
      <c r="V11" s="9" t="s">
        <v>46</v>
      </c>
      <c r="X11" s="6" t="s">
        <v>29</v>
      </c>
      <c r="Y11">
        <v>1330.3157894736842</v>
      </c>
      <c r="AF11" s="6" t="s">
        <v>28</v>
      </c>
      <c r="AG11">
        <v>4815.666666666667</v>
      </c>
      <c r="AH11">
        <v>7627.5</v>
      </c>
      <c r="AI11">
        <v>7679.666666666667</v>
      </c>
      <c r="AJ11">
        <v>5770.5666666666666</v>
      </c>
      <c r="AK11">
        <v>8626.6666666666661</v>
      </c>
      <c r="AL11">
        <v>7073.6315789473683</v>
      </c>
      <c r="AN11" t="s">
        <v>28</v>
      </c>
      <c r="AO11">
        <v>8582</v>
      </c>
      <c r="AP11">
        <v>8717</v>
      </c>
      <c r="AQ11">
        <v>6824.636363636364</v>
      </c>
      <c r="AR11">
        <v>4891</v>
      </c>
      <c r="AS11">
        <v>5869</v>
      </c>
      <c r="AT11">
        <v>6457.5789473684208</v>
      </c>
      <c r="AV11" t="s">
        <v>28</v>
      </c>
      <c r="AW11">
        <v>645</v>
      </c>
      <c r="AX11">
        <v>448</v>
      </c>
      <c r="AY11">
        <v>642.09090909090912</v>
      </c>
      <c r="AZ11">
        <v>790.2</v>
      </c>
      <c r="BA11">
        <v>1087</v>
      </c>
      <c r="BB11">
        <v>694.42105263157896</v>
      </c>
      <c r="BD11" t="s">
        <v>28</v>
      </c>
      <c r="BE11">
        <v>16329</v>
      </c>
      <c r="BF11">
        <v>14327</v>
      </c>
      <c r="BG11">
        <v>18142.272727272728</v>
      </c>
      <c r="BH11">
        <v>17701.2</v>
      </c>
      <c r="BI11">
        <v>24291</v>
      </c>
      <c r="BJ11">
        <v>18053.57894736842</v>
      </c>
      <c r="BL11" t="s">
        <v>28</v>
      </c>
      <c r="BM11">
        <v>2394</v>
      </c>
      <c r="BN11">
        <v>16924</v>
      </c>
      <c r="BO11">
        <v>16019.272727272728</v>
      </c>
      <c r="BP11">
        <v>8337.2000000000007</v>
      </c>
      <c r="BQ11">
        <v>13434</v>
      </c>
      <c r="BR11">
        <v>13192.105263157895</v>
      </c>
      <c r="BT11" t="s">
        <v>28</v>
      </c>
      <c r="BU11">
        <v>854</v>
      </c>
      <c r="BV11">
        <v>2811</v>
      </c>
      <c r="BW11">
        <v>3114.7272727272725</v>
      </c>
      <c r="BX11">
        <v>2094</v>
      </c>
      <c r="BY11">
        <v>4731</v>
      </c>
      <c r="BZ11">
        <v>2796.2105263157896</v>
      </c>
      <c r="CB11" t="s">
        <v>28</v>
      </c>
      <c r="CC11">
        <v>90</v>
      </c>
      <c r="CD11">
        <v>2538</v>
      </c>
      <c r="CE11">
        <v>1335</v>
      </c>
      <c r="CF11">
        <v>809.8</v>
      </c>
      <c r="CG11">
        <v>2348</v>
      </c>
      <c r="CH11">
        <v>1247.8947368421052</v>
      </c>
    </row>
    <row r="12" spans="1:86" x14ac:dyDescent="0.25">
      <c r="A12" s="10" t="s">
        <v>0</v>
      </c>
      <c r="B12" t="b">
        <v>0</v>
      </c>
      <c r="C12" t="b">
        <v>0</v>
      </c>
      <c r="D12" s="1">
        <v>7019</v>
      </c>
      <c r="E12" s="1">
        <v>0</v>
      </c>
      <c r="F12" s="1">
        <v>215</v>
      </c>
      <c r="G12" s="1">
        <v>1955</v>
      </c>
      <c r="H12" s="1">
        <v>0</v>
      </c>
      <c r="I12" s="1">
        <v>63</v>
      </c>
      <c r="J12" s="1">
        <f t="shared" si="1"/>
        <v>9252</v>
      </c>
      <c r="K12" s="1">
        <v>5055</v>
      </c>
      <c r="L12" s="1">
        <v>0</v>
      </c>
      <c r="M12" s="1">
        <v>1583</v>
      </c>
      <c r="N12" s="1">
        <f t="shared" si="0"/>
        <v>6638</v>
      </c>
      <c r="O12" s="14">
        <v>0</v>
      </c>
      <c r="P12" s="17">
        <f t="shared" si="2"/>
        <v>15890</v>
      </c>
      <c r="Q12" s="1">
        <v>0</v>
      </c>
      <c r="R12" s="1">
        <v>0</v>
      </c>
      <c r="S12" s="20">
        <v>37377</v>
      </c>
      <c r="T12" s="1">
        <v>15890</v>
      </c>
      <c r="U12" s="9">
        <v>9252</v>
      </c>
      <c r="V12" s="9" t="s">
        <v>46</v>
      </c>
      <c r="X12" s="6" t="s">
        <v>30</v>
      </c>
      <c r="Y12">
        <v>1212.5263157894738</v>
      </c>
      <c r="AF12" s="6" t="s">
        <v>29</v>
      </c>
      <c r="AG12">
        <v>6464.833333333333</v>
      </c>
      <c r="AH12">
        <v>10536.166666666666</v>
      </c>
      <c r="AI12">
        <v>9995.9696969696961</v>
      </c>
      <c r="AJ12">
        <v>8087.4</v>
      </c>
      <c r="AK12">
        <v>16103.333333333334</v>
      </c>
      <c r="AL12">
        <v>9657.7368421052633</v>
      </c>
      <c r="AN12" t="s">
        <v>29</v>
      </c>
      <c r="AO12">
        <v>10989</v>
      </c>
      <c r="AP12">
        <v>15213</v>
      </c>
      <c r="AQ12">
        <v>10183.818181818182</v>
      </c>
      <c r="AR12">
        <v>6423.2</v>
      </c>
      <c r="AS12">
        <v>10191</v>
      </c>
      <c r="AT12">
        <v>9501.6315789473683</v>
      </c>
      <c r="AV12" t="s">
        <v>29</v>
      </c>
      <c r="AW12">
        <v>1007</v>
      </c>
      <c r="AX12">
        <v>899</v>
      </c>
      <c r="AY12">
        <v>1090.2727272727273</v>
      </c>
      <c r="AZ12">
        <v>1085</v>
      </c>
      <c r="BA12">
        <v>2046</v>
      </c>
      <c r="BB12">
        <v>1124.7368421052631</v>
      </c>
      <c r="BD12" t="s">
        <v>29</v>
      </c>
      <c r="BE12">
        <v>19147</v>
      </c>
      <c r="BF12">
        <v>21373</v>
      </c>
      <c r="BG12">
        <v>25136.909090909092</v>
      </c>
      <c r="BH12">
        <v>23136.400000000001</v>
      </c>
      <c r="BI12">
        <v>59075</v>
      </c>
      <c r="BJ12">
        <v>25883.315789473683</v>
      </c>
      <c r="BL12" t="s">
        <v>29</v>
      </c>
      <c r="BM12">
        <v>5847</v>
      </c>
      <c r="BN12">
        <v>17789</v>
      </c>
      <c r="BO12">
        <v>16910.636363636364</v>
      </c>
      <c r="BP12">
        <v>11359.8</v>
      </c>
      <c r="BQ12">
        <v>17999</v>
      </c>
      <c r="BR12">
        <v>14971.105263157895</v>
      </c>
      <c r="BT12" t="s">
        <v>29</v>
      </c>
      <c r="BU12">
        <v>1602</v>
      </c>
      <c r="BV12">
        <v>5312</v>
      </c>
      <c r="BW12">
        <v>5262.181818181818</v>
      </c>
      <c r="BX12">
        <v>5568.8</v>
      </c>
      <c r="BY12">
        <v>4929</v>
      </c>
      <c r="BZ12">
        <v>5135.3157894736842</v>
      </c>
      <c r="CB12" t="s">
        <v>29</v>
      </c>
      <c r="CC12">
        <v>197</v>
      </c>
      <c r="CD12">
        <v>2631</v>
      </c>
      <c r="CE12">
        <v>1392</v>
      </c>
      <c r="CF12">
        <v>951.2</v>
      </c>
      <c r="CG12">
        <v>2380</v>
      </c>
      <c r="CH12">
        <v>1330.3157894736842</v>
      </c>
    </row>
    <row r="13" spans="1:86" x14ac:dyDescent="0.25">
      <c r="A13" s="10" t="s">
        <v>0</v>
      </c>
      <c r="B13" t="b">
        <v>0</v>
      </c>
      <c r="C13" t="b">
        <v>0</v>
      </c>
      <c r="D13" s="1">
        <v>7434</v>
      </c>
      <c r="E13" s="1">
        <v>0</v>
      </c>
      <c r="F13" s="1">
        <v>399</v>
      </c>
      <c r="G13" s="1">
        <v>2591</v>
      </c>
      <c r="H13" s="1">
        <v>0</v>
      </c>
      <c r="I13" s="1">
        <v>100</v>
      </c>
      <c r="J13" s="1">
        <f t="shared" si="1"/>
        <v>10524</v>
      </c>
      <c r="K13" s="1">
        <v>5253</v>
      </c>
      <c r="L13" s="1">
        <v>0</v>
      </c>
      <c r="M13" s="1">
        <v>1645</v>
      </c>
      <c r="N13" s="1">
        <f t="shared" si="0"/>
        <v>6898</v>
      </c>
      <c r="O13" s="14">
        <v>0</v>
      </c>
      <c r="P13" s="17">
        <f t="shared" si="2"/>
        <v>17422</v>
      </c>
      <c r="Q13" s="1">
        <v>0</v>
      </c>
      <c r="R13" s="1">
        <v>0</v>
      </c>
      <c r="S13" s="20">
        <v>37408</v>
      </c>
      <c r="T13" s="1">
        <v>17422</v>
      </c>
      <c r="U13" s="9">
        <v>10524</v>
      </c>
      <c r="V13" s="9" t="s">
        <v>46</v>
      </c>
      <c r="X13" s="6" t="s">
        <v>33</v>
      </c>
      <c r="Y13">
        <v>1154.6666666666667</v>
      </c>
      <c r="AF13" s="6" t="s">
        <v>30</v>
      </c>
      <c r="AG13">
        <v>8061</v>
      </c>
      <c r="AH13">
        <v>13571</v>
      </c>
      <c r="AI13">
        <v>9324.954545454546</v>
      </c>
      <c r="AJ13">
        <v>8284.7999999999993</v>
      </c>
      <c r="AK13">
        <v>9651.5</v>
      </c>
      <c r="AL13">
        <v>9225.3684210526317</v>
      </c>
      <c r="AN13" t="s">
        <v>30</v>
      </c>
      <c r="AO13">
        <v>9060</v>
      </c>
      <c r="AP13">
        <v>16549</v>
      </c>
      <c r="AQ13">
        <v>11150.09090909091</v>
      </c>
      <c r="AR13">
        <v>7532</v>
      </c>
      <c r="AS13">
        <v>9673</v>
      </c>
      <c r="AT13">
        <v>10294.368421052632</v>
      </c>
      <c r="AV13" t="s">
        <v>30</v>
      </c>
      <c r="AW13">
        <v>544</v>
      </c>
      <c r="AX13">
        <v>851</v>
      </c>
      <c r="AY13">
        <v>817.27272727272725</v>
      </c>
      <c r="AZ13">
        <v>1017.2</v>
      </c>
      <c r="BA13">
        <v>2109</v>
      </c>
      <c r="BB13">
        <v>925.26315789473688</v>
      </c>
      <c r="BD13" t="s">
        <v>30</v>
      </c>
      <c r="BE13">
        <v>23841</v>
      </c>
      <c r="BF13">
        <v>37029</v>
      </c>
      <c r="BG13">
        <v>17896.090909090908</v>
      </c>
      <c r="BH13">
        <v>20037.599999999999</v>
      </c>
      <c r="BI13">
        <v>21682</v>
      </c>
      <c r="BJ13">
        <v>19978.78947368421</v>
      </c>
      <c r="BL13" t="s">
        <v>30</v>
      </c>
      <c r="BM13">
        <v>6315</v>
      </c>
      <c r="BN13">
        <v>17036</v>
      </c>
      <c r="BO13">
        <v>16182.727272727272</v>
      </c>
      <c r="BP13">
        <v>12395.8</v>
      </c>
      <c r="BQ13">
        <v>13210</v>
      </c>
      <c r="BR13">
        <v>14555.263157894737</v>
      </c>
      <c r="BT13" t="s">
        <v>30</v>
      </c>
      <c r="BU13">
        <v>8513</v>
      </c>
      <c r="BV13">
        <v>7213</v>
      </c>
      <c r="BW13">
        <v>8526.454545454546</v>
      </c>
      <c r="BX13">
        <v>7768.4</v>
      </c>
      <c r="BY13">
        <v>10975</v>
      </c>
      <c r="BZ13">
        <v>8386</v>
      </c>
      <c r="CB13" t="s">
        <v>30</v>
      </c>
      <c r="CC13">
        <v>93</v>
      </c>
      <c r="CD13">
        <v>2748</v>
      </c>
      <c r="CE13">
        <v>1377.090909090909</v>
      </c>
      <c r="CF13">
        <v>957.8</v>
      </c>
      <c r="CG13">
        <v>260</v>
      </c>
      <c r="CH13">
        <v>1212.5263157894738</v>
      </c>
    </row>
    <row r="14" spans="1:86" x14ac:dyDescent="0.25">
      <c r="A14" s="10" t="s">
        <v>0</v>
      </c>
      <c r="B14" t="b">
        <v>0</v>
      </c>
      <c r="C14" t="b">
        <v>0</v>
      </c>
      <c r="D14" s="1">
        <v>11265</v>
      </c>
      <c r="E14" s="1">
        <v>0</v>
      </c>
      <c r="F14" s="1">
        <v>479</v>
      </c>
      <c r="G14" s="1">
        <v>2385</v>
      </c>
      <c r="H14" s="1">
        <v>0</v>
      </c>
      <c r="I14" s="1">
        <v>0</v>
      </c>
      <c r="J14" s="1">
        <f t="shared" si="1"/>
        <v>14129</v>
      </c>
      <c r="K14" s="1">
        <v>6053</v>
      </c>
      <c r="L14" s="1">
        <v>0</v>
      </c>
      <c r="M14" s="1">
        <v>2363</v>
      </c>
      <c r="N14" s="1">
        <f t="shared" si="0"/>
        <v>8416</v>
      </c>
      <c r="O14" s="14">
        <v>1028</v>
      </c>
      <c r="P14" s="17">
        <f t="shared" si="2"/>
        <v>22545</v>
      </c>
      <c r="Q14" s="1">
        <v>0</v>
      </c>
      <c r="R14" s="1">
        <v>0</v>
      </c>
      <c r="S14" s="20">
        <v>37438</v>
      </c>
      <c r="T14" s="1">
        <v>23573</v>
      </c>
      <c r="U14" s="9">
        <v>14129</v>
      </c>
      <c r="V14" s="9" t="s">
        <v>46</v>
      </c>
      <c r="X14" s="6" t="s">
        <v>31</v>
      </c>
      <c r="Y14">
        <v>1182.1904761904761</v>
      </c>
      <c r="AF14" s="6" t="s">
        <v>33</v>
      </c>
      <c r="AG14">
        <v>8878.8333333333339</v>
      </c>
      <c r="AH14">
        <v>11042.333333333334</v>
      </c>
      <c r="AI14">
        <v>10741.875</v>
      </c>
      <c r="AJ14">
        <v>7136.916666666667</v>
      </c>
      <c r="AK14">
        <v>14505.166666666666</v>
      </c>
      <c r="AL14">
        <v>9816.6825396825388</v>
      </c>
      <c r="AN14" t="s">
        <v>33</v>
      </c>
      <c r="AO14">
        <v>11348</v>
      </c>
      <c r="AP14">
        <v>20575</v>
      </c>
      <c r="AQ14">
        <v>15930.583333333334</v>
      </c>
      <c r="AR14">
        <v>7993.666666666667</v>
      </c>
      <c r="AS14">
        <v>17362</v>
      </c>
      <c r="AT14">
        <v>13734</v>
      </c>
      <c r="AV14" t="s">
        <v>33</v>
      </c>
      <c r="AW14">
        <v>545</v>
      </c>
      <c r="AX14">
        <v>701</v>
      </c>
      <c r="AY14">
        <v>697.41666666666663</v>
      </c>
      <c r="AZ14">
        <v>784</v>
      </c>
      <c r="BA14">
        <v>4521</v>
      </c>
      <c r="BB14">
        <v>897.14285714285711</v>
      </c>
      <c r="BD14" t="s">
        <v>33</v>
      </c>
      <c r="BE14">
        <v>25994</v>
      </c>
      <c r="BF14">
        <v>18087</v>
      </c>
      <c r="BG14">
        <v>20357.5</v>
      </c>
      <c r="BH14">
        <v>15260.666666666666</v>
      </c>
      <c r="BI14">
        <v>32832</v>
      </c>
      <c r="BJ14">
        <v>19655.571428571428</v>
      </c>
      <c r="BL14" t="s">
        <v>33</v>
      </c>
      <c r="BM14">
        <v>8230</v>
      </c>
      <c r="BN14">
        <v>16207</v>
      </c>
      <c r="BO14">
        <v>17524.416666666668</v>
      </c>
      <c r="BP14">
        <v>10166.833333333334</v>
      </c>
      <c r="BQ14">
        <v>13104</v>
      </c>
      <c r="BR14">
        <v>14706.428571428571</v>
      </c>
      <c r="BT14" t="s">
        <v>33</v>
      </c>
      <c r="BU14">
        <v>6671</v>
      </c>
      <c r="BV14">
        <v>7498</v>
      </c>
      <c r="BW14">
        <v>8635.8333333333339</v>
      </c>
      <c r="BX14">
        <v>7833.666666666667</v>
      </c>
      <c r="BY14">
        <v>18997</v>
      </c>
      <c r="BZ14">
        <v>8752.2857142857138</v>
      </c>
      <c r="CB14" t="s">
        <v>33</v>
      </c>
      <c r="CC14">
        <v>485</v>
      </c>
      <c r="CD14">
        <v>3186</v>
      </c>
      <c r="CE14">
        <v>1305.5</v>
      </c>
      <c r="CF14">
        <v>782.66666666666663</v>
      </c>
      <c r="CG14">
        <v>215</v>
      </c>
      <c r="CH14">
        <v>1154.6666666666667</v>
      </c>
    </row>
    <row r="15" spans="1:86" x14ac:dyDescent="0.25">
      <c r="A15" s="10" t="s">
        <v>0</v>
      </c>
      <c r="B15" t="b">
        <v>0</v>
      </c>
      <c r="C15" t="b">
        <v>0</v>
      </c>
      <c r="D15" s="1">
        <v>10996</v>
      </c>
      <c r="E15" s="1">
        <v>0</v>
      </c>
      <c r="F15" s="1">
        <v>242</v>
      </c>
      <c r="G15" s="1">
        <v>2298</v>
      </c>
      <c r="H15" s="1">
        <v>0</v>
      </c>
      <c r="I15" s="1">
        <v>0</v>
      </c>
      <c r="J15" s="1">
        <f t="shared" si="1"/>
        <v>13536</v>
      </c>
      <c r="K15" s="1">
        <v>6132</v>
      </c>
      <c r="L15" s="1">
        <v>0</v>
      </c>
      <c r="M15" s="1">
        <v>2950</v>
      </c>
      <c r="N15" s="1">
        <f t="shared" si="0"/>
        <v>9082</v>
      </c>
      <c r="O15" s="14">
        <v>1422</v>
      </c>
      <c r="P15" s="17">
        <f t="shared" si="2"/>
        <v>22618</v>
      </c>
      <c r="Q15" s="1">
        <v>0</v>
      </c>
      <c r="R15" s="1">
        <v>0</v>
      </c>
      <c r="S15" s="20">
        <v>37469</v>
      </c>
      <c r="T15" s="1">
        <v>24040</v>
      </c>
      <c r="U15" s="9">
        <v>13536</v>
      </c>
      <c r="V15" s="9" t="s">
        <v>46</v>
      </c>
      <c r="X15" s="6" t="s">
        <v>32</v>
      </c>
      <c r="Y15">
        <v>1138.9000000000001</v>
      </c>
      <c r="AF15" s="6" t="s">
        <v>31</v>
      </c>
      <c r="AG15">
        <v>9085.5</v>
      </c>
      <c r="AH15">
        <v>12440.333333333334</v>
      </c>
      <c r="AI15">
        <v>10468.875</v>
      </c>
      <c r="AJ15">
        <v>7529.8888888888887</v>
      </c>
      <c r="AK15">
        <v>12741.333333333334</v>
      </c>
      <c r="AL15">
        <v>9765.3809523809523</v>
      </c>
      <c r="AN15" t="s">
        <v>31</v>
      </c>
      <c r="AO15">
        <v>8464</v>
      </c>
      <c r="AP15">
        <v>20595</v>
      </c>
      <c r="AQ15">
        <v>13460.333333333334</v>
      </c>
      <c r="AR15">
        <v>9116.6666666666661</v>
      </c>
      <c r="AS15">
        <v>11004</v>
      </c>
      <c r="AT15">
        <v>12204.142857142857</v>
      </c>
      <c r="AV15" t="s">
        <v>31</v>
      </c>
      <c r="AW15">
        <v>646</v>
      </c>
      <c r="AX15">
        <v>1280</v>
      </c>
      <c r="AY15">
        <v>1085.8333333333333</v>
      </c>
      <c r="AZ15">
        <v>708.66666666666663</v>
      </c>
      <c r="BA15">
        <v>4152</v>
      </c>
      <c r="BB15">
        <v>1112.3809523809523</v>
      </c>
      <c r="BD15" t="s">
        <v>31</v>
      </c>
      <c r="BE15">
        <v>32241</v>
      </c>
      <c r="BF15">
        <v>26815</v>
      </c>
      <c r="BG15">
        <v>20885.666666666668</v>
      </c>
      <c r="BH15">
        <v>17037</v>
      </c>
      <c r="BI15">
        <v>30696</v>
      </c>
      <c r="BJ15">
        <v>21076.285714285714</v>
      </c>
      <c r="BL15" t="s">
        <v>31</v>
      </c>
      <c r="BM15">
        <v>6148</v>
      </c>
      <c r="BN15">
        <v>15094</v>
      </c>
      <c r="BO15">
        <v>18096.416666666668</v>
      </c>
      <c r="BP15">
        <v>11754.166666666666</v>
      </c>
      <c r="BQ15">
        <v>16653</v>
      </c>
      <c r="BR15">
        <v>15503.666666666666</v>
      </c>
      <c r="BT15" t="s">
        <v>31</v>
      </c>
      <c r="BU15">
        <v>6750</v>
      </c>
      <c r="BV15">
        <v>7828</v>
      </c>
      <c r="BW15">
        <v>7869</v>
      </c>
      <c r="BX15">
        <v>5841.166666666667</v>
      </c>
      <c r="BY15">
        <v>13733</v>
      </c>
      <c r="BZ15">
        <v>7513.6190476190477</v>
      </c>
      <c r="CB15" t="s">
        <v>31</v>
      </c>
      <c r="CC15">
        <v>264</v>
      </c>
      <c r="CD15">
        <v>3030</v>
      </c>
      <c r="CE15">
        <v>1416</v>
      </c>
      <c r="CF15">
        <v>721.66666666666663</v>
      </c>
      <c r="CG15">
        <v>210</v>
      </c>
      <c r="CH15">
        <v>1182.1904761904761</v>
      </c>
    </row>
    <row r="16" spans="1:86" x14ac:dyDescent="0.25">
      <c r="A16" s="10" t="s">
        <v>0</v>
      </c>
      <c r="B16" t="b">
        <v>0</v>
      </c>
      <c r="C16" t="b">
        <v>0</v>
      </c>
      <c r="D16" s="1">
        <v>9190</v>
      </c>
      <c r="E16" s="1">
        <v>0</v>
      </c>
      <c r="F16" s="1">
        <v>232</v>
      </c>
      <c r="G16" s="1">
        <v>1965</v>
      </c>
      <c r="H16" s="1">
        <v>0</v>
      </c>
      <c r="I16" s="1">
        <v>25</v>
      </c>
      <c r="J16" s="1">
        <f t="shared" si="1"/>
        <v>11412</v>
      </c>
      <c r="K16" s="1">
        <v>4827</v>
      </c>
      <c r="L16" s="1">
        <v>0</v>
      </c>
      <c r="M16" s="1">
        <v>1408</v>
      </c>
      <c r="N16" s="1">
        <f t="shared" si="0"/>
        <v>6235</v>
      </c>
      <c r="O16" s="14">
        <v>1629</v>
      </c>
      <c r="P16" s="17">
        <f t="shared" si="2"/>
        <v>17647</v>
      </c>
      <c r="Q16" s="1">
        <v>0</v>
      </c>
      <c r="R16" s="1">
        <v>0</v>
      </c>
      <c r="S16" s="20">
        <v>37500</v>
      </c>
      <c r="T16" s="1">
        <v>19276</v>
      </c>
      <c r="U16" s="9">
        <v>11412</v>
      </c>
      <c r="V16" s="9" t="s">
        <v>46</v>
      </c>
      <c r="X16" s="6" t="s">
        <v>22</v>
      </c>
      <c r="Y16">
        <v>989.25</v>
      </c>
      <c r="AF16" s="6" t="s">
        <v>32</v>
      </c>
      <c r="AG16">
        <v>10421</v>
      </c>
      <c r="AH16">
        <v>7486.5</v>
      </c>
      <c r="AI16">
        <v>10682.5</v>
      </c>
      <c r="AJ16">
        <v>12030.366666666667</v>
      </c>
      <c r="AK16">
        <v>19051.333333333332</v>
      </c>
      <c r="AL16">
        <v>11265.033333333333</v>
      </c>
      <c r="AN16" t="s">
        <v>32</v>
      </c>
      <c r="AO16">
        <v>7191</v>
      </c>
      <c r="AP16">
        <v>12564</v>
      </c>
      <c r="AQ16">
        <v>11081.416666666666</v>
      </c>
      <c r="AR16">
        <v>7596.8</v>
      </c>
      <c r="AS16">
        <v>11111</v>
      </c>
      <c r="AT16">
        <v>10091.35</v>
      </c>
      <c r="AV16" t="s">
        <v>32</v>
      </c>
      <c r="AW16">
        <v>604</v>
      </c>
      <c r="AX16">
        <v>894</v>
      </c>
      <c r="AY16">
        <v>812.16666666666663</v>
      </c>
      <c r="AZ16">
        <v>834</v>
      </c>
      <c r="BA16">
        <v>685</v>
      </c>
      <c r="BB16">
        <v>804.95</v>
      </c>
      <c r="BD16" t="s">
        <v>32</v>
      </c>
      <c r="BE16">
        <v>44804</v>
      </c>
      <c r="BF16">
        <v>11627</v>
      </c>
      <c r="BG16">
        <v>27661.166666666668</v>
      </c>
      <c r="BH16">
        <v>44775</v>
      </c>
      <c r="BI16">
        <v>70526</v>
      </c>
      <c r="BJ16">
        <v>34138.300000000003</v>
      </c>
      <c r="BL16" t="s">
        <v>32</v>
      </c>
      <c r="BM16">
        <v>6638</v>
      </c>
      <c r="BN16">
        <v>13339</v>
      </c>
      <c r="BO16">
        <v>18201.916666666668</v>
      </c>
      <c r="BP16">
        <v>13733.2</v>
      </c>
      <c r="BQ16">
        <v>20774</v>
      </c>
      <c r="BR16">
        <v>16392</v>
      </c>
      <c r="BT16" t="s">
        <v>32</v>
      </c>
      <c r="BU16">
        <v>3085</v>
      </c>
      <c r="BV16">
        <v>3752</v>
      </c>
      <c r="BW16">
        <v>5049.833333333333</v>
      </c>
      <c r="BX16">
        <v>4435</v>
      </c>
      <c r="BY16">
        <v>10884</v>
      </c>
      <c r="BZ16">
        <v>5024.7</v>
      </c>
      <c r="CB16" t="s">
        <v>32</v>
      </c>
      <c r="CC16">
        <v>204</v>
      </c>
      <c r="CD16">
        <v>2743</v>
      </c>
      <c r="CE16">
        <v>1288.5</v>
      </c>
      <c r="CF16">
        <v>808.2</v>
      </c>
      <c r="CG16">
        <v>328</v>
      </c>
      <c r="CH16">
        <v>1138.9000000000001</v>
      </c>
    </row>
    <row r="17" spans="1:86" x14ac:dyDescent="0.25">
      <c r="A17" s="10" t="s">
        <v>0</v>
      </c>
      <c r="B17" t="b">
        <v>0</v>
      </c>
      <c r="C17" t="b">
        <v>0</v>
      </c>
      <c r="D17" s="1">
        <v>7274</v>
      </c>
      <c r="E17" s="1">
        <v>0</v>
      </c>
      <c r="F17" s="1">
        <v>154</v>
      </c>
      <c r="G17" s="1">
        <v>1793</v>
      </c>
      <c r="H17" s="1">
        <v>0</v>
      </c>
      <c r="I17" s="1">
        <v>0</v>
      </c>
      <c r="J17" s="1">
        <f t="shared" si="1"/>
        <v>9221</v>
      </c>
      <c r="K17" s="1">
        <v>4692</v>
      </c>
      <c r="L17" s="1">
        <v>0</v>
      </c>
      <c r="M17" s="1">
        <v>894</v>
      </c>
      <c r="N17" s="1">
        <f t="shared" si="0"/>
        <v>5586</v>
      </c>
      <c r="O17" s="14">
        <v>1630</v>
      </c>
      <c r="P17" s="17">
        <f t="shared" si="2"/>
        <v>14807</v>
      </c>
      <c r="Q17" s="1">
        <v>0</v>
      </c>
      <c r="R17" s="1">
        <v>0</v>
      </c>
      <c r="S17" s="20">
        <v>37530</v>
      </c>
      <c r="T17" s="1">
        <v>16437</v>
      </c>
      <c r="U17" s="9">
        <v>9221</v>
      </c>
      <c r="V17" s="9" t="s">
        <v>46</v>
      </c>
      <c r="X17" s="6" t="s">
        <v>23</v>
      </c>
      <c r="Y17">
        <v>895.35</v>
      </c>
      <c r="AF17" s="6" t="s">
        <v>22</v>
      </c>
      <c r="AG17">
        <v>6676</v>
      </c>
      <c r="AH17">
        <v>6806.833333333333</v>
      </c>
      <c r="AI17">
        <v>7305.1805555555557</v>
      </c>
      <c r="AJ17">
        <v>5845.0333333333338</v>
      </c>
      <c r="AK17">
        <v>8443.5</v>
      </c>
      <c r="AL17">
        <v>6940.6833333333334</v>
      </c>
      <c r="AN17" t="s">
        <v>22</v>
      </c>
      <c r="AO17">
        <v>6056</v>
      </c>
      <c r="AP17">
        <v>9405</v>
      </c>
      <c r="AQ17">
        <v>7822.833333333333</v>
      </c>
      <c r="AR17">
        <v>4915.6000000000004</v>
      </c>
      <c r="AS17">
        <v>7209</v>
      </c>
      <c r="AT17">
        <v>7056.1</v>
      </c>
      <c r="AV17" t="s">
        <v>22</v>
      </c>
      <c r="AW17">
        <v>476</v>
      </c>
      <c r="AX17">
        <v>754</v>
      </c>
      <c r="AY17">
        <v>733</v>
      </c>
      <c r="AZ17">
        <v>708.8</v>
      </c>
      <c r="BA17">
        <v>200</v>
      </c>
      <c r="BB17">
        <v>688.5</v>
      </c>
      <c r="BD17" t="s">
        <v>22</v>
      </c>
      <c r="BE17">
        <v>26114</v>
      </c>
      <c r="BF17">
        <v>10576</v>
      </c>
      <c r="BG17">
        <v>14194.25</v>
      </c>
      <c r="BH17">
        <v>15362</v>
      </c>
      <c r="BI17">
        <v>23014</v>
      </c>
      <c r="BJ17">
        <v>15342.25</v>
      </c>
      <c r="BL17" t="s">
        <v>22</v>
      </c>
      <c r="BM17">
        <v>6066</v>
      </c>
      <c r="BN17">
        <v>14499</v>
      </c>
      <c r="BO17">
        <v>17529.833333333332</v>
      </c>
      <c r="BP17">
        <v>12247.6</v>
      </c>
      <c r="BQ17">
        <v>15153</v>
      </c>
      <c r="BR17">
        <v>15365.7</v>
      </c>
      <c r="BT17" t="s">
        <v>22</v>
      </c>
      <c r="BU17">
        <v>1130</v>
      </c>
      <c r="BV17">
        <v>3029</v>
      </c>
      <c r="BW17">
        <v>2269.6666666666665</v>
      </c>
      <c r="BX17">
        <v>1580.8</v>
      </c>
      <c r="BY17">
        <v>4747</v>
      </c>
      <c r="BZ17">
        <v>2202.3000000000002</v>
      </c>
      <c r="CB17" t="s">
        <v>22</v>
      </c>
      <c r="CC17">
        <v>214</v>
      </c>
      <c r="CD17">
        <v>2578</v>
      </c>
      <c r="CE17">
        <v>1281.5</v>
      </c>
      <c r="CF17">
        <v>255.4</v>
      </c>
      <c r="CG17">
        <v>338</v>
      </c>
      <c r="CH17">
        <v>989.25</v>
      </c>
    </row>
    <row r="18" spans="1:86" x14ac:dyDescent="0.25">
      <c r="A18" s="10" t="s">
        <v>0</v>
      </c>
      <c r="B18" t="b">
        <v>0</v>
      </c>
      <c r="C18" t="b">
        <v>0</v>
      </c>
      <c r="D18" s="1">
        <v>5988</v>
      </c>
      <c r="E18" s="1">
        <v>0</v>
      </c>
      <c r="F18" s="1">
        <v>0</v>
      </c>
      <c r="G18" s="1">
        <v>1519</v>
      </c>
      <c r="H18" s="1">
        <v>0</v>
      </c>
      <c r="I18" s="1">
        <v>0</v>
      </c>
      <c r="J18" s="1">
        <f t="shared" si="1"/>
        <v>7507</v>
      </c>
      <c r="K18" s="1">
        <v>2610</v>
      </c>
      <c r="L18" s="1">
        <v>0</v>
      </c>
      <c r="M18" s="1">
        <v>328</v>
      </c>
      <c r="N18" s="1">
        <f t="shared" si="0"/>
        <v>2938</v>
      </c>
      <c r="O18" s="14">
        <v>1800</v>
      </c>
      <c r="P18" s="17">
        <f t="shared" si="2"/>
        <v>10445</v>
      </c>
      <c r="Q18" s="1">
        <v>0</v>
      </c>
      <c r="R18" s="1">
        <v>0</v>
      </c>
      <c r="S18" s="20">
        <v>37561</v>
      </c>
      <c r="T18" s="1">
        <v>12245</v>
      </c>
      <c r="U18" s="9">
        <v>7507</v>
      </c>
      <c r="V18" s="9" t="s">
        <v>46</v>
      </c>
      <c r="X18" s="6" t="s">
        <v>24</v>
      </c>
      <c r="Y18">
        <v>1022.1</v>
      </c>
      <c r="AF18" s="6" t="s">
        <v>23</v>
      </c>
      <c r="AG18">
        <v>3767.5</v>
      </c>
      <c r="AH18">
        <v>6618.5</v>
      </c>
      <c r="AI18">
        <v>6247.4305555555557</v>
      </c>
      <c r="AJ18">
        <v>5288.6333333333332</v>
      </c>
      <c r="AK18">
        <v>7113</v>
      </c>
      <c r="AL18">
        <v>5945.5666666666666</v>
      </c>
      <c r="AN18" t="s">
        <v>23</v>
      </c>
      <c r="AO18">
        <v>4996</v>
      </c>
      <c r="AP18">
        <v>3209</v>
      </c>
      <c r="AQ18">
        <v>6303</v>
      </c>
      <c r="AR18">
        <v>5276.6</v>
      </c>
      <c r="AS18">
        <v>5155</v>
      </c>
      <c r="AT18">
        <v>5768.95</v>
      </c>
      <c r="AV18" t="s">
        <v>23</v>
      </c>
      <c r="AW18">
        <v>502</v>
      </c>
      <c r="AX18">
        <v>337</v>
      </c>
      <c r="AY18">
        <v>511.25</v>
      </c>
      <c r="AZ18">
        <v>708.4</v>
      </c>
      <c r="BA18">
        <v>566</v>
      </c>
      <c r="BB18">
        <v>554.1</v>
      </c>
      <c r="BD18" t="s">
        <v>23</v>
      </c>
      <c r="BE18">
        <v>10952</v>
      </c>
      <c r="BF18">
        <v>13099</v>
      </c>
      <c r="BG18">
        <v>13515.833333333334</v>
      </c>
      <c r="BH18">
        <v>14655.6</v>
      </c>
      <c r="BI18">
        <v>17976</v>
      </c>
      <c r="BJ18">
        <v>13874.75</v>
      </c>
      <c r="BL18" t="s">
        <v>23</v>
      </c>
      <c r="BM18">
        <v>5510</v>
      </c>
      <c r="BN18">
        <v>18648</v>
      </c>
      <c r="BO18">
        <v>14408.75</v>
      </c>
      <c r="BP18">
        <v>10084</v>
      </c>
      <c r="BQ18">
        <v>14365</v>
      </c>
      <c r="BR18">
        <v>13092.4</v>
      </c>
      <c r="BT18" t="s">
        <v>23</v>
      </c>
      <c r="BU18">
        <v>514</v>
      </c>
      <c r="BV18">
        <v>2045</v>
      </c>
      <c r="BW18">
        <v>1564.6666666666667</v>
      </c>
      <c r="BX18">
        <v>837.4</v>
      </c>
      <c r="BY18">
        <v>4235</v>
      </c>
      <c r="BZ18">
        <v>1487.85</v>
      </c>
      <c r="CB18" t="s">
        <v>23</v>
      </c>
      <c r="CC18">
        <v>131</v>
      </c>
      <c r="CD18">
        <v>2373</v>
      </c>
      <c r="CE18">
        <v>1181.0833333333333</v>
      </c>
      <c r="CF18">
        <v>169.8</v>
      </c>
      <c r="CG18">
        <v>381</v>
      </c>
      <c r="CH18">
        <v>895.35</v>
      </c>
    </row>
    <row r="19" spans="1:86" x14ac:dyDescent="0.25">
      <c r="A19" s="10" t="s">
        <v>0</v>
      </c>
      <c r="B19" t="b">
        <v>0</v>
      </c>
      <c r="C19" t="b">
        <v>0</v>
      </c>
      <c r="D19" s="1">
        <v>2303</v>
      </c>
      <c r="E19" s="1">
        <v>0</v>
      </c>
      <c r="F19" s="1">
        <v>0</v>
      </c>
      <c r="G19" s="1">
        <v>986</v>
      </c>
      <c r="H19" s="1">
        <v>0</v>
      </c>
      <c r="I19" s="1">
        <v>40</v>
      </c>
      <c r="J19" s="1">
        <f t="shared" si="1"/>
        <v>3329</v>
      </c>
      <c r="K19" s="1">
        <v>613</v>
      </c>
      <c r="L19" s="1">
        <v>0</v>
      </c>
      <c r="M19" s="1">
        <v>0</v>
      </c>
      <c r="N19" s="1">
        <f t="shared" si="0"/>
        <v>613</v>
      </c>
      <c r="O19" s="14">
        <v>806</v>
      </c>
      <c r="P19" s="17">
        <f t="shared" si="2"/>
        <v>3942</v>
      </c>
      <c r="Q19" s="1">
        <v>0</v>
      </c>
      <c r="R19" s="1">
        <v>0</v>
      </c>
      <c r="S19" s="20">
        <v>37591</v>
      </c>
      <c r="T19" s="1">
        <v>4748</v>
      </c>
      <c r="U19" s="9">
        <v>3329</v>
      </c>
      <c r="V19" s="9" t="s">
        <v>46</v>
      </c>
      <c r="X19" s="6" t="s">
        <v>43</v>
      </c>
      <c r="Y19">
        <v>1134.6779661016949</v>
      </c>
      <c r="AF19" s="6" t="s">
        <v>24</v>
      </c>
      <c r="AG19">
        <v>8013.666666666667</v>
      </c>
      <c r="AH19">
        <v>4193</v>
      </c>
      <c r="AI19">
        <v>6590.125</v>
      </c>
      <c r="AJ19">
        <v>15342.1</v>
      </c>
      <c r="AK19">
        <v>8469.6666666666661</v>
      </c>
      <c r="AL19">
        <v>8823.4166666666661</v>
      </c>
      <c r="AN19" t="s">
        <v>24</v>
      </c>
      <c r="AO19">
        <v>2359</v>
      </c>
      <c r="AP19">
        <v>1710</v>
      </c>
      <c r="AQ19">
        <v>2831.3333333333335</v>
      </c>
      <c r="AR19">
        <v>2114.4</v>
      </c>
      <c r="AS19">
        <v>2227</v>
      </c>
      <c r="AT19">
        <v>2542.1999999999998</v>
      </c>
      <c r="AV19" t="s">
        <v>24</v>
      </c>
      <c r="AW19">
        <v>325</v>
      </c>
      <c r="AX19">
        <v>606</v>
      </c>
      <c r="AY19">
        <v>427.41666666666669</v>
      </c>
      <c r="AZ19">
        <v>415.2</v>
      </c>
      <c r="BA19">
        <v>607</v>
      </c>
      <c r="BB19">
        <v>437.15</v>
      </c>
      <c r="BD19" t="s">
        <v>24</v>
      </c>
      <c r="BE19">
        <v>38918</v>
      </c>
      <c r="BF19">
        <v>9957</v>
      </c>
      <c r="BG19">
        <v>18871.833333333332</v>
      </c>
      <c r="BH19">
        <v>82519</v>
      </c>
      <c r="BI19">
        <v>36306</v>
      </c>
      <c r="BJ19">
        <v>36211.9</v>
      </c>
      <c r="BL19" t="s">
        <v>24</v>
      </c>
      <c r="BM19">
        <v>6300</v>
      </c>
      <c r="BN19">
        <v>8868</v>
      </c>
      <c r="BO19">
        <v>15057.25</v>
      </c>
      <c r="BP19">
        <v>6169.4</v>
      </c>
      <c r="BQ19">
        <v>10797</v>
      </c>
      <c r="BR19">
        <v>11874.95</v>
      </c>
      <c r="BT19" t="s">
        <v>24</v>
      </c>
      <c r="BU19">
        <v>153</v>
      </c>
      <c r="BV19">
        <v>1754</v>
      </c>
      <c r="BW19">
        <v>1012.8333333333334</v>
      </c>
      <c r="BX19">
        <v>470</v>
      </c>
      <c r="BY19">
        <v>633</v>
      </c>
      <c r="BZ19">
        <v>852.2</v>
      </c>
      <c r="CB19" t="s">
        <v>24</v>
      </c>
      <c r="CC19">
        <v>27</v>
      </c>
      <c r="CD19">
        <v>2263</v>
      </c>
      <c r="CE19">
        <v>1340.0833333333333</v>
      </c>
      <c r="CF19">
        <v>364.6</v>
      </c>
      <c r="CG19">
        <v>248</v>
      </c>
      <c r="CH19">
        <v>1022.1</v>
      </c>
    </row>
    <row r="20" spans="1:86" x14ac:dyDescent="0.25">
      <c r="A20" s="10" t="s">
        <v>0</v>
      </c>
      <c r="B20" t="b">
        <v>0</v>
      </c>
      <c r="C20" t="b">
        <v>0</v>
      </c>
      <c r="D20" s="1">
        <v>2400</v>
      </c>
      <c r="E20" s="1">
        <v>0</v>
      </c>
      <c r="F20" s="1">
        <v>0</v>
      </c>
      <c r="G20" s="1">
        <v>939</v>
      </c>
      <c r="H20" s="1">
        <v>0</v>
      </c>
      <c r="I20" s="1">
        <v>0</v>
      </c>
      <c r="J20" s="1">
        <f t="shared" si="1"/>
        <v>3339</v>
      </c>
      <c r="K20" s="1">
        <v>896</v>
      </c>
      <c r="L20" s="1">
        <v>0</v>
      </c>
      <c r="M20" s="1">
        <v>0</v>
      </c>
      <c r="N20" s="1">
        <f t="shared" si="0"/>
        <v>896</v>
      </c>
      <c r="O20" s="14">
        <v>791</v>
      </c>
      <c r="P20" s="17">
        <f t="shared" si="2"/>
        <v>4235</v>
      </c>
      <c r="Q20" s="1">
        <v>0</v>
      </c>
      <c r="R20" s="1">
        <v>0</v>
      </c>
      <c r="S20" s="20">
        <v>37622</v>
      </c>
      <c r="T20" s="1">
        <v>5026</v>
      </c>
      <c r="U20" s="9">
        <v>3339</v>
      </c>
      <c r="V20" s="9" t="s">
        <v>21</v>
      </c>
      <c r="AF20" t="s">
        <v>43</v>
      </c>
      <c r="AG20">
        <v>6802.4722222222226</v>
      </c>
      <c r="AH20">
        <v>8706.1388888888887</v>
      </c>
      <c r="AI20">
        <v>8182.7439613526567</v>
      </c>
      <c r="AJ20">
        <v>7516.5510752688169</v>
      </c>
      <c r="AK20">
        <v>10166.458333333334</v>
      </c>
      <c r="AL20">
        <v>8065.0240112994352</v>
      </c>
      <c r="AN20" t="s">
        <v>43</v>
      </c>
      <c r="AO20">
        <v>6552.75</v>
      </c>
      <c r="AP20">
        <v>10486.5</v>
      </c>
      <c r="AQ20">
        <v>8005.673913043478</v>
      </c>
      <c r="AR20">
        <v>5432.9354838709678</v>
      </c>
      <c r="AS20">
        <v>7325.5</v>
      </c>
      <c r="AT20">
        <v>7347.4661016949149</v>
      </c>
      <c r="AV20" t="s">
        <v>43</v>
      </c>
      <c r="AW20">
        <v>558.33333333333337</v>
      </c>
      <c r="AX20">
        <v>667.58333333333337</v>
      </c>
      <c r="AY20">
        <v>693.71014492753625</v>
      </c>
      <c r="AZ20">
        <v>778.82258064516134</v>
      </c>
      <c r="BA20">
        <v>1597.0833333333333</v>
      </c>
      <c r="BB20">
        <v>753.79237288135596</v>
      </c>
      <c r="BD20" t="s">
        <v>43</v>
      </c>
      <c r="BE20">
        <v>25094.583333333332</v>
      </c>
      <c r="BF20">
        <v>18437.333333333332</v>
      </c>
      <c r="BG20">
        <v>18580.5</v>
      </c>
      <c r="BH20">
        <v>24341.758064516129</v>
      </c>
      <c r="BI20">
        <v>30512.833333333332</v>
      </c>
      <c r="BJ20">
        <v>21024.724576271186</v>
      </c>
      <c r="BL20" t="s">
        <v>43</v>
      </c>
      <c r="BM20">
        <v>5909.833333333333</v>
      </c>
      <c r="BN20">
        <v>16029.916666666666</v>
      </c>
      <c r="BO20">
        <v>16438.94927536232</v>
      </c>
      <c r="BP20">
        <v>10439.145161290322</v>
      </c>
      <c r="BQ20">
        <v>13765.166666666666</v>
      </c>
      <c r="BR20">
        <v>14170.597457627118</v>
      </c>
      <c r="BT20" t="s">
        <v>43</v>
      </c>
      <c r="BU20">
        <v>2547.3333333333335</v>
      </c>
      <c r="BV20">
        <v>3984.6666666666665</v>
      </c>
      <c r="BW20">
        <v>4070.3623188405795</v>
      </c>
      <c r="BX20">
        <v>3421.6129032258063</v>
      </c>
      <c r="BY20">
        <v>6838.583333333333</v>
      </c>
      <c r="BZ20">
        <v>3958.8855932203392</v>
      </c>
      <c r="CB20" t="s">
        <v>43</v>
      </c>
      <c r="CC20">
        <v>152</v>
      </c>
      <c r="CD20">
        <v>2630.8333333333335</v>
      </c>
      <c r="CE20">
        <v>1307.268115942029</v>
      </c>
      <c r="CF20">
        <v>685.0322580645161</v>
      </c>
      <c r="CG20">
        <v>959.58333333333337</v>
      </c>
      <c r="CH20">
        <v>1134.6779661016949</v>
      </c>
    </row>
    <row r="21" spans="1:86" x14ac:dyDescent="0.25">
      <c r="A21" s="10" t="s">
        <v>0</v>
      </c>
      <c r="B21" t="b">
        <v>0</v>
      </c>
      <c r="C21" t="b">
        <v>0</v>
      </c>
      <c r="D21" s="1">
        <v>3808</v>
      </c>
      <c r="E21" s="1">
        <v>0</v>
      </c>
      <c r="F21" s="1">
        <v>0</v>
      </c>
      <c r="G21" s="1">
        <v>437</v>
      </c>
      <c r="H21" s="1">
        <v>0</v>
      </c>
      <c r="I21" s="1">
        <v>0</v>
      </c>
      <c r="J21" s="1">
        <f t="shared" si="1"/>
        <v>4245</v>
      </c>
      <c r="K21" s="1">
        <v>753</v>
      </c>
      <c r="L21" s="1">
        <v>0</v>
      </c>
      <c r="M21" s="1">
        <v>30</v>
      </c>
      <c r="N21" s="1">
        <f t="shared" si="0"/>
        <v>783</v>
      </c>
      <c r="O21" s="14">
        <v>1402</v>
      </c>
      <c r="P21" s="17">
        <f t="shared" si="2"/>
        <v>5028</v>
      </c>
      <c r="Q21" s="1">
        <v>0</v>
      </c>
      <c r="R21" s="1">
        <v>0</v>
      </c>
      <c r="S21" s="20">
        <v>37653</v>
      </c>
      <c r="T21" s="1">
        <v>6430</v>
      </c>
      <c r="U21" s="9">
        <v>4245</v>
      </c>
      <c r="V21" s="9" t="s">
        <v>21</v>
      </c>
      <c r="X21" s="6"/>
      <c r="AF21" t="s">
        <v>59</v>
      </c>
      <c r="AG21">
        <f>AVERAGE(AG11:AG16)</f>
        <v>7954.4722222222226</v>
      </c>
      <c r="AH21">
        <f t="shared" ref="AH21:AL21" si="3">AVERAGE(AH11:AH16)</f>
        <v>10450.638888888889</v>
      </c>
      <c r="AI21">
        <f t="shared" si="3"/>
        <v>9815.640151515152</v>
      </c>
      <c r="AJ21">
        <f t="shared" si="3"/>
        <v>8139.9898148148159</v>
      </c>
      <c r="AK21">
        <f t="shared" si="3"/>
        <v>13446.555555555555</v>
      </c>
      <c r="AL21">
        <f t="shared" si="3"/>
        <v>9467.3056112503491</v>
      </c>
    </row>
    <row r="22" spans="1:86" x14ac:dyDescent="0.25">
      <c r="A22" s="10" t="s">
        <v>0</v>
      </c>
      <c r="B22" t="b">
        <v>0</v>
      </c>
      <c r="C22" t="b">
        <v>0</v>
      </c>
      <c r="D22" s="1">
        <v>4510</v>
      </c>
      <c r="E22" s="1">
        <v>0</v>
      </c>
      <c r="F22" s="1">
        <v>0</v>
      </c>
      <c r="G22" s="1">
        <v>1425</v>
      </c>
      <c r="H22" s="1">
        <v>0</v>
      </c>
      <c r="I22" s="1">
        <v>75</v>
      </c>
      <c r="J22" s="1">
        <f t="shared" si="1"/>
        <v>6010</v>
      </c>
      <c r="K22" s="1">
        <v>1965</v>
      </c>
      <c r="L22" s="1">
        <v>0</v>
      </c>
      <c r="M22" s="1">
        <v>63</v>
      </c>
      <c r="N22" s="1">
        <f t="shared" si="0"/>
        <v>2028</v>
      </c>
      <c r="O22" s="14">
        <v>1167</v>
      </c>
      <c r="P22" s="17">
        <f t="shared" si="2"/>
        <v>8038</v>
      </c>
      <c r="Q22" s="1">
        <v>0</v>
      </c>
      <c r="R22" s="1">
        <v>0</v>
      </c>
      <c r="S22" s="20">
        <v>37681</v>
      </c>
      <c r="T22" s="1">
        <v>9205</v>
      </c>
      <c r="U22" s="9">
        <v>6010</v>
      </c>
      <c r="V22" s="9" t="s">
        <v>21</v>
      </c>
      <c r="X22" s="6"/>
      <c r="Y22" s="7"/>
      <c r="Z22" s="7"/>
      <c r="AA22" s="7"/>
      <c r="AB22" s="7"/>
    </row>
    <row r="23" spans="1:86" x14ac:dyDescent="0.25">
      <c r="A23" s="10" t="s">
        <v>0</v>
      </c>
      <c r="B23" t="b">
        <v>0</v>
      </c>
      <c r="C23" t="b">
        <v>0</v>
      </c>
      <c r="D23" s="1">
        <v>3806</v>
      </c>
      <c r="E23" s="1">
        <v>0</v>
      </c>
      <c r="F23" s="1">
        <v>41</v>
      </c>
      <c r="G23" s="1">
        <v>1260</v>
      </c>
      <c r="H23" s="1">
        <v>0</v>
      </c>
      <c r="I23" s="1">
        <v>43</v>
      </c>
      <c r="J23" s="1">
        <f t="shared" si="1"/>
        <v>5150</v>
      </c>
      <c r="K23" s="1">
        <v>2937</v>
      </c>
      <c r="L23" s="1">
        <v>0</v>
      </c>
      <c r="M23" s="1">
        <v>630</v>
      </c>
      <c r="N23" s="1">
        <f t="shared" si="0"/>
        <v>3567</v>
      </c>
      <c r="O23" s="14">
        <v>750</v>
      </c>
      <c r="P23" s="17">
        <f t="shared" si="2"/>
        <v>8717</v>
      </c>
      <c r="Q23" s="1">
        <v>0</v>
      </c>
      <c r="R23" s="1">
        <v>0</v>
      </c>
      <c r="S23" s="20">
        <v>37712</v>
      </c>
      <c r="T23" s="1">
        <v>9467</v>
      </c>
      <c r="U23" s="9">
        <v>5150</v>
      </c>
      <c r="V23" s="9" t="s">
        <v>21</v>
      </c>
    </row>
    <row r="24" spans="1:86" x14ac:dyDescent="0.25">
      <c r="A24" s="10" t="s">
        <v>0</v>
      </c>
      <c r="B24" t="b">
        <v>0</v>
      </c>
      <c r="C24" t="b">
        <v>0</v>
      </c>
      <c r="D24" s="1">
        <v>7407</v>
      </c>
      <c r="E24" s="1">
        <v>0</v>
      </c>
      <c r="F24" s="1">
        <v>147</v>
      </c>
      <c r="G24" s="1">
        <v>1863</v>
      </c>
      <c r="H24" s="1">
        <v>0</v>
      </c>
      <c r="I24" s="1">
        <v>166</v>
      </c>
      <c r="J24" s="1">
        <f t="shared" si="1"/>
        <v>9583</v>
      </c>
      <c r="K24" s="1">
        <v>4301</v>
      </c>
      <c r="L24" s="1">
        <v>0</v>
      </c>
      <c r="M24" s="1">
        <v>1329</v>
      </c>
      <c r="N24" s="1">
        <f t="shared" si="0"/>
        <v>5630</v>
      </c>
      <c r="O24" s="14">
        <v>1173</v>
      </c>
      <c r="P24" s="17">
        <f t="shared" si="2"/>
        <v>15213</v>
      </c>
      <c r="Q24" s="1">
        <v>0</v>
      </c>
      <c r="R24" s="1">
        <v>0</v>
      </c>
      <c r="S24" s="20">
        <v>37742</v>
      </c>
      <c r="T24" s="1">
        <v>16386</v>
      </c>
      <c r="U24" s="9">
        <v>9583</v>
      </c>
      <c r="V24" s="9" t="s">
        <v>21</v>
      </c>
    </row>
    <row r="25" spans="1:86" x14ac:dyDescent="0.25">
      <c r="A25" s="10" t="s">
        <v>0</v>
      </c>
      <c r="B25" t="b">
        <v>0</v>
      </c>
      <c r="C25" t="b">
        <v>0</v>
      </c>
      <c r="D25" s="1">
        <v>8227</v>
      </c>
      <c r="E25" s="1">
        <v>0</v>
      </c>
      <c r="F25" s="1">
        <v>190</v>
      </c>
      <c r="G25" s="1">
        <v>1918</v>
      </c>
      <c r="H25" s="1">
        <v>0</v>
      </c>
      <c r="I25" s="1">
        <v>0</v>
      </c>
      <c r="J25" s="1">
        <f t="shared" si="1"/>
        <v>10335</v>
      </c>
      <c r="K25" s="1">
        <v>4844</v>
      </c>
      <c r="L25" s="1">
        <v>0</v>
      </c>
      <c r="M25" s="1">
        <v>1370</v>
      </c>
      <c r="N25" s="1">
        <f t="shared" si="0"/>
        <v>6214</v>
      </c>
      <c r="O25" s="14">
        <v>924</v>
      </c>
      <c r="P25" s="17">
        <f t="shared" si="2"/>
        <v>16549</v>
      </c>
      <c r="Q25" s="1">
        <v>0</v>
      </c>
      <c r="R25" s="1">
        <v>0</v>
      </c>
      <c r="S25" s="20">
        <v>37773</v>
      </c>
      <c r="T25" s="1">
        <v>17473</v>
      </c>
      <c r="U25" s="9">
        <v>10335</v>
      </c>
      <c r="V25" s="9" t="s">
        <v>21</v>
      </c>
    </row>
    <row r="26" spans="1:86" x14ac:dyDescent="0.25">
      <c r="A26" s="10" t="s">
        <v>0</v>
      </c>
      <c r="B26" t="b">
        <v>0</v>
      </c>
      <c r="C26" t="b">
        <v>0</v>
      </c>
      <c r="D26" s="1">
        <v>9681</v>
      </c>
      <c r="E26" s="1">
        <v>0</v>
      </c>
      <c r="F26" s="1">
        <v>538</v>
      </c>
      <c r="G26" s="1">
        <v>2015</v>
      </c>
      <c r="H26" s="1">
        <v>0</v>
      </c>
      <c r="I26" s="1">
        <v>35</v>
      </c>
      <c r="J26" s="1">
        <f t="shared" si="1"/>
        <v>12269</v>
      </c>
      <c r="K26" s="1">
        <v>5505</v>
      </c>
      <c r="L26" s="1">
        <v>0</v>
      </c>
      <c r="M26" s="1">
        <v>2801</v>
      </c>
      <c r="N26" s="1">
        <f t="shared" si="0"/>
        <v>8306</v>
      </c>
      <c r="O26" s="14">
        <v>0</v>
      </c>
      <c r="P26" s="17">
        <f t="shared" si="2"/>
        <v>20575</v>
      </c>
      <c r="Q26" s="1">
        <v>0</v>
      </c>
      <c r="R26" s="1">
        <v>0</v>
      </c>
      <c r="S26" s="20">
        <v>37803</v>
      </c>
      <c r="T26" s="1">
        <v>20575</v>
      </c>
      <c r="U26" s="9">
        <v>12269</v>
      </c>
      <c r="V26" s="9" t="s">
        <v>21</v>
      </c>
    </row>
    <row r="27" spans="1:86" x14ac:dyDescent="0.25">
      <c r="A27" s="10" t="s">
        <v>0</v>
      </c>
      <c r="B27" t="b">
        <v>0</v>
      </c>
      <c r="C27" t="b">
        <v>0</v>
      </c>
      <c r="D27" s="1">
        <v>9617</v>
      </c>
      <c r="E27" s="1">
        <v>0</v>
      </c>
      <c r="F27" s="1">
        <v>191</v>
      </c>
      <c r="G27" s="1">
        <v>2205</v>
      </c>
      <c r="H27" s="1">
        <v>0</v>
      </c>
      <c r="I27" s="1">
        <v>23</v>
      </c>
      <c r="J27" s="1">
        <f t="shared" si="1"/>
        <v>12036</v>
      </c>
      <c r="K27" s="1">
        <v>5905</v>
      </c>
      <c r="L27" s="1">
        <v>0</v>
      </c>
      <c r="M27" s="1">
        <v>2654</v>
      </c>
      <c r="N27" s="1">
        <f t="shared" si="0"/>
        <v>8559</v>
      </c>
      <c r="O27" s="14">
        <v>0</v>
      </c>
      <c r="P27" s="17">
        <f t="shared" si="2"/>
        <v>20595</v>
      </c>
      <c r="Q27" s="1">
        <v>0</v>
      </c>
      <c r="R27" s="1">
        <v>0</v>
      </c>
      <c r="S27" s="20">
        <v>37834</v>
      </c>
      <c r="T27" s="1">
        <v>20595</v>
      </c>
      <c r="U27" s="9">
        <v>12036</v>
      </c>
      <c r="V27" s="9" t="s">
        <v>21</v>
      </c>
    </row>
    <row r="28" spans="1:86" x14ac:dyDescent="0.25">
      <c r="A28" s="10" t="s">
        <v>0</v>
      </c>
      <c r="B28" t="b">
        <v>0</v>
      </c>
      <c r="C28" t="b">
        <v>0</v>
      </c>
      <c r="D28" s="1">
        <v>5690</v>
      </c>
      <c r="E28" s="1">
        <v>0</v>
      </c>
      <c r="F28" s="1">
        <v>389</v>
      </c>
      <c r="G28" s="1">
        <v>1643</v>
      </c>
      <c r="H28" s="1">
        <v>0</v>
      </c>
      <c r="I28" s="1">
        <v>0</v>
      </c>
      <c r="J28" s="1">
        <f t="shared" si="1"/>
        <v>7722</v>
      </c>
      <c r="K28" s="1">
        <v>3787</v>
      </c>
      <c r="L28" s="1">
        <v>0</v>
      </c>
      <c r="M28" s="1">
        <v>1055</v>
      </c>
      <c r="N28" s="1">
        <f t="shared" si="0"/>
        <v>4842</v>
      </c>
      <c r="O28" s="14">
        <v>1000</v>
      </c>
      <c r="P28" s="17">
        <f t="shared" si="2"/>
        <v>12564</v>
      </c>
      <c r="Q28" s="1">
        <v>0</v>
      </c>
      <c r="R28" s="1">
        <v>0</v>
      </c>
      <c r="S28" s="20">
        <v>37865</v>
      </c>
      <c r="T28" s="1">
        <v>13564</v>
      </c>
      <c r="U28" s="9">
        <v>7722</v>
      </c>
      <c r="V28" s="9" t="s">
        <v>21</v>
      </c>
    </row>
    <row r="29" spans="1:86" x14ac:dyDescent="0.25">
      <c r="A29" s="10" t="s">
        <v>0</v>
      </c>
      <c r="B29" t="b">
        <v>0</v>
      </c>
      <c r="C29" t="b">
        <v>0</v>
      </c>
      <c r="D29" s="1">
        <v>3596</v>
      </c>
      <c r="E29" s="1">
        <v>0</v>
      </c>
      <c r="F29" s="1">
        <v>62</v>
      </c>
      <c r="G29" s="1">
        <v>1300</v>
      </c>
      <c r="H29" s="1">
        <v>0</v>
      </c>
      <c r="I29" s="1">
        <v>0</v>
      </c>
      <c r="J29" s="1">
        <f t="shared" si="1"/>
        <v>4958</v>
      </c>
      <c r="K29" s="1">
        <v>3484</v>
      </c>
      <c r="L29" s="1">
        <v>0</v>
      </c>
      <c r="M29" s="1">
        <v>963</v>
      </c>
      <c r="N29" s="1">
        <f>K29+L29+M29</f>
        <v>4447</v>
      </c>
      <c r="O29" s="14">
        <v>1364</v>
      </c>
      <c r="P29" s="17">
        <f t="shared" si="2"/>
        <v>9405</v>
      </c>
      <c r="Q29" s="1">
        <v>0</v>
      </c>
      <c r="R29" s="1">
        <v>0</v>
      </c>
      <c r="S29" s="20">
        <v>37895</v>
      </c>
      <c r="T29" s="1">
        <v>10769</v>
      </c>
      <c r="U29" s="9">
        <v>4958</v>
      </c>
      <c r="V29" s="9" t="s">
        <v>21</v>
      </c>
    </row>
    <row r="30" spans="1:86" x14ac:dyDescent="0.25">
      <c r="A30" s="10" t="s">
        <v>0</v>
      </c>
      <c r="B30" t="b">
        <v>0</v>
      </c>
      <c r="C30" t="b">
        <v>0</v>
      </c>
      <c r="D30" s="1">
        <v>1515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f t="shared" si="1"/>
        <v>1515</v>
      </c>
      <c r="K30" s="1">
        <v>1694</v>
      </c>
      <c r="L30" s="1">
        <v>0</v>
      </c>
      <c r="M30" s="1">
        <v>0</v>
      </c>
      <c r="N30" s="1">
        <f t="shared" ref="N30:N93" si="4">K30+L30+M30</f>
        <v>1694</v>
      </c>
      <c r="O30" s="14">
        <v>2762</v>
      </c>
      <c r="P30" s="17">
        <f t="shared" si="2"/>
        <v>3209</v>
      </c>
      <c r="Q30" s="1">
        <v>0</v>
      </c>
      <c r="R30" s="1">
        <v>0</v>
      </c>
      <c r="S30" s="20">
        <v>37926</v>
      </c>
      <c r="T30" s="1">
        <v>5971</v>
      </c>
      <c r="U30" s="9">
        <v>1515</v>
      </c>
      <c r="V30" s="9" t="s">
        <v>21</v>
      </c>
    </row>
    <row r="31" spans="1:86" x14ac:dyDescent="0.25">
      <c r="A31" s="10" t="s">
        <v>0</v>
      </c>
      <c r="B31" t="b">
        <v>0</v>
      </c>
      <c r="C31" t="b">
        <v>0</v>
      </c>
      <c r="D31" s="1">
        <v>1246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f t="shared" si="1"/>
        <v>1246</v>
      </c>
      <c r="K31" s="1">
        <v>464</v>
      </c>
      <c r="L31" s="1">
        <v>0</v>
      </c>
      <c r="M31" s="1">
        <v>0</v>
      </c>
      <c r="N31" s="1">
        <f t="shared" si="4"/>
        <v>464</v>
      </c>
      <c r="O31" s="14">
        <v>1484</v>
      </c>
      <c r="P31" s="17">
        <f t="shared" si="2"/>
        <v>1710</v>
      </c>
      <c r="Q31" s="1">
        <v>0</v>
      </c>
      <c r="R31" s="1">
        <v>0</v>
      </c>
      <c r="S31" s="20">
        <v>37956</v>
      </c>
      <c r="T31" s="1">
        <v>3194</v>
      </c>
      <c r="U31" s="9">
        <v>1246</v>
      </c>
      <c r="V31" s="9" t="s">
        <v>21</v>
      </c>
    </row>
    <row r="32" spans="1:86" x14ac:dyDescent="0.25">
      <c r="A32" s="10" t="s">
        <v>0</v>
      </c>
      <c r="B32" t="b">
        <v>0</v>
      </c>
      <c r="C32" t="b">
        <v>0</v>
      </c>
      <c r="D32" s="1">
        <v>2585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f t="shared" si="1"/>
        <v>2585</v>
      </c>
      <c r="K32" s="1">
        <v>616</v>
      </c>
      <c r="L32" s="1">
        <v>0</v>
      </c>
      <c r="M32" s="1">
        <v>0</v>
      </c>
      <c r="N32" s="1">
        <f t="shared" si="4"/>
        <v>616</v>
      </c>
      <c r="O32" s="14">
        <v>1933</v>
      </c>
      <c r="P32" s="17">
        <f t="shared" si="2"/>
        <v>3201</v>
      </c>
      <c r="Q32" s="1">
        <v>0</v>
      </c>
      <c r="R32" s="1">
        <v>0</v>
      </c>
      <c r="S32" s="20">
        <v>37987</v>
      </c>
      <c r="T32" s="1">
        <v>5134</v>
      </c>
      <c r="U32" s="9">
        <v>2585</v>
      </c>
      <c r="V32" s="9" t="s">
        <v>41</v>
      </c>
    </row>
    <row r="33" spans="1:22" x14ac:dyDescent="0.25">
      <c r="A33" s="10" t="s">
        <v>0</v>
      </c>
      <c r="B33" t="b">
        <v>0</v>
      </c>
      <c r="C33" t="b">
        <v>0</v>
      </c>
      <c r="D33" s="1">
        <v>626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f t="shared" si="1"/>
        <v>626</v>
      </c>
      <c r="K33" s="1">
        <v>677</v>
      </c>
      <c r="L33" s="1">
        <v>0</v>
      </c>
      <c r="M33" s="1">
        <v>0</v>
      </c>
      <c r="N33" s="1">
        <f t="shared" si="4"/>
        <v>677</v>
      </c>
      <c r="O33" s="14">
        <v>1200</v>
      </c>
      <c r="P33" s="17">
        <f t="shared" si="2"/>
        <v>1303</v>
      </c>
      <c r="Q33" s="1">
        <v>0</v>
      </c>
      <c r="R33" s="1">
        <v>0</v>
      </c>
      <c r="S33" s="20">
        <v>38018</v>
      </c>
      <c r="T33" s="1">
        <v>2503</v>
      </c>
      <c r="U33" s="9">
        <v>626</v>
      </c>
      <c r="V33" s="9" t="s">
        <v>41</v>
      </c>
    </row>
    <row r="34" spans="1:22" x14ac:dyDescent="0.25">
      <c r="A34" s="10" t="s">
        <v>0</v>
      </c>
      <c r="B34" t="b">
        <v>0</v>
      </c>
      <c r="C34" t="b">
        <v>0</v>
      </c>
      <c r="D34" s="1">
        <v>3590</v>
      </c>
      <c r="E34" s="1">
        <v>0</v>
      </c>
      <c r="F34" s="1">
        <v>0</v>
      </c>
      <c r="G34" s="1">
        <v>1059</v>
      </c>
      <c r="H34" s="1">
        <v>0</v>
      </c>
      <c r="I34" s="1">
        <v>0</v>
      </c>
      <c r="J34" s="1">
        <f t="shared" si="1"/>
        <v>4649</v>
      </c>
      <c r="K34" s="1">
        <v>1396</v>
      </c>
      <c r="L34" s="1">
        <v>0</v>
      </c>
      <c r="M34" s="1">
        <v>0</v>
      </c>
      <c r="N34" s="1">
        <f t="shared" si="4"/>
        <v>1396</v>
      </c>
      <c r="O34" s="14">
        <v>1238</v>
      </c>
      <c r="P34" s="17">
        <f t="shared" si="2"/>
        <v>6045</v>
      </c>
      <c r="Q34" s="1">
        <v>0</v>
      </c>
      <c r="R34" s="1">
        <v>0</v>
      </c>
      <c r="S34" s="20">
        <v>38047</v>
      </c>
      <c r="T34" s="1">
        <v>7283</v>
      </c>
      <c r="U34" s="9">
        <v>4649</v>
      </c>
      <c r="V34" s="9" t="s">
        <v>41</v>
      </c>
    </row>
    <row r="35" spans="1:22" x14ac:dyDescent="0.25">
      <c r="A35" s="10" t="s">
        <v>0</v>
      </c>
      <c r="B35" t="b">
        <v>0</v>
      </c>
      <c r="C35" t="b">
        <v>0</v>
      </c>
      <c r="D35" s="1">
        <v>5749</v>
      </c>
      <c r="E35" s="1">
        <v>0</v>
      </c>
      <c r="F35" s="1">
        <v>182</v>
      </c>
      <c r="G35" s="1">
        <v>1158</v>
      </c>
      <c r="H35" s="1">
        <v>0</v>
      </c>
      <c r="I35" s="1">
        <v>0</v>
      </c>
      <c r="J35" s="1">
        <f t="shared" si="1"/>
        <v>7089</v>
      </c>
      <c r="K35" s="1">
        <v>3157</v>
      </c>
      <c r="L35" s="1">
        <v>0</v>
      </c>
      <c r="M35" s="1">
        <v>1149</v>
      </c>
      <c r="N35" s="1">
        <f t="shared" si="4"/>
        <v>4306</v>
      </c>
      <c r="O35" s="14">
        <v>1000</v>
      </c>
      <c r="P35" s="17">
        <f t="shared" si="2"/>
        <v>11395</v>
      </c>
      <c r="Q35" s="1">
        <v>0</v>
      </c>
      <c r="R35" s="1">
        <v>0</v>
      </c>
      <c r="S35" s="20">
        <v>38078</v>
      </c>
      <c r="T35" s="1">
        <v>12395</v>
      </c>
      <c r="U35" s="9">
        <v>7089</v>
      </c>
      <c r="V35" s="9" t="s">
        <v>41</v>
      </c>
    </row>
    <row r="36" spans="1:22" x14ac:dyDescent="0.25">
      <c r="A36" s="10" t="s">
        <v>0</v>
      </c>
      <c r="B36" t="b">
        <v>0</v>
      </c>
      <c r="C36" t="b">
        <v>0</v>
      </c>
      <c r="D36" s="1">
        <v>7500</v>
      </c>
      <c r="E36" s="1">
        <v>0</v>
      </c>
      <c r="F36" s="1">
        <v>259</v>
      </c>
      <c r="G36" s="1">
        <v>1509</v>
      </c>
      <c r="H36" s="1">
        <v>0</v>
      </c>
      <c r="I36" s="1">
        <v>0</v>
      </c>
      <c r="J36" s="1">
        <f t="shared" si="1"/>
        <v>9268</v>
      </c>
      <c r="K36" s="1">
        <v>4424</v>
      </c>
      <c r="L36" s="1">
        <v>0</v>
      </c>
      <c r="M36" s="1">
        <v>1656</v>
      </c>
      <c r="N36" s="1">
        <f t="shared" si="4"/>
        <v>6080</v>
      </c>
      <c r="O36" s="14">
        <v>1013</v>
      </c>
      <c r="P36" s="17">
        <f t="shared" si="2"/>
        <v>15348</v>
      </c>
      <c r="Q36" s="1">
        <v>0</v>
      </c>
      <c r="R36" s="1">
        <v>0</v>
      </c>
      <c r="S36" s="20">
        <v>38108</v>
      </c>
      <c r="T36" s="1">
        <v>16361</v>
      </c>
      <c r="U36" s="9">
        <v>9268</v>
      </c>
      <c r="V36" s="9" t="s">
        <v>41</v>
      </c>
    </row>
    <row r="37" spans="1:22" x14ac:dyDescent="0.25">
      <c r="A37" s="10" t="s">
        <v>0</v>
      </c>
      <c r="B37" t="b">
        <v>0</v>
      </c>
      <c r="C37" t="b">
        <v>0</v>
      </c>
      <c r="D37" s="1">
        <v>5704</v>
      </c>
      <c r="E37" s="1">
        <v>0</v>
      </c>
      <c r="F37" s="1">
        <v>121</v>
      </c>
      <c r="G37" s="1">
        <v>1371</v>
      </c>
      <c r="H37" s="1">
        <v>0</v>
      </c>
      <c r="I37" s="1">
        <v>16</v>
      </c>
      <c r="J37" s="1">
        <f t="shared" si="1"/>
        <v>7212</v>
      </c>
      <c r="K37" s="1">
        <v>4334</v>
      </c>
      <c r="L37" s="1">
        <v>0</v>
      </c>
      <c r="M37" s="1">
        <v>1771</v>
      </c>
      <c r="N37" s="1">
        <f t="shared" si="4"/>
        <v>6105</v>
      </c>
      <c r="O37" s="14">
        <v>887</v>
      </c>
      <c r="P37" s="17">
        <f t="shared" si="2"/>
        <v>13317</v>
      </c>
      <c r="Q37" s="1">
        <v>0</v>
      </c>
      <c r="R37" s="1">
        <v>0</v>
      </c>
      <c r="S37" s="20">
        <v>38139</v>
      </c>
      <c r="T37" s="1">
        <v>14204</v>
      </c>
      <c r="U37" s="9">
        <v>7212</v>
      </c>
      <c r="V37" s="9" t="s">
        <v>41</v>
      </c>
    </row>
    <row r="38" spans="1:22" x14ac:dyDescent="0.25">
      <c r="A38" s="10" t="s">
        <v>0</v>
      </c>
      <c r="B38" t="b">
        <v>0</v>
      </c>
      <c r="C38" t="b">
        <v>0</v>
      </c>
      <c r="D38" s="1">
        <v>9194</v>
      </c>
      <c r="E38" s="1">
        <v>0</v>
      </c>
      <c r="F38" s="1">
        <v>447</v>
      </c>
      <c r="G38" s="1">
        <v>1309</v>
      </c>
      <c r="H38" s="1">
        <v>0</v>
      </c>
      <c r="I38" s="1">
        <v>53</v>
      </c>
      <c r="J38" s="1">
        <f t="shared" si="1"/>
        <v>11003</v>
      </c>
      <c r="K38" s="1">
        <v>5732</v>
      </c>
      <c r="L38" s="1">
        <v>0</v>
      </c>
      <c r="M38" s="1">
        <v>2732</v>
      </c>
      <c r="N38" s="1">
        <f t="shared" si="4"/>
        <v>8464</v>
      </c>
      <c r="O38" s="14">
        <v>931</v>
      </c>
      <c r="P38" s="17">
        <f t="shared" si="2"/>
        <v>19467</v>
      </c>
      <c r="Q38" s="1">
        <v>0</v>
      </c>
      <c r="R38" s="1">
        <v>0</v>
      </c>
      <c r="S38" s="20">
        <v>38169</v>
      </c>
      <c r="T38" s="1">
        <v>20398</v>
      </c>
      <c r="U38" s="9">
        <v>11003</v>
      </c>
      <c r="V38" s="9" t="s">
        <v>41</v>
      </c>
    </row>
    <row r="39" spans="1:22" x14ac:dyDescent="0.25">
      <c r="A39" s="10" t="s">
        <v>0</v>
      </c>
      <c r="B39" t="b">
        <v>0</v>
      </c>
      <c r="C39" t="b">
        <v>0</v>
      </c>
      <c r="D39" s="1">
        <v>7116</v>
      </c>
      <c r="E39" s="1">
        <v>0</v>
      </c>
      <c r="F39" s="1">
        <v>252</v>
      </c>
      <c r="G39" s="1">
        <v>1125</v>
      </c>
      <c r="H39" s="1">
        <v>0</v>
      </c>
      <c r="I39" s="1">
        <v>0</v>
      </c>
      <c r="J39" s="1">
        <f t="shared" si="1"/>
        <v>8493</v>
      </c>
      <c r="K39" s="1">
        <v>4922</v>
      </c>
      <c r="L39" s="1">
        <v>0</v>
      </c>
      <c r="M39" s="1">
        <v>1446</v>
      </c>
      <c r="N39" s="1">
        <f t="shared" si="4"/>
        <v>6368</v>
      </c>
      <c r="O39" s="14">
        <v>1101</v>
      </c>
      <c r="P39" s="17">
        <f t="shared" si="2"/>
        <v>14861</v>
      </c>
      <c r="Q39" s="1">
        <v>0</v>
      </c>
      <c r="R39" s="1">
        <v>0</v>
      </c>
      <c r="S39" s="20">
        <v>38200</v>
      </c>
      <c r="T39" s="1">
        <v>15962</v>
      </c>
      <c r="U39" s="9">
        <v>8493</v>
      </c>
      <c r="V39" s="9" t="s">
        <v>41</v>
      </c>
    </row>
    <row r="40" spans="1:22" x14ac:dyDescent="0.25">
      <c r="A40" s="10" t="s">
        <v>0</v>
      </c>
      <c r="B40" t="b">
        <v>0</v>
      </c>
      <c r="C40" t="b">
        <v>0</v>
      </c>
      <c r="D40" s="1">
        <v>7925</v>
      </c>
      <c r="E40" s="1">
        <v>0</v>
      </c>
      <c r="F40" s="1">
        <v>240</v>
      </c>
      <c r="G40" s="1">
        <v>961</v>
      </c>
      <c r="H40" s="1">
        <v>2</v>
      </c>
      <c r="I40" s="1">
        <v>62</v>
      </c>
      <c r="J40" s="1">
        <f t="shared" si="1"/>
        <v>9190</v>
      </c>
      <c r="K40" s="1">
        <v>4073</v>
      </c>
      <c r="L40" s="1">
        <v>0</v>
      </c>
      <c r="M40" s="1">
        <v>1160</v>
      </c>
      <c r="N40" s="1">
        <f t="shared" si="4"/>
        <v>5233</v>
      </c>
      <c r="O40" s="14">
        <v>1049</v>
      </c>
      <c r="P40" s="17">
        <f t="shared" si="2"/>
        <v>14423</v>
      </c>
      <c r="Q40" s="1">
        <v>0</v>
      </c>
      <c r="R40" s="1">
        <v>0</v>
      </c>
      <c r="S40" s="20">
        <v>38231</v>
      </c>
      <c r="T40" s="1">
        <v>15472</v>
      </c>
      <c r="U40" s="9">
        <v>9190</v>
      </c>
      <c r="V40" s="9" t="s">
        <v>41</v>
      </c>
    </row>
    <row r="41" spans="1:22" x14ac:dyDescent="0.25">
      <c r="A41" s="10" t="s">
        <v>0</v>
      </c>
      <c r="B41" t="b">
        <v>0</v>
      </c>
      <c r="C41" t="b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f t="shared" si="1"/>
        <v>0</v>
      </c>
      <c r="K41" s="1">
        <v>0</v>
      </c>
      <c r="L41" s="1">
        <v>0</v>
      </c>
      <c r="M41" s="1">
        <v>0</v>
      </c>
      <c r="N41" s="1">
        <f t="shared" si="4"/>
        <v>0</v>
      </c>
      <c r="O41" s="14">
        <v>0</v>
      </c>
      <c r="P41" s="17">
        <f t="shared" si="2"/>
        <v>0</v>
      </c>
      <c r="Q41" s="1">
        <v>0</v>
      </c>
      <c r="R41" s="1">
        <v>0</v>
      </c>
      <c r="S41" s="20">
        <v>38261</v>
      </c>
      <c r="T41" s="1">
        <v>0</v>
      </c>
      <c r="U41" s="9">
        <v>0</v>
      </c>
      <c r="V41" s="9" t="s">
        <v>41</v>
      </c>
    </row>
    <row r="42" spans="1:22" x14ac:dyDescent="0.25">
      <c r="A42" s="10" t="s">
        <v>0</v>
      </c>
      <c r="B42" t="b">
        <v>0</v>
      </c>
      <c r="C42" t="b">
        <v>0</v>
      </c>
      <c r="D42" s="1">
        <v>7080</v>
      </c>
      <c r="E42" s="1">
        <v>0</v>
      </c>
      <c r="F42" s="1">
        <v>0</v>
      </c>
      <c r="G42" s="1">
        <v>936</v>
      </c>
      <c r="H42" s="1">
        <v>0</v>
      </c>
      <c r="I42" s="1">
        <v>0</v>
      </c>
      <c r="J42" s="1">
        <f t="shared" si="1"/>
        <v>8016</v>
      </c>
      <c r="K42" s="1">
        <v>1883</v>
      </c>
      <c r="L42" s="1">
        <v>0</v>
      </c>
      <c r="M42" s="1">
        <v>585</v>
      </c>
      <c r="N42" s="1">
        <f t="shared" si="4"/>
        <v>2468</v>
      </c>
      <c r="O42" s="14">
        <v>1824</v>
      </c>
      <c r="P42" s="17">
        <f t="shared" si="2"/>
        <v>10484</v>
      </c>
      <c r="Q42" s="1">
        <v>0</v>
      </c>
      <c r="R42" s="1">
        <v>0</v>
      </c>
      <c r="S42" s="20">
        <v>38292</v>
      </c>
      <c r="T42" s="1">
        <v>12308</v>
      </c>
      <c r="U42" s="9">
        <v>8016</v>
      </c>
      <c r="V42" s="9" t="s">
        <v>41</v>
      </c>
    </row>
    <row r="43" spans="1:22" x14ac:dyDescent="0.25">
      <c r="A43" s="10" t="s">
        <v>0</v>
      </c>
      <c r="B43" t="b">
        <v>0</v>
      </c>
      <c r="C43" t="b">
        <v>0</v>
      </c>
      <c r="D43" s="1">
        <v>3859</v>
      </c>
      <c r="E43" s="1">
        <v>0</v>
      </c>
      <c r="F43" s="1">
        <v>0</v>
      </c>
      <c r="G43" s="1">
        <v>463</v>
      </c>
      <c r="H43" s="1">
        <v>0</v>
      </c>
      <c r="I43" s="1">
        <v>0</v>
      </c>
      <c r="J43" s="1">
        <f t="shared" si="1"/>
        <v>4322</v>
      </c>
      <c r="K43" s="1">
        <v>566</v>
      </c>
      <c r="L43" s="1">
        <v>0</v>
      </c>
      <c r="M43" s="1">
        <v>39</v>
      </c>
      <c r="N43" s="1">
        <f t="shared" si="4"/>
        <v>605</v>
      </c>
      <c r="O43" s="14">
        <v>1232</v>
      </c>
      <c r="P43" s="17">
        <f t="shared" si="2"/>
        <v>4927</v>
      </c>
      <c r="Q43" s="1">
        <v>0</v>
      </c>
      <c r="R43" s="1">
        <v>0</v>
      </c>
      <c r="S43" s="20">
        <v>38322</v>
      </c>
      <c r="T43" s="1">
        <v>6159</v>
      </c>
      <c r="U43" s="9">
        <v>4322</v>
      </c>
      <c r="V43" s="9" t="s">
        <v>41</v>
      </c>
    </row>
    <row r="44" spans="1:22" x14ac:dyDescent="0.25">
      <c r="A44" s="10" t="s">
        <v>0</v>
      </c>
      <c r="B44" t="b">
        <v>0</v>
      </c>
      <c r="C44" t="b">
        <v>0</v>
      </c>
      <c r="D44" s="1">
        <v>1020</v>
      </c>
      <c r="E44" s="1">
        <v>0</v>
      </c>
      <c r="F44" s="1">
        <v>0</v>
      </c>
      <c r="G44" s="1">
        <v>269</v>
      </c>
      <c r="H44" s="1">
        <v>0</v>
      </c>
      <c r="I44" s="1">
        <v>0</v>
      </c>
      <c r="J44" s="1">
        <f t="shared" si="1"/>
        <v>1289</v>
      </c>
      <c r="K44" s="1">
        <v>374</v>
      </c>
      <c r="L44" s="1">
        <v>0</v>
      </c>
      <c r="M44" s="1">
        <v>0</v>
      </c>
      <c r="N44" s="1">
        <f t="shared" si="4"/>
        <v>374</v>
      </c>
      <c r="O44" s="14">
        <v>468</v>
      </c>
      <c r="P44" s="17">
        <f t="shared" si="2"/>
        <v>1663</v>
      </c>
      <c r="Q44" s="1">
        <v>0</v>
      </c>
      <c r="R44" s="1">
        <v>0</v>
      </c>
      <c r="S44" s="20">
        <v>38353</v>
      </c>
      <c r="T44" s="1">
        <v>2131</v>
      </c>
      <c r="U44" s="9">
        <v>1289</v>
      </c>
      <c r="V44" s="9" t="s">
        <v>21</v>
      </c>
    </row>
    <row r="45" spans="1:22" x14ac:dyDescent="0.25">
      <c r="A45" s="10" t="s">
        <v>0</v>
      </c>
      <c r="B45" t="b">
        <v>0</v>
      </c>
      <c r="C45" t="b">
        <v>0</v>
      </c>
      <c r="D45" s="1">
        <v>2282</v>
      </c>
      <c r="E45" s="1">
        <v>0</v>
      </c>
      <c r="F45" s="1">
        <v>0</v>
      </c>
      <c r="G45" s="1">
        <v>286</v>
      </c>
      <c r="H45" s="1">
        <v>0</v>
      </c>
      <c r="I45" s="1">
        <v>0</v>
      </c>
      <c r="J45" s="1">
        <f t="shared" si="1"/>
        <v>2568</v>
      </c>
      <c r="K45" s="1">
        <v>666</v>
      </c>
      <c r="L45" s="1">
        <v>0</v>
      </c>
      <c r="M45" s="1">
        <v>0</v>
      </c>
      <c r="N45" s="1">
        <f t="shared" si="4"/>
        <v>666</v>
      </c>
      <c r="O45" s="14">
        <v>0</v>
      </c>
      <c r="P45" s="17">
        <f t="shared" si="2"/>
        <v>3234</v>
      </c>
      <c r="Q45" s="1">
        <v>0</v>
      </c>
      <c r="R45" s="1">
        <v>0</v>
      </c>
      <c r="S45" s="20">
        <v>38384</v>
      </c>
      <c r="T45" s="1">
        <v>3234</v>
      </c>
      <c r="U45" s="9">
        <v>2568</v>
      </c>
      <c r="V45" s="9" t="s">
        <v>21</v>
      </c>
    </row>
    <row r="46" spans="1:22" x14ac:dyDescent="0.25">
      <c r="A46" s="10" t="s">
        <v>0</v>
      </c>
      <c r="B46" t="b">
        <v>0</v>
      </c>
      <c r="C46" t="b">
        <v>0</v>
      </c>
      <c r="D46" s="1">
        <v>4373</v>
      </c>
      <c r="E46" s="1">
        <v>0</v>
      </c>
      <c r="F46" s="1">
        <v>90</v>
      </c>
      <c r="G46" s="1">
        <v>869</v>
      </c>
      <c r="H46" s="1">
        <v>0</v>
      </c>
      <c r="I46" s="1">
        <v>0</v>
      </c>
      <c r="J46" s="1">
        <f t="shared" si="1"/>
        <v>5332</v>
      </c>
      <c r="K46" s="1">
        <v>1597</v>
      </c>
      <c r="L46" s="1">
        <v>0</v>
      </c>
      <c r="M46" s="1">
        <v>120</v>
      </c>
      <c r="N46" s="1">
        <f t="shared" si="4"/>
        <v>1717</v>
      </c>
      <c r="O46" s="14">
        <v>1030</v>
      </c>
      <c r="P46" s="17">
        <f t="shared" si="2"/>
        <v>7049</v>
      </c>
      <c r="Q46" s="1">
        <v>0</v>
      </c>
      <c r="R46" s="1">
        <v>0</v>
      </c>
      <c r="S46" s="20">
        <v>38412</v>
      </c>
      <c r="T46" s="1">
        <v>8079</v>
      </c>
      <c r="U46" s="9">
        <v>5332</v>
      </c>
      <c r="V46" s="9" t="s">
        <v>21</v>
      </c>
    </row>
    <row r="47" spans="1:22" x14ac:dyDescent="0.25">
      <c r="A47" s="10" t="s">
        <v>0</v>
      </c>
      <c r="B47" t="b">
        <v>0</v>
      </c>
      <c r="C47" t="b">
        <v>0</v>
      </c>
      <c r="D47" s="1">
        <v>3593</v>
      </c>
      <c r="E47" s="1">
        <v>0</v>
      </c>
      <c r="F47" s="1">
        <v>60</v>
      </c>
      <c r="G47" s="1">
        <v>1299</v>
      </c>
      <c r="H47" s="1">
        <v>0</v>
      </c>
      <c r="I47" s="1">
        <v>0</v>
      </c>
      <c r="J47" s="1">
        <f t="shared" si="1"/>
        <v>4952</v>
      </c>
      <c r="K47" s="1">
        <v>2140</v>
      </c>
      <c r="L47" s="1">
        <v>0</v>
      </c>
      <c r="M47" s="1">
        <v>1157</v>
      </c>
      <c r="N47" s="1">
        <f t="shared" si="4"/>
        <v>3297</v>
      </c>
      <c r="O47" s="14">
        <v>0</v>
      </c>
      <c r="P47" s="17">
        <f t="shared" si="2"/>
        <v>8249</v>
      </c>
      <c r="Q47" s="1">
        <v>0</v>
      </c>
      <c r="R47" s="1">
        <v>0</v>
      </c>
      <c r="S47" s="20">
        <v>38443</v>
      </c>
      <c r="T47" s="1">
        <v>8249</v>
      </c>
      <c r="U47" s="9">
        <v>4952</v>
      </c>
      <c r="V47" s="9" t="s">
        <v>21</v>
      </c>
    </row>
    <row r="48" spans="1:22" x14ac:dyDescent="0.25">
      <c r="A48" s="10" t="s">
        <v>0</v>
      </c>
      <c r="B48" t="b">
        <v>0</v>
      </c>
      <c r="C48" t="b">
        <v>0</v>
      </c>
      <c r="D48" s="1">
        <v>5086</v>
      </c>
      <c r="E48" s="1">
        <v>0</v>
      </c>
      <c r="F48" s="1">
        <v>180</v>
      </c>
      <c r="G48" s="1">
        <v>1335</v>
      </c>
      <c r="H48" s="1">
        <v>0</v>
      </c>
      <c r="I48" s="1">
        <v>3002</v>
      </c>
      <c r="J48" s="1">
        <f t="shared" si="1"/>
        <v>9603</v>
      </c>
      <c r="K48" s="1">
        <v>0</v>
      </c>
      <c r="L48" s="1">
        <v>1310</v>
      </c>
      <c r="M48" s="1">
        <v>0</v>
      </c>
      <c r="N48" s="1">
        <f t="shared" si="4"/>
        <v>1310</v>
      </c>
      <c r="O48" s="14">
        <v>0</v>
      </c>
      <c r="P48" s="17">
        <f t="shared" si="2"/>
        <v>10913</v>
      </c>
      <c r="Q48" s="1">
        <v>0</v>
      </c>
      <c r="R48" s="1">
        <v>0</v>
      </c>
      <c r="S48" s="20">
        <v>38473</v>
      </c>
      <c r="T48" s="1">
        <v>10913</v>
      </c>
      <c r="U48" s="9">
        <v>9603</v>
      </c>
      <c r="V48" s="9" t="s">
        <v>21</v>
      </c>
    </row>
    <row r="49" spans="1:22" x14ac:dyDescent="0.25">
      <c r="A49" s="10" t="s">
        <v>0</v>
      </c>
      <c r="B49" t="b">
        <v>0</v>
      </c>
      <c r="C49" t="b">
        <v>0</v>
      </c>
      <c r="D49" s="1">
        <v>4704</v>
      </c>
      <c r="E49" s="1">
        <v>0</v>
      </c>
      <c r="F49" s="1">
        <v>418</v>
      </c>
      <c r="G49" s="1">
        <v>1673</v>
      </c>
      <c r="H49" s="1">
        <v>0</v>
      </c>
      <c r="I49" s="1">
        <v>0</v>
      </c>
      <c r="J49" s="1">
        <f t="shared" si="1"/>
        <v>6795</v>
      </c>
      <c r="K49" s="1">
        <v>3604</v>
      </c>
      <c r="L49" s="1">
        <v>0</v>
      </c>
      <c r="M49" s="1">
        <v>1947</v>
      </c>
      <c r="N49" s="1">
        <f t="shared" si="4"/>
        <v>5551</v>
      </c>
      <c r="O49" s="14">
        <v>670</v>
      </c>
      <c r="P49" s="17">
        <f t="shared" si="2"/>
        <v>12346</v>
      </c>
      <c r="Q49" s="1">
        <v>0</v>
      </c>
      <c r="R49" s="1">
        <v>0</v>
      </c>
      <c r="S49" s="20">
        <v>38504</v>
      </c>
      <c r="T49" s="1">
        <v>13015</v>
      </c>
      <c r="U49" s="9">
        <v>6795</v>
      </c>
      <c r="V49" s="9" t="s">
        <v>21</v>
      </c>
    </row>
    <row r="50" spans="1:22" x14ac:dyDescent="0.25">
      <c r="A50" s="10" t="s">
        <v>0</v>
      </c>
      <c r="B50" t="b">
        <v>0</v>
      </c>
      <c r="C50" t="b">
        <v>0</v>
      </c>
      <c r="D50" s="1">
        <v>11457</v>
      </c>
      <c r="E50" s="1">
        <v>0</v>
      </c>
      <c r="F50" s="1">
        <v>469</v>
      </c>
      <c r="G50" s="1">
        <v>1617</v>
      </c>
      <c r="H50" s="1">
        <v>0</v>
      </c>
      <c r="I50" s="1">
        <v>0</v>
      </c>
      <c r="J50" s="1">
        <f t="shared" si="1"/>
        <v>13543</v>
      </c>
      <c r="K50" s="1">
        <v>5853</v>
      </c>
      <c r="L50" s="1">
        <v>0</v>
      </c>
      <c r="M50" s="1">
        <v>2549</v>
      </c>
      <c r="N50" s="1">
        <f t="shared" si="4"/>
        <v>8402</v>
      </c>
      <c r="O50" s="14">
        <v>1226</v>
      </c>
      <c r="P50" s="17">
        <f t="shared" si="2"/>
        <v>21945</v>
      </c>
      <c r="Q50" s="1">
        <v>0</v>
      </c>
      <c r="R50" s="1">
        <v>0</v>
      </c>
      <c r="S50" s="20">
        <v>38534</v>
      </c>
      <c r="T50" s="1">
        <v>23171</v>
      </c>
      <c r="U50" s="9">
        <v>13543</v>
      </c>
      <c r="V50" s="9" t="s">
        <v>21</v>
      </c>
    </row>
    <row r="51" spans="1:22" x14ac:dyDescent="0.25">
      <c r="A51" s="10" t="s">
        <v>0</v>
      </c>
      <c r="B51" t="b">
        <v>0</v>
      </c>
      <c r="C51" t="b">
        <v>0</v>
      </c>
      <c r="D51" s="1">
        <v>7834</v>
      </c>
      <c r="E51" s="1">
        <v>0</v>
      </c>
      <c r="F51" s="1">
        <v>135</v>
      </c>
      <c r="G51" s="1">
        <v>1400</v>
      </c>
      <c r="H51" s="1">
        <v>0</v>
      </c>
      <c r="I51" s="1">
        <v>100</v>
      </c>
      <c r="J51" s="1">
        <f t="shared" si="1"/>
        <v>9469</v>
      </c>
      <c r="K51" s="1">
        <v>4463</v>
      </c>
      <c r="L51" s="1">
        <v>0</v>
      </c>
      <c r="M51" s="1">
        <v>2201</v>
      </c>
      <c r="N51" s="1">
        <f t="shared" si="4"/>
        <v>6664</v>
      </c>
      <c r="O51" s="14">
        <v>1107</v>
      </c>
      <c r="P51" s="17">
        <f t="shared" si="2"/>
        <v>16133</v>
      </c>
      <c r="Q51" s="1">
        <v>0</v>
      </c>
      <c r="R51" s="1">
        <v>0</v>
      </c>
      <c r="S51" s="20">
        <v>38565</v>
      </c>
      <c r="T51" s="1">
        <v>17240</v>
      </c>
      <c r="U51" s="9">
        <v>9469</v>
      </c>
      <c r="V51" s="9" t="s">
        <v>21</v>
      </c>
    </row>
    <row r="52" spans="1:22" x14ac:dyDescent="0.25">
      <c r="A52" s="10" t="s">
        <v>0</v>
      </c>
      <c r="B52" t="b">
        <v>0</v>
      </c>
      <c r="C52" t="b">
        <v>0</v>
      </c>
      <c r="D52" s="1">
        <v>6579</v>
      </c>
      <c r="E52" s="1">
        <v>0</v>
      </c>
      <c r="F52" s="1">
        <v>351</v>
      </c>
      <c r="G52" s="1">
        <v>1200</v>
      </c>
      <c r="H52" s="1">
        <v>0</v>
      </c>
      <c r="I52" s="1">
        <v>0</v>
      </c>
      <c r="J52" s="1">
        <f t="shared" si="1"/>
        <v>8130</v>
      </c>
      <c r="K52" s="1">
        <v>4108</v>
      </c>
      <c r="L52" s="1">
        <v>0</v>
      </c>
      <c r="M52" s="1">
        <v>1379</v>
      </c>
      <c r="N52" s="1">
        <f t="shared" si="4"/>
        <v>5487</v>
      </c>
      <c r="O52" s="14">
        <v>947</v>
      </c>
      <c r="P52" s="17">
        <f t="shared" si="2"/>
        <v>13617</v>
      </c>
      <c r="Q52" s="1">
        <v>0</v>
      </c>
      <c r="R52" s="1">
        <v>0</v>
      </c>
      <c r="S52" s="20">
        <v>38596</v>
      </c>
      <c r="T52" s="1">
        <v>14564</v>
      </c>
      <c r="U52" s="9">
        <v>8130</v>
      </c>
      <c r="V52" s="9" t="s">
        <v>21</v>
      </c>
    </row>
    <row r="53" spans="1:22" x14ac:dyDescent="0.25">
      <c r="A53" s="10" t="s">
        <v>0</v>
      </c>
      <c r="B53" t="b">
        <v>0</v>
      </c>
      <c r="C53" t="b">
        <v>0</v>
      </c>
      <c r="D53" s="1">
        <v>3265</v>
      </c>
      <c r="E53" s="1">
        <v>0</v>
      </c>
      <c r="F53" s="1">
        <v>0</v>
      </c>
      <c r="G53" s="1">
        <v>339</v>
      </c>
      <c r="H53" s="1">
        <v>0</v>
      </c>
      <c r="I53" s="1">
        <v>0</v>
      </c>
      <c r="J53" s="1">
        <f t="shared" si="1"/>
        <v>3604</v>
      </c>
      <c r="K53" s="1">
        <v>2248</v>
      </c>
      <c r="L53" s="1">
        <v>0</v>
      </c>
      <c r="M53" s="1">
        <v>450</v>
      </c>
      <c r="N53" s="1">
        <f t="shared" si="4"/>
        <v>2698</v>
      </c>
      <c r="O53" s="14">
        <v>633</v>
      </c>
      <c r="P53" s="17">
        <f t="shared" si="2"/>
        <v>6302</v>
      </c>
      <c r="Q53" s="1">
        <v>0</v>
      </c>
      <c r="R53" s="1">
        <v>0</v>
      </c>
      <c r="S53" s="20">
        <v>38626</v>
      </c>
      <c r="T53" s="1">
        <v>6935</v>
      </c>
      <c r="U53" s="9">
        <v>3604</v>
      </c>
      <c r="V53" s="9" t="s">
        <v>21</v>
      </c>
    </row>
    <row r="54" spans="1:22" x14ac:dyDescent="0.25">
      <c r="A54" s="10" t="s">
        <v>0</v>
      </c>
      <c r="B54" t="b">
        <v>0</v>
      </c>
      <c r="C54" t="b">
        <v>0</v>
      </c>
      <c r="D54" s="1">
        <v>1020</v>
      </c>
      <c r="E54" s="1">
        <v>0</v>
      </c>
      <c r="F54" s="1">
        <v>0</v>
      </c>
      <c r="G54" s="1">
        <v>32</v>
      </c>
      <c r="H54" s="1">
        <v>0</v>
      </c>
      <c r="I54" s="1">
        <v>0</v>
      </c>
      <c r="J54" s="1">
        <f t="shared" si="1"/>
        <v>1052</v>
      </c>
      <c r="K54" s="1">
        <v>1104</v>
      </c>
      <c r="L54" s="1">
        <v>0</v>
      </c>
      <c r="M54" s="1">
        <v>0</v>
      </c>
      <c r="N54" s="1">
        <f t="shared" si="4"/>
        <v>1104</v>
      </c>
      <c r="O54" s="14">
        <v>754</v>
      </c>
      <c r="P54" s="17">
        <f t="shared" si="2"/>
        <v>2156</v>
      </c>
      <c r="Q54" s="1">
        <v>0</v>
      </c>
      <c r="R54" s="1">
        <v>0</v>
      </c>
      <c r="S54" s="20">
        <v>38657</v>
      </c>
      <c r="T54" s="1">
        <v>2910</v>
      </c>
      <c r="U54" s="9">
        <v>1052</v>
      </c>
      <c r="V54" s="9" t="s">
        <v>21</v>
      </c>
    </row>
    <row r="55" spans="1:22" x14ac:dyDescent="0.25">
      <c r="A55" s="10" t="s">
        <v>0</v>
      </c>
      <c r="B55" t="b">
        <v>0</v>
      </c>
      <c r="C55" t="b">
        <v>0</v>
      </c>
      <c r="D55" s="1">
        <v>1020</v>
      </c>
      <c r="E55" s="1">
        <v>0</v>
      </c>
      <c r="F55" s="1">
        <v>0</v>
      </c>
      <c r="G55" s="1">
        <v>32</v>
      </c>
      <c r="H55" s="1">
        <v>0</v>
      </c>
      <c r="I55" s="1">
        <v>0</v>
      </c>
      <c r="J55" s="1">
        <f t="shared" si="1"/>
        <v>1052</v>
      </c>
      <c r="K55" s="1">
        <v>1104</v>
      </c>
      <c r="L55" s="1">
        <v>0</v>
      </c>
      <c r="M55" s="1">
        <v>0</v>
      </c>
      <c r="N55" s="1">
        <f t="shared" si="4"/>
        <v>1104</v>
      </c>
      <c r="O55" s="14">
        <v>754</v>
      </c>
      <c r="P55" s="17">
        <f t="shared" si="2"/>
        <v>2156</v>
      </c>
      <c r="Q55" s="1">
        <v>0</v>
      </c>
      <c r="R55" s="1">
        <v>0</v>
      </c>
      <c r="S55" s="20">
        <v>38687</v>
      </c>
      <c r="T55" s="1">
        <v>2910</v>
      </c>
      <c r="U55" s="9">
        <v>1052</v>
      </c>
      <c r="V55" s="9" t="s">
        <v>21</v>
      </c>
    </row>
    <row r="56" spans="1:22" x14ac:dyDescent="0.25">
      <c r="A56" s="10" t="s">
        <v>0</v>
      </c>
      <c r="B56" t="b">
        <v>0</v>
      </c>
      <c r="C56" t="b">
        <v>0</v>
      </c>
      <c r="D56" s="1">
        <v>1020</v>
      </c>
      <c r="E56" s="1">
        <v>0</v>
      </c>
      <c r="F56" s="1">
        <v>0</v>
      </c>
      <c r="G56" s="1">
        <v>32</v>
      </c>
      <c r="H56" s="1">
        <v>0</v>
      </c>
      <c r="I56" s="1">
        <v>0</v>
      </c>
      <c r="J56" s="1">
        <f t="shared" si="1"/>
        <v>1052</v>
      </c>
      <c r="K56" s="1">
        <v>1104</v>
      </c>
      <c r="L56" s="1">
        <v>0</v>
      </c>
      <c r="M56" s="1">
        <v>0</v>
      </c>
      <c r="N56" s="1">
        <f t="shared" si="4"/>
        <v>1104</v>
      </c>
      <c r="O56" s="14">
        <v>754</v>
      </c>
      <c r="P56" s="17">
        <f t="shared" si="2"/>
        <v>2156</v>
      </c>
      <c r="Q56" s="1">
        <v>0</v>
      </c>
      <c r="R56" s="1">
        <v>0</v>
      </c>
      <c r="S56" s="20">
        <v>38718</v>
      </c>
      <c r="T56" s="1">
        <v>2910</v>
      </c>
      <c r="U56" s="9">
        <v>1052</v>
      </c>
      <c r="V56" s="9" t="s">
        <v>21</v>
      </c>
    </row>
    <row r="57" spans="1:22" x14ac:dyDescent="0.25">
      <c r="A57" s="10" t="s">
        <v>0</v>
      </c>
      <c r="B57" t="b">
        <v>0</v>
      </c>
      <c r="C57" t="b">
        <v>0</v>
      </c>
      <c r="D57" s="1">
        <v>1020</v>
      </c>
      <c r="E57" s="1">
        <v>0</v>
      </c>
      <c r="F57" s="1">
        <v>0</v>
      </c>
      <c r="G57" s="1">
        <v>32</v>
      </c>
      <c r="H57" s="1">
        <v>0</v>
      </c>
      <c r="I57" s="1">
        <v>0</v>
      </c>
      <c r="J57" s="1">
        <f t="shared" si="1"/>
        <v>1052</v>
      </c>
      <c r="K57" s="1">
        <v>1104</v>
      </c>
      <c r="L57" s="1">
        <v>0</v>
      </c>
      <c r="M57" s="1">
        <v>0</v>
      </c>
      <c r="N57" s="1">
        <f t="shared" si="4"/>
        <v>1104</v>
      </c>
      <c r="O57" s="14">
        <v>754</v>
      </c>
      <c r="P57" s="17">
        <f t="shared" si="2"/>
        <v>2156</v>
      </c>
      <c r="Q57" s="1">
        <v>0</v>
      </c>
      <c r="R57" s="1">
        <v>0</v>
      </c>
      <c r="S57" s="20">
        <v>38749</v>
      </c>
      <c r="T57" s="1">
        <v>2910</v>
      </c>
      <c r="U57" s="9">
        <v>1052</v>
      </c>
      <c r="V57" s="9" t="s">
        <v>21</v>
      </c>
    </row>
    <row r="58" spans="1:22" x14ac:dyDescent="0.25">
      <c r="A58" s="10" t="s">
        <v>0</v>
      </c>
      <c r="B58" t="b">
        <v>0</v>
      </c>
      <c r="C58" t="b">
        <v>0</v>
      </c>
      <c r="D58" s="1">
        <v>1020</v>
      </c>
      <c r="E58" s="1">
        <v>0</v>
      </c>
      <c r="F58" s="1">
        <v>0</v>
      </c>
      <c r="G58" s="1">
        <v>32</v>
      </c>
      <c r="H58" s="1">
        <v>0</v>
      </c>
      <c r="I58" s="1">
        <v>0</v>
      </c>
      <c r="J58" s="1">
        <f t="shared" si="1"/>
        <v>1052</v>
      </c>
      <c r="K58" s="1">
        <v>1104</v>
      </c>
      <c r="L58" s="1">
        <v>0</v>
      </c>
      <c r="M58" s="1">
        <v>0</v>
      </c>
      <c r="N58" s="1">
        <f t="shared" si="4"/>
        <v>1104</v>
      </c>
      <c r="O58" s="14">
        <v>754</v>
      </c>
      <c r="P58" s="17">
        <f t="shared" si="2"/>
        <v>2156</v>
      </c>
      <c r="Q58" s="1">
        <v>0</v>
      </c>
      <c r="R58" s="1">
        <v>0</v>
      </c>
      <c r="S58" s="20">
        <v>38777</v>
      </c>
      <c r="T58" s="1">
        <v>2910</v>
      </c>
      <c r="U58" s="9">
        <v>1052</v>
      </c>
      <c r="V58" s="9" t="s">
        <v>21</v>
      </c>
    </row>
    <row r="59" spans="1:22" x14ac:dyDescent="0.25">
      <c r="A59" s="10" t="s">
        <v>0</v>
      </c>
      <c r="B59" t="b">
        <v>0</v>
      </c>
      <c r="C59" t="b">
        <v>0</v>
      </c>
      <c r="D59" s="1">
        <v>1020</v>
      </c>
      <c r="E59" s="1">
        <v>0</v>
      </c>
      <c r="F59" s="1">
        <v>0</v>
      </c>
      <c r="G59" s="1">
        <v>32</v>
      </c>
      <c r="H59" s="1">
        <v>0</v>
      </c>
      <c r="I59" s="1">
        <v>0</v>
      </c>
      <c r="J59" s="1">
        <f t="shared" si="1"/>
        <v>1052</v>
      </c>
      <c r="K59" s="1">
        <v>1104</v>
      </c>
      <c r="L59" s="1">
        <v>0</v>
      </c>
      <c r="M59" s="1">
        <v>0</v>
      </c>
      <c r="N59" s="1">
        <f t="shared" si="4"/>
        <v>1104</v>
      </c>
      <c r="O59" s="14">
        <v>754</v>
      </c>
      <c r="P59" s="17">
        <f t="shared" si="2"/>
        <v>2156</v>
      </c>
      <c r="Q59" s="1">
        <v>0</v>
      </c>
      <c r="R59" s="1">
        <v>0</v>
      </c>
      <c r="S59" s="20">
        <v>38808</v>
      </c>
      <c r="T59" s="1">
        <v>2910</v>
      </c>
      <c r="U59" s="9">
        <v>1052</v>
      </c>
      <c r="V59" s="9" t="s">
        <v>21</v>
      </c>
    </row>
    <row r="60" spans="1:22" x14ac:dyDescent="0.25">
      <c r="A60" s="10" t="s">
        <v>0</v>
      </c>
      <c r="B60" t="b">
        <v>0</v>
      </c>
      <c r="C60" t="b">
        <v>0</v>
      </c>
      <c r="D60" s="1">
        <v>5560</v>
      </c>
      <c r="E60" s="1">
        <v>0</v>
      </c>
      <c r="F60" s="1">
        <v>120</v>
      </c>
      <c r="G60" s="1">
        <v>1350</v>
      </c>
      <c r="H60" s="1">
        <v>0</v>
      </c>
      <c r="I60" s="1">
        <v>60</v>
      </c>
      <c r="J60" s="1">
        <f t="shared" si="1"/>
        <v>7090</v>
      </c>
      <c r="K60" s="1">
        <v>3063</v>
      </c>
      <c r="L60" s="1">
        <v>0</v>
      </c>
      <c r="M60" s="1">
        <v>1565</v>
      </c>
      <c r="N60" s="1">
        <f t="shared" si="4"/>
        <v>4628</v>
      </c>
      <c r="O60" s="14">
        <v>963</v>
      </c>
      <c r="P60" s="17">
        <f t="shared" si="2"/>
        <v>11718</v>
      </c>
      <c r="Q60" s="1">
        <v>0</v>
      </c>
      <c r="R60" s="1">
        <v>0</v>
      </c>
      <c r="S60" s="20">
        <v>38838</v>
      </c>
      <c r="T60" s="1">
        <v>12681</v>
      </c>
      <c r="U60" s="9">
        <v>7090</v>
      </c>
      <c r="V60" s="9" t="s">
        <v>21</v>
      </c>
    </row>
    <row r="61" spans="1:22" x14ac:dyDescent="0.25">
      <c r="A61" s="10" t="s">
        <v>0</v>
      </c>
      <c r="B61" t="b">
        <v>0</v>
      </c>
      <c r="C61" t="b">
        <v>0</v>
      </c>
      <c r="D61" s="1">
        <v>5355</v>
      </c>
      <c r="E61" s="1">
        <v>0</v>
      </c>
      <c r="F61" s="1">
        <v>252</v>
      </c>
      <c r="G61" s="1">
        <v>1338</v>
      </c>
      <c r="H61" s="1">
        <v>0</v>
      </c>
      <c r="I61" s="1">
        <v>77</v>
      </c>
      <c r="J61" s="1">
        <f t="shared" si="1"/>
        <v>7022</v>
      </c>
      <c r="K61" s="1">
        <v>4091</v>
      </c>
      <c r="L61" s="1">
        <v>0</v>
      </c>
      <c r="M61" s="1">
        <v>1343</v>
      </c>
      <c r="N61" s="1">
        <f t="shared" si="4"/>
        <v>5434</v>
      </c>
      <c r="O61" s="14">
        <v>839</v>
      </c>
      <c r="P61" s="17">
        <f t="shared" si="2"/>
        <v>12456</v>
      </c>
      <c r="Q61" s="1">
        <v>0</v>
      </c>
      <c r="R61" s="1">
        <v>0</v>
      </c>
      <c r="S61" s="20">
        <v>38869</v>
      </c>
      <c r="T61" s="1">
        <v>13295</v>
      </c>
      <c r="U61" s="9">
        <v>7022</v>
      </c>
      <c r="V61" s="9" t="s">
        <v>21</v>
      </c>
    </row>
    <row r="62" spans="1:22" x14ac:dyDescent="0.25">
      <c r="A62" s="10" t="s">
        <v>0</v>
      </c>
      <c r="B62" t="b">
        <v>0</v>
      </c>
      <c r="C62" t="b">
        <v>0</v>
      </c>
      <c r="D62" s="1">
        <v>10684</v>
      </c>
      <c r="E62" s="1">
        <v>0</v>
      </c>
      <c r="F62" s="1">
        <v>380</v>
      </c>
      <c r="G62" s="1">
        <v>1453</v>
      </c>
      <c r="H62" s="1">
        <v>0</v>
      </c>
      <c r="I62" s="1">
        <v>0</v>
      </c>
      <c r="J62" s="1">
        <f t="shared" si="1"/>
        <v>12517</v>
      </c>
      <c r="K62" s="1">
        <v>5404</v>
      </c>
      <c r="L62" s="1">
        <v>0</v>
      </c>
      <c r="M62" s="1">
        <v>1989</v>
      </c>
      <c r="N62" s="1">
        <f t="shared" si="4"/>
        <v>7393</v>
      </c>
      <c r="O62" s="14">
        <v>1005</v>
      </c>
      <c r="P62" s="17">
        <f t="shared" si="2"/>
        <v>19910</v>
      </c>
      <c r="Q62" s="1">
        <v>0</v>
      </c>
      <c r="R62" s="1">
        <v>0</v>
      </c>
      <c r="S62" s="20">
        <v>38899</v>
      </c>
      <c r="T62" s="1">
        <v>20915</v>
      </c>
      <c r="U62" s="9">
        <v>12517</v>
      </c>
      <c r="V62" s="9" t="s">
        <v>21</v>
      </c>
    </row>
    <row r="63" spans="1:22" x14ac:dyDescent="0.25">
      <c r="A63" s="10" t="s">
        <v>0</v>
      </c>
      <c r="B63" t="b">
        <v>0</v>
      </c>
      <c r="C63" t="b">
        <v>0</v>
      </c>
      <c r="D63" s="1">
        <v>5631</v>
      </c>
      <c r="E63" s="1">
        <v>0</v>
      </c>
      <c r="F63" s="1">
        <v>91</v>
      </c>
      <c r="G63" s="1">
        <v>1150</v>
      </c>
      <c r="H63" s="1">
        <v>0</v>
      </c>
      <c r="I63" s="1">
        <v>43</v>
      </c>
      <c r="J63" s="1">
        <f t="shared" si="1"/>
        <v>6915</v>
      </c>
      <c r="K63" s="1">
        <v>4393</v>
      </c>
      <c r="L63" s="1">
        <v>0</v>
      </c>
      <c r="M63" s="1">
        <v>2270</v>
      </c>
      <c r="N63" s="1">
        <f t="shared" si="4"/>
        <v>6663</v>
      </c>
      <c r="O63" s="14">
        <v>951</v>
      </c>
      <c r="P63" s="17">
        <f t="shared" si="2"/>
        <v>13578</v>
      </c>
      <c r="Q63" s="1">
        <v>0</v>
      </c>
      <c r="R63" s="1">
        <v>0</v>
      </c>
      <c r="S63" s="20">
        <v>38930</v>
      </c>
      <c r="T63" s="1">
        <v>14529</v>
      </c>
      <c r="U63" s="9">
        <v>6915</v>
      </c>
      <c r="V63" s="9" t="s">
        <v>21</v>
      </c>
    </row>
    <row r="64" spans="1:22" x14ac:dyDescent="0.25">
      <c r="A64" s="10" t="s">
        <v>0</v>
      </c>
      <c r="B64" t="b">
        <v>0</v>
      </c>
      <c r="C64" t="b">
        <v>0</v>
      </c>
      <c r="D64" s="1">
        <v>7618</v>
      </c>
      <c r="E64" s="1">
        <v>0</v>
      </c>
      <c r="F64" s="1">
        <v>392</v>
      </c>
      <c r="G64" s="1">
        <v>1031</v>
      </c>
      <c r="H64" s="1">
        <v>0</v>
      </c>
      <c r="I64" s="1">
        <v>25</v>
      </c>
      <c r="J64" s="1">
        <f t="shared" si="1"/>
        <v>9066</v>
      </c>
      <c r="K64" s="1">
        <v>3665</v>
      </c>
      <c r="L64" s="1">
        <v>0</v>
      </c>
      <c r="M64" s="1">
        <v>1604</v>
      </c>
      <c r="N64" s="1">
        <f t="shared" si="4"/>
        <v>5269</v>
      </c>
      <c r="O64" s="14">
        <v>1154</v>
      </c>
      <c r="P64" s="17">
        <f t="shared" si="2"/>
        <v>14335</v>
      </c>
      <c r="Q64" s="1">
        <v>0</v>
      </c>
      <c r="R64" s="1">
        <v>0</v>
      </c>
      <c r="S64" s="20">
        <v>38961</v>
      </c>
      <c r="T64" s="1">
        <v>15489</v>
      </c>
      <c r="U64" s="9">
        <v>9066</v>
      </c>
      <c r="V64" s="9" t="s">
        <v>21</v>
      </c>
    </row>
    <row r="65" spans="1:22" x14ac:dyDescent="0.25">
      <c r="A65" s="10" t="s">
        <v>0</v>
      </c>
      <c r="B65" t="b">
        <v>0</v>
      </c>
      <c r="C65" t="b">
        <v>0</v>
      </c>
      <c r="D65" s="1">
        <v>4019</v>
      </c>
      <c r="E65" s="1">
        <v>0</v>
      </c>
      <c r="F65" s="1">
        <v>60</v>
      </c>
      <c r="G65" s="1">
        <v>560</v>
      </c>
      <c r="H65" s="1">
        <v>0</v>
      </c>
      <c r="I65" s="1">
        <v>0</v>
      </c>
      <c r="J65" s="1">
        <f t="shared" si="1"/>
        <v>4639</v>
      </c>
      <c r="K65" s="1">
        <v>2412</v>
      </c>
      <c r="L65" s="1">
        <v>0</v>
      </c>
      <c r="M65" s="1">
        <v>772</v>
      </c>
      <c r="N65" s="1">
        <f t="shared" si="4"/>
        <v>3184</v>
      </c>
      <c r="O65" s="14">
        <v>1047</v>
      </c>
      <c r="P65" s="17">
        <f t="shared" si="2"/>
        <v>7823</v>
      </c>
      <c r="Q65" s="1">
        <v>0</v>
      </c>
      <c r="R65" s="1">
        <v>0</v>
      </c>
      <c r="S65" s="20">
        <v>38991</v>
      </c>
      <c r="T65" s="1">
        <v>8870</v>
      </c>
      <c r="U65" s="9">
        <v>4639</v>
      </c>
      <c r="V65" s="9" t="s">
        <v>21</v>
      </c>
    </row>
    <row r="66" spans="1:22" x14ac:dyDescent="0.25">
      <c r="A66" s="10" t="s">
        <v>0</v>
      </c>
      <c r="B66" t="b">
        <v>0</v>
      </c>
      <c r="C66" t="b">
        <v>0</v>
      </c>
      <c r="D66" s="1">
        <v>1020</v>
      </c>
      <c r="E66" s="1">
        <v>0</v>
      </c>
      <c r="F66" s="1">
        <v>0</v>
      </c>
      <c r="G66" s="1">
        <v>32</v>
      </c>
      <c r="H66" s="1">
        <v>0</v>
      </c>
      <c r="I66" s="1">
        <v>0</v>
      </c>
      <c r="J66" s="1">
        <f t="shared" si="1"/>
        <v>1052</v>
      </c>
      <c r="K66" s="1">
        <v>1104</v>
      </c>
      <c r="L66" s="1">
        <v>0</v>
      </c>
      <c r="M66" s="1">
        <v>0</v>
      </c>
      <c r="N66" s="1">
        <f t="shared" si="4"/>
        <v>1104</v>
      </c>
      <c r="O66" s="14">
        <v>754</v>
      </c>
      <c r="P66" s="17">
        <f t="shared" si="2"/>
        <v>2156</v>
      </c>
      <c r="Q66" s="1">
        <v>0</v>
      </c>
      <c r="R66" s="1">
        <v>0</v>
      </c>
      <c r="S66" s="20">
        <v>39022</v>
      </c>
      <c r="T66" s="1">
        <v>2910</v>
      </c>
      <c r="U66" s="9">
        <v>1052</v>
      </c>
      <c r="V66" s="9" t="s">
        <v>21</v>
      </c>
    </row>
    <row r="67" spans="1:22" x14ac:dyDescent="0.25">
      <c r="A67" s="10" t="s">
        <v>0</v>
      </c>
      <c r="B67" t="b">
        <v>0</v>
      </c>
      <c r="C67" t="b">
        <v>0</v>
      </c>
      <c r="D67" s="1">
        <v>1020</v>
      </c>
      <c r="E67" s="1">
        <v>0</v>
      </c>
      <c r="F67" s="1">
        <v>0</v>
      </c>
      <c r="G67" s="1">
        <v>32</v>
      </c>
      <c r="H67" s="1">
        <v>0</v>
      </c>
      <c r="I67" s="1">
        <v>0</v>
      </c>
      <c r="J67" s="1">
        <f t="shared" ref="J67:J130" si="5">D67+E67+F67+G67+H67+I67</f>
        <v>1052</v>
      </c>
      <c r="K67" s="1">
        <v>1104</v>
      </c>
      <c r="L67" s="1">
        <v>0</v>
      </c>
      <c r="M67" s="1">
        <v>0</v>
      </c>
      <c r="N67" s="1">
        <f t="shared" si="4"/>
        <v>1104</v>
      </c>
      <c r="O67" s="14">
        <v>754</v>
      </c>
      <c r="P67" s="17">
        <f t="shared" ref="P67:P130" si="6">J67+N67</f>
        <v>2156</v>
      </c>
      <c r="Q67" s="1">
        <v>0</v>
      </c>
      <c r="R67" s="1">
        <v>0</v>
      </c>
      <c r="S67" s="20">
        <v>39052</v>
      </c>
      <c r="T67" s="1">
        <v>2910</v>
      </c>
      <c r="U67" s="9">
        <v>1052</v>
      </c>
      <c r="V67" s="9" t="s">
        <v>21</v>
      </c>
    </row>
    <row r="68" spans="1:22" x14ac:dyDescent="0.25">
      <c r="A68" s="10" t="s">
        <v>0</v>
      </c>
      <c r="B68" t="b">
        <v>0</v>
      </c>
      <c r="C68" t="b">
        <v>0</v>
      </c>
      <c r="D68" s="1">
        <v>1020</v>
      </c>
      <c r="E68" s="1">
        <v>0</v>
      </c>
      <c r="F68" s="1">
        <v>0</v>
      </c>
      <c r="G68" s="1">
        <v>32</v>
      </c>
      <c r="H68" s="1">
        <v>0</v>
      </c>
      <c r="I68" s="1">
        <v>0</v>
      </c>
      <c r="J68" s="1">
        <f t="shared" si="5"/>
        <v>1052</v>
      </c>
      <c r="K68" s="1">
        <v>1104</v>
      </c>
      <c r="L68" s="1">
        <v>0</v>
      </c>
      <c r="M68" s="1">
        <v>0</v>
      </c>
      <c r="N68" s="1">
        <f t="shared" si="4"/>
        <v>1104</v>
      </c>
      <c r="O68" s="14">
        <v>754</v>
      </c>
      <c r="P68" s="17">
        <f t="shared" si="6"/>
        <v>2156</v>
      </c>
      <c r="Q68" s="1">
        <v>0</v>
      </c>
      <c r="R68" s="1">
        <v>0</v>
      </c>
      <c r="S68" s="20">
        <v>39083</v>
      </c>
      <c r="T68" s="1">
        <v>2910</v>
      </c>
      <c r="U68" s="9">
        <v>1052</v>
      </c>
      <c r="V68" s="9" t="s">
        <v>41</v>
      </c>
    </row>
    <row r="69" spans="1:22" x14ac:dyDescent="0.25">
      <c r="A69" s="10" t="s">
        <v>0</v>
      </c>
      <c r="B69" t="b">
        <v>0</v>
      </c>
      <c r="C69" t="b">
        <v>0</v>
      </c>
      <c r="D69" s="1">
        <v>1020</v>
      </c>
      <c r="E69" s="1">
        <v>0</v>
      </c>
      <c r="F69" s="1">
        <v>0</v>
      </c>
      <c r="G69" s="1">
        <v>32</v>
      </c>
      <c r="H69" s="1">
        <v>0</v>
      </c>
      <c r="I69" s="1">
        <v>0</v>
      </c>
      <c r="J69" s="1">
        <f t="shared" si="5"/>
        <v>1052</v>
      </c>
      <c r="K69" s="1">
        <v>1104</v>
      </c>
      <c r="L69" s="1">
        <v>0</v>
      </c>
      <c r="M69" s="1">
        <v>0</v>
      </c>
      <c r="N69" s="1">
        <f t="shared" si="4"/>
        <v>1104</v>
      </c>
      <c r="O69" s="14">
        <v>754</v>
      </c>
      <c r="P69" s="17">
        <f t="shared" si="6"/>
        <v>2156</v>
      </c>
      <c r="Q69" s="1">
        <v>0</v>
      </c>
      <c r="R69" s="1">
        <v>0</v>
      </c>
      <c r="S69" s="20">
        <v>39114</v>
      </c>
      <c r="T69" s="1">
        <v>2910</v>
      </c>
      <c r="U69" s="9">
        <v>1052</v>
      </c>
      <c r="V69" s="9" t="s">
        <v>41</v>
      </c>
    </row>
    <row r="70" spans="1:22" x14ac:dyDescent="0.25">
      <c r="A70" s="10" t="s">
        <v>0</v>
      </c>
      <c r="B70" t="b">
        <v>0</v>
      </c>
      <c r="C70" t="b">
        <v>0</v>
      </c>
      <c r="D70" s="1">
        <v>5609</v>
      </c>
      <c r="E70" s="1">
        <v>0</v>
      </c>
      <c r="F70" s="1">
        <v>15</v>
      </c>
      <c r="G70" s="1">
        <v>1123</v>
      </c>
      <c r="H70" s="1">
        <v>0</v>
      </c>
      <c r="I70" s="1">
        <v>0</v>
      </c>
      <c r="J70" s="1">
        <f t="shared" si="5"/>
        <v>6747</v>
      </c>
      <c r="K70" s="1">
        <v>2085</v>
      </c>
      <c r="L70" s="1">
        <v>0</v>
      </c>
      <c r="M70" s="1">
        <v>382</v>
      </c>
      <c r="N70" s="1">
        <f t="shared" si="4"/>
        <v>2467</v>
      </c>
      <c r="O70" s="14">
        <v>1313</v>
      </c>
      <c r="P70" s="17">
        <f t="shared" si="6"/>
        <v>9214</v>
      </c>
      <c r="Q70" s="1">
        <v>0</v>
      </c>
      <c r="R70" s="1">
        <v>0</v>
      </c>
      <c r="S70" s="20">
        <v>39142</v>
      </c>
      <c r="T70" s="1">
        <v>10527</v>
      </c>
      <c r="U70" s="9">
        <v>6747</v>
      </c>
      <c r="V70" s="9" t="s">
        <v>41</v>
      </c>
    </row>
    <row r="71" spans="1:22" x14ac:dyDescent="0.25">
      <c r="A71" s="10" t="s">
        <v>0</v>
      </c>
      <c r="B71" t="b">
        <v>0</v>
      </c>
      <c r="C71" t="b">
        <v>0</v>
      </c>
      <c r="D71" s="1">
        <v>4032</v>
      </c>
      <c r="E71" s="1">
        <v>0</v>
      </c>
      <c r="F71" s="1">
        <v>182</v>
      </c>
      <c r="G71" s="1">
        <v>1463</v>
      </c>
      <c r="H71" s="1">
        <v>0</v>
      </c>
      <c r="I71" s="1">
        <v>0</v>
      </c>
      <c r="J71" s="1">
        <f t="shared" si="5"/>
        <v>5677</v>
      </c>
      <c r="K71" s="1">
        <v>2012</v>
      </c>
      <c r="L71" s="1">
        <v>0</v>
      </c>
      <c r="M71" s="1">
        <v>983</v>
      </c>
      <c r="N71" s="1">
        <f t="shared" si="4"/>
        <v>2995</v>
      </c>
      <c r="O71" s="14">
        <v>872</v>
      </c>
      <c r="P71" s="17">
        <f t="shared" si="6"/>
        <v>8672</v>
      </c>
      <c r="Q71" s="1">
        <v>0</v>
      </c>
      <c r="R71" s="1">
        <v>0</v>
      </c>
      <c r="S71" s="20">
        <v>39173</v>
      </c>
      <c r="T71" s="1">
        <v>9544</v>
      </c>
      <c r="U71" s="9">
        <v>5677</v>
      </c>
      <c r="V71" s="9" t="s">
        <v>41</v>
      </c>
    </row>
    <row r="72" spans="1:22" x14ac:dyDescent="0.25">
      <c r="A72" s="10" t="s">
        <v>0</v>
      </c>
      <c r="B72" t="b">
        <v>0</v>
      </c>
      <c r="C72" t="b">
        <v>0</v>
      </c>
      <c r="D72" s="1">
        <v>4651</v>
      </c>
      <c r="E72" s="1">
        <v>0</v>
      </c>
      <c r="F72" s="1">
        <v>111</v>
      </c>
      <c r="G72" s="1">
        <v>1215</v>
      </c>
      <c r="H72" s="1">
        <v>0</v>
      </c>
      <c r="I72" s="1">
        <v>53</v>
      </c>
      <c r="J72" s="1">
        <f t="shared" si="5"/>
        <v>6030</v>
      </c>
      <c r="K72" s="1">
        <v>2632</v>
      </c>
      <c r="L72" s="1">
        <v>0</v>
      </c>
      <c r="M72" s="1">
        <v>1500</v>
      </c>
      <c r="N72" s="1">
        <f t="shared" si="4"/>
        <v>4132</v>
      </c>
      <c r="O72" s="14">
        <v>909</v>
      </c>
      <c r="P72" s="17">
        <f t="shared" si="6"/>
        <v>10162</v>
      </c>
      <c r="Q72" s="1">
        <v>0</v>
      </c>
      <c r="R72" s="1">
        <v>0</v>
      </c>
      <c r="S72" s="20">
        <v>39203</v>
      </c>
      <c r="T72" s="1">
        <v>11071</v>
      </c>
      <c r="U72" s="9">
        <v>6030</v>
      </c>
      <c r="V72" s="9" t="s">
        <v>41</v>
      </c>
    </row>
    <row r="73" spans="1:22" x14ac:dyDescent="0.25">
      <c r="A73" s="10" t="s">
        <v>0</v>
      </c>
      <c r="B73" t="b">
        <v>0</v>
      </c>
      <c r="C73" t="b">
        <v>0</v>
      </c>
      <c r="D73" s="1">
        <v>6461</v>
      </c>
      <c r="E73" s="1">
        <v>0</v>
      </c>
      <c r="F73" s="1">
        <v>325</v>
      </c>
      <c r="G73" s="1">
        <v>1087</v>
      </c>
      <c r="H73" s="1">
        <v>0</v>
      </c>
      <c r="I73" s="1">
        <v>0</v>
      </c>
      <c r="J73" s="1">
        <f t="shared" si="5"/>
        <v>7873</v>
      </c>
      <c r="K73" s="1">
        <v>3945</v>
      </c>
      <c r="L73" s="1">
        <v>0</v>
      </c>
      <c r="M73" s="1">
        <v>1713</v>
      </c>
      <c r="N73" s="1">
        <f t="shared" si="4"/>
        <v>5658</v>
      </c>
      <c r="O73" s="14">
        <v>976</v>
      </c>
      <c r="P73" s="17">
        <f t="shared" si="6"/>
        <v>13531</v>
      </c>
      <c r="Q73" s="1">
        <v>0</v>
      </c>
      <c r="R73" s="1">
        <v>0</v>
      </c>
      <c r="S73" s="20">
        <v>39234</v>
      </c>
      <c r="T73" s="1">
        <v>14507</v>
      </c>
      <c r="U73" s="9">
        <v>7873</v>
      </c>
      <c r="V73" s="9" t="s">
        <v>41</v>
      </c>
    </row>
    <row r="74" spans="1:22" x14ac:dyDescent="0.25">
      <c r="A74" s="10" t="s">
        <v>0</v>
      </c>
      <c r="B74" t="b">
        <v>0</v>
      </c>
      <c r="C74" t="b">
        <v>0</v>
      </c>
      <c r="D74" s="1">
        <v>8191</v>
      </c>
      <c r="E74" s="1">
        <v>0</v>
      </c>
      <c r="F74" s="1">
        <v>290</v>
      </c>
      <c r="G74" s="1">
        <v>1410</v>
      </c>
      <c r="H74" s="1">
        <v>0</v>
      </c>
      <c r="I74" s="1">
        <v>0</v>
      </c>
      <c r="J74" s="1">
        <f t="shared" si="5"/>
        <v>9891</v>
      </c>
      <c r="K74" s="1">
        <v>5379</v>
      </c>
      <c r="L74" s="1">
        <v>0</v>
      </c>
      <c r="M74" s="1">
        <v>3008</v>
      </c>
      <c r="N74" s="1">
        <f t="shared" si="4"/>
        <v>8387</v>
      </c>
      <c r="O74" s="14">
        <v>1040</v>
      </c>
      <c r="P74" s="17">
        <f t="shared" si="6"/>
        <v>18278</v>
      </c>
      <c r="Q74" s="1">
        <v>0</v>
      </c>
      <c r="R74" s="1">
        <v>0</v>
      </c>
      <c r="S74" s="20">
        <v>39264</v>
      </c>
      <c r="T74" s="1">
        <v>19318</v>
      </c>
      <c r="U74" s="9">
        <v>9891</v>
      </c>
      <c r="V74" s="9" t="s">
        <v>41</v>
      </c>
    </row>
    <row r="75" spans="1:22" x14ac:dyDescent="0.25">
      <c r="A75" s="10" t="s">
        <v>0</v>
      </c>
      <c r="B75" t="b">
        <v>0</v>
      </c>
      <c r="C75" t="b">
        <v>0</v>
      </c>
      <c r="D75" s="1">
        <v>6512</v>
      </c>
      <c r="E75" s="1">
        <v>0</v>
      </c>
      <c r="F75" s="1">
        <v>170</v>
      </c>
      <c r="G75" s="1">
        <v>1369</v>
      </c>
      <c r="H75" s="1">
        <v>0</v>
      </c>
      <c r="I75" s="1">
        <v>0</v>
      </c>
      <c r="J75" s="1">
        <f t="shared" si="5"/>
        <v>8051</v>
      </c>
      <c r="K75" s="1">
        <v>4794</v>
      </c>
      <c r="L75" s="1">
        <v>0</v>
      </c>
      <c r="M75" s="1">
        <v>2320</v>
      </c>
      <c r="N75" s="1">
        <f t="shared" si="4"/>
        <v>7114</v>
      </c>
      <c r="O75" s="14">
        <v>1213</v>
      </c>
      <c r="P75" s="17">
        <f t="shared" si="6"/>
        <v>15165</v>
      </c>
      <c r="Q75" s="1">
        <v>0</v>
      </c>
      <c r="R75" s="1">
        <v>0</v>
      </c>
      <c r="S75" s="20">
        <v>39295</v>
      </c>
      <c r="T75" s="1">
        <v>16378</v>
      </c>
      <c r="U75" s="9">
        <v>8051</v>
      </c>
      <c r="V75" s="9" t="s">
        <v>41</v>
      </c>
    </row>
    <row r="76" spans="1:22" x14ac:dyDescent="0.25">
      <c r="A76" s="10" t="s">
        <v>0</v>
      </c>
      <c r="B76" t="b">
        <v>0</v>
      </c>
      <c r="C76" t="b">
        <v>0</v>
      </c>
      <c r="D76" s="1">
        <v>7764</v>
      </c>
      <c r="E76" s="1">
        <v>0</v>
      </c>
      <c r="F76" s="1">
        <v>275</v>
      </c>
      <c r="G76" s="1">
        <v>1168</v>
      </c>
      <c r="H76" s="1">
        <v>0</v>
      </c>
      <c r="I76" s="1">
        <v>0</v>
      </c>
      <c r="J76" s="1">
        <f t="shared" si="5"/>
        <v>9207</v>
      </c>
      <c r="K76" s="1">
        <v>3300</v>
      </c>
      <c r="L76" s="1">
        <v>0</v>
      </c>
      <c r="M76" s="1">
        <v>1269</v>
      </c>
      <c r="N76" s="1">
        <f t="shared" si="4"/>
        <v>4569</v>
      </c>
      <c r="O76" s="14">
        <v>1200</v>
      </c>
      <c r="P76" s="17">
        <f t="shared" si="6"/>
        <v>13776</v>
      </c>
      <c r="Q76" s="1">
        <v>0</v>
      </c>
      <c r="R76" s="1">
        <v>0</v>
      </c>
      <c r="S76" s="20">
        <v>39326</v>
      </c>
      <c r="T76" s="1">
        <v>14976</v>
      </c>
      <c r="U76" s="9">
        <v>9207</v>
      </c>
      <c r="V76" s="9" t="s">
        <v>41</v>
      </c>
    </row>
    <row r="77" spans="1:22" x14ac:dyDescent="0.25">
      <c r="A77" s="10" t="s">
        <v>0</v>
      </c>
      <c r="B77" t="b">
        <v>0</v>
      </c>
      <c r="C77" t="b">
        <v>0</v>
      </c>
      <c r="D77" s="1">
        <v>5564</v>
      </c>
      <c r="E77" s="1">
        <v>0</v>
      </c>
      <c r="F77" s="1">
        <v>255</v>
      </c>
      <c r="G77" s="1">
        <v>982</v>
      </c>
      <c r="H77" s="1">
        <v>0</v>
      </c>
      <c r="I77" s="1">
        <v>107</v>
      </c>
      <c r="J77" s="1">
        <f t="shared" si="5"/>
        <v>6908</v>
      </c>
      <c r="K77" s="1">
        <v>2700</v>
      </c>
      <c r="L77" s="1">
        <v>0</v>
      </c>
      <c r="M77" s="1">
        <v>875</v>
      </c>
      <c r="N77" s="1">
        <f t="shared" si="4"/>
        <v>3575</v>
      </c>
      <c r="O77" s="14">
        <v>2021</v>
      </c>
      <c r="P77" s="17">
        <f t="shared" si="6"/>
        <v>10483</v>
      </c>
      <c r="Q77" s="1">
        <v>0</v>
      </c>
      <c r="R77" s="1">
        <v>0</v>
      </c>
      <c r="S77" s="20">
        <v>39356</v>
      </c>
      <c r="T77" s="1">
        <v>12504</v>
      </c>
      <c r="U77" s="9">
        <v>6908</v>
      </c>
      <c r="V77" s="9" t="s">
        <v>41</v>
      </c>
    </row>
    <row r="78" spans="1:22" x14ac:dyDescent="0.25">
      <c r="A78" s="10" t="s">
        <v>0</v>
      </c>
      <c r="B78" t="b">
        <v>0</v>
      </c>
      <c r="C78" t="b">
        <v>0</v>
      </c>
      <c r="D78" s="1">
        <v>5751</v>
      </c>
      <c r="E78" s="1">
        <v>0</v>
      </c>
      <c r="F78" s="1">
        <v>0</v>
      </c>
      <c r="G78" s="1">
        <v>774</v>
      </c>
      <c r="H78" s="1">
        <v>0</v>
      </c>
      <c r="I78" s="1">
        <v>0</v>
      </c>
      <c r="J78" s="1">
        <f t="shared" si="5"/>
        <v>6525</v>
      </c>
      <c r="K78" s="1">
        <v>1435</v>
      </c>
      <c r="L78" s="1">
        <v>0</v>
      </c>
      <c r="M78" s="1">
        <v>0</v>
      </c>
      <c r="N78" s="1">
        <f t="shared" si="4"/>
        <v>1435</v>
      </c>
      <c r="O78" s="14">
        <v>2301</v>
      </c>
      <c r="P78" s="17">
        <f t="shared" si="6"/>
        <v>7960</v>
      </c>
      <c r="Q78" s="1">
        <v>0</v>
      </c>
      <c r="R78" s="1">
        <v>0</v>
      </c>
      <c r="S78" s="20">
        <v>39387</v>
      </c>
      <c r="T78" s="1">
        <v>10261</v>
      </c>
      <c r="U78" s="9">
        <v>6525</v>
      </c>
      <c r="V78" s="9" t="s">
        <v>41</v>
      </c>
    </row>
    <row r="79" spans="1:22" x14ac:dyDescent="0.25">
      <c r="A79" s="10" t="s">
        <v>0</v>
      </c>
      <c r="B79" t="b">
        <v>0</v>
      </c>
      <c r="C79" t="b">
        <v>0</v>
      </c>
      <c r="D79" s="1">
        <v>2187</v>
      </c>
      <c r="E79" s="1">
        <v>0</v>
      </c>
      <c r="F79" s="1">
        <v>0</v>
      </c>
      <c r="G79" s="1">
        <v>230</v>
      </c>
      <c r="H79" s="1">
        <v>0</v>
      </c>
      <c r="I79" s="1">
        <v>0</v>
      </c>
      <c r="J79" s="1">
        <f t="shared" si="5"/>
        <v>2417</v>
      </c>
      <c r="K79" s="1">
        <v>401</v>
      </c>
      <c r="L79" s="1">
        <v>0</v>
      </c>
      <c r="M79" s="1">
        <v>0</v>
      </c>
      <c r="N79" s="1">
        <f t="shared" si="4"/>
        <v>401</v>
      </c>
      <c r="O79" s="14">
        <v>748</v>
      </c>
      <c r="P79" s="17">
        <f t="shared" si="6"/>
        <v>2818</v>
      </c>
      <c r="Q79" s="1">
        <v>0</v>
      </c>
      <c r="R79" s="1">
        <v>0</v>
      </c>
      <c r="S79" s="20">
        <v>39417</v>
      </c>
      <c r="T79" s="1">
        <v>3566</v>
      </c>
      <c r="U79" s="9">
        <v>2417</v>
      </c>
      <c r="V79" s="9" t="s">
        <v>41</v>
      </c>
    </row>
    <row r="80" spans="1:22" x14ac:dyDescent="0.25">
      <c r="A80" s="10" t="s">
        <v>0</v>
      </c>
      <c r="B80" t="b">
        <v>0</v>
      </c>
      <c r="C80" t="b">
        <v>0</v>
      </c>
      <c r="D80" s="1">
        <v>794</v>
      </c>
      <c r="E80" s="1">
        <v>0</v>
      </c>
      <c r="F80" s="1">
        <v>0</v>
      </c>
      <c r="G80" s="1">
        <v>212</v>
      </c>
      <c r="H80" s="1">
        <v>0</v>
      </c>
      <c r="I80" s="1">
        <v>0</v>
      </c>
      <c r="J80" s="1">
        <f t="shared" si="5"/>
        <v>1006</v>
      </c>
      <c r="K80" s="1">
        <v>312</v>
      </c>
      <c r="L80" s="1">
        <v>0</v>
      </c>
      <c r="M80" s="1">
        <v>0</v>
      </c>
      <c r="N80" s="1">
        <f t="shared" si="4"/>
        <v>312</v>
      </c>
      <c r="O80" s="14">
        <v>353</v>
      </c>
      <c r="P80" s="17">
        <f t="shared" si="6"/>
        <v>1318</v>
      </c>
      <c r="Q80" s="1">
        <v>0</v>
      </c>
      <c r="R80" s="1">
        <v>0</v>
      </c>
      <c r="S80" s="20">
        <v>39448</v>
      </c>
      <c r="T80" s="1">
        <v>1671</v>
      </c>
      <c r="U80" s="9">
        <v>1006</v>
      </c>
      <c r="V80" s="9" t="s">
        <v>46</v>
      </c>
    </row>
    <row r="81" spans="1:22" x14ac:dyDescent="0.25">
      <c r="A81" s="10" t="s">
        <v>0</v>
      </c>
      <c r="B81" t="b">
        <v>0</v>
      </c>
      <c r="C81" t="b">
        <v>0</v>
      </c>
      <c r="D81" s="1">
        <v>1526</v>
      </c>
      <c r="E81" s="1">
        <v>0</v>
      </c>
      <c r="F81" s="1">
        <v>0</v>
      </c>
      <c r="G81" s="1">
        <v>370</v>
      </c>
      <c r="H81" s="1">
        <v>0</v>
      </c>
      <c r="I81" s="1">
        <v>0</v>
      </c>
      <c r="J81" s="1">
        <f t="shared" si="5"/>
        <v>1896</v>
      </c>
      <c r="K81" s="1">
        <v>531</v>
      </c>
      <c r="L81" s="1">
        <v>0</v>
      </c>
      <c r="M81" s="1">
        <v>0</v>
      </c>
      <c r="N81" s="1">
        <f t="shared" si="4"/>
        <v>531</v>
      </c>
      <c r="O81" s="14">
        <v>463</v>
      </c>
      <c r="P81" s="17">
        <f t="shared" si="6"/>
        <v>2427</v>
      </c>
      <c r="Q81" s="1">
        <v>0</v>
      </c>
      <c r="R81" s="1">
        <v>0</v>
      </c>
      <c r="S81" s="20">
        <v>39479</v>
      </c>
      <c r="T81" s="1">
        <v>2890</v>
      </c>
      <c r="U81" s="9">
        <v>1896</v>
      </c>
      <c r="V81" s="9" t="s">
        <v>46</v>
      </c>
    </row>
    <row r="82" spans="1:22" x14ac:dyDescent="0.25">
      <c r="A82" s="10" t="s">
        <v>0</v>
      </c>
      <c r="B82" t="b">
        <v>0</v>
      </c>
      <c r="C82" t="b">
        <v>0</v>
      </c>
      <c r="D82" s="1">
        <v>4664</v>
      </c>
      <c r="E82" s="1">
        <v>0</v>
      </c>
      <c r="F82" s="1">
        <v>60</v>
      </c>
      <c r="G82" s="1">
        <v>1066</v>
      </c>
      <c r="H82" s="1">
        <v>2</v>
      </c>
      <c r="I82" s="1">
        <v>80</v>
      </c>
      <c r="J82" s="1">
        <f t="shared" si="5"/>
        <v>5872</v>
      </c>
      <c r="K82" s="1">
        <v>1895</v>
      </c>
      <c r="L82" s="1">
        <v>0</v>
      </c>
      <c r="M82" s="1">
        <v>544</v>
      </c>
      <c r="N82" s="1">
        <f t="shared" si="4"/>
        <v>2439</v>
      </c>
      <c r="O82" s="14">
        <v>976</v>
      </c>
      <c r="P82" s="17">
        <f t="shared" si="6"/>
        <v>8311</v>
      </c>
      <c r="Q82" s="1">
        <v>0</v>
      </c>
      <c r="R82" s="1">
        <v>0</v>
      </c>
      <c r="S82" s="20">
        <v>39508</v>
      </c>
      <c r="T82" s="1">
        <v>9287</v>
      </c>
      <c r="U82" s="9">
        <v>5872</v>
      </c>
      <c r="V82" s="9" t="s">
        <v>46</v>
      </c>
    </row>
    <row r="83" spans="1:22" x14ac:dyDescent="0.25">
      <c r="A83" s="10" t="s">
        <v>0</v>
      </c>
      <c r="B83" t="b">
        <v>0</v>
      </c>
      <c r="C83" t="b">
        <v>0</v>
      </c>
      <c r="D83" s="1">
        <v>5922</v>
      </c>
      <c r="E83" s="1">
        <v>0</v>
      </c>
      <c r="F83" s="1">
        <v>0</v>
      </c>
      <c r="G83" s="1">
        <v>1428</v>
      </c>
      <c r="H83" s="1">
        <v>0</v>
      </c>
      <c r="I83" s="1">
        <v>28</v>
      </c>
      <c r="J83" s="1">
        <f t="shared" si="5"/>
        <v>7378</v>
      </c>
      <c r="K83" s="1">
        <v>1984</v>
      </c>
      <c r="L83" s="1">
        <v>0</v>
      </c>
      <c r="M83" s="1">
        <v>758</v>
      </c>
      <c r="N83" s="1">
        <f t="shared" si="4"/>
        <v>2742</v>
      </c>
      <c r="O83" s="14">
        <v>1214</v>
      </c>
      <c r="P83" s="17">
        <f t="shared" si="6"/>
        <v>10120</v>
      </c>
      <c r="Q83" s="1">
        <v>0</v>
      </c>
      <c r="R83" s="1">
        <v>0</v>
      </c>
      <c r="S83" s="20">
        <v>39539</v>
      </c>
      <c r="T83" s="1">
        <v>11334</v>
      </c>
      <c r="U83" s="9">
        <v>7378</v>
      </c>
      <c r="V83" s="9" t="s">
        <v>46</v>
      </c>
    </row>
    <row r="84" spans="1:22" x14ac:dyDescent="0.25">
      <c r="A84" s="10" t="s">
        <v>0</v>
      </c>
      <c r="B84" t="b">
        <v>0</v>
      </c>
      <c r="C84" t="b">
        <v>0</v>
      </c>
      <c r="D84" s="1">
        <v>8548</v>
      </c>
      <c r="E84" s="1">
        <v>0</v>
      </c>
      <c r="F84" s="1">
        <v>175</v>
      </c>
      <c r="G84" s="1">
        <v>1452</v>
      </c>
      <c r="H84" s="1">
        <v>0</v>
      </c>
      <c r="I84" s="1">
        <v>0</v>
      </c>
      <c r="J84" s="1">
        <f t="shared" si="5"/>
        <v>10175</v>
      </c>
      <c r="K84" s="1">
        <v>3635</v>
      </c>
      <c r="L84" s="1">
        <v>0</v>
      </c>
      <c r="M84" s="1">
        <v>1588</v>
      </c>
      <c r="N84" s="1">
        <f t="shared" si="4"/>
        <v>5223</v>
      </c>
      <c r="O84" s="14">
        <v>1193</v>
      </c>
      <c r="P84" s="17">
        <f t="shared" si="6"/>
        <v>15398</v>
      </c>
      <c r="Q84" s="1">
        <v>0</v>
      </c>
      <c r="R84" s="1">
        <v>0</v>
      </c>
      <c r="S84" s="20">
        <v>39569</v>
      </c>
      <c r="T84" s="1">
        <v>16591</v>
      </c>
      <c r="U84" s="9">
        <v>10175</v>
      </c>
      <c r="V84" s="9" t="s">
        <v>46</v>
      </c>
    </row>
    <row r="85" spans="1:22" x14ac:dyDescent="0.25">
      <c r="A85" s="10" t="s">
        <v>0</v>
      </c>
      <c r="B85" t="b">
        <v>0</v>
      </c>
      <c r="C85" t="b">
        <v>0</v>
      </c>
      <c r="D85" s="1">
        <v>8129</v>
      </c>
      <c r="E85" s="1">
        <v>0</v>
      </c>
      <c r="F85" s="1">
        <v>240</v>
      </c>
      <c r="G85" s="1">
        <v>1147</v>
      </c>
      <c r="H85" s="1">
        <v>0</v>
      </c>
      <c r="I85" s="1">
        <v>0</v>
      </c>
      <c r="J85" s="1">
        <f t="shared" si="5"/>
        <v>9516</v>
      </c>
      <c r="K85" s="1">
        <v>4202</v>
      </c>
      <c r="L85" s="1">
        <v>0</v>
      </c>
      <c r="M85" s="1">
        <v>1908</v>
      </c>
      <c r="N85" s="1">
        <f t="shared" si="4"/>
        <v>6110</v>
      </c>
      <c r="O85" s="14">
        <v>885</v>
      </c>
      <c r="P85" s="17">
        <f t="shared" si="6"/>
        <v>15626</v>
      </c>
      <c r="Q85" s="1">
        <v>0</v>
      </c>
      <c r="R85" s="1">
        <v>0</v>
      </c>
      <c r="S85" s="20">
        <v>39600</v>
      </c>
      <c r="T85" s="1">
        <v>16511</v>
      </c>
      <c r="U85" s="9">
        <v>9516</v>
      </c>
      <c r="V85" s="9" t="s">
        <v>46</v>
      </c>
    </row>
    <row r="86" spans="1:22" x14ac:dyDescent="0.25">
      <c r="A86" s="10" t="s">
        <v>0</v>
      </c>
      <c r="B86" t="b">
        <v>0</v>
      </c>
      <c r="C86" t="b">
        <v>0</v>
      </c>
      <c r="D86" s="1">
        <v>7975</v>
      </c>
      <c r="E86" s="1">
        <v>0</v>
      </c>
      <c r="F86" s="1">
        <v>400</v>
      </c>
      <c r="G86" s="1">
        <v>1396</v>
      </c>
      <c r="H86" s="1">
        <v>0</v>
      </c>
      <c r="I86" s="1">
        <v>0</v>
      </c>
      <c r="J86" s="1">
        <f t="shared" si="5"/>
        <v>9771</v>
      </c>
      <c r="K86" s="1">
        <v>5015</v>
      </c>
      <c r="L86" s="1">
        <v>0</v>
      </c>
      <c r="M86" s="1">
        <v>1648</v>
      </c>
      <c r="N86" s="1">
        <f t="shared" si="4"/>
        <v>6663</v>
      </c>
      <c r="O86" s="14">
        <v>868</v>
      </c>
      <c r="P86" s="17">
        <f t="shared" si="6"/>
        <v>16434</v>
      </c>
      <c r="Q86" s="1">
        <v>0</v>
      </c>
      <c r="R86" s="1">
        <v>0</v>
      </c>
      <c r="S86" s="20">
        <v>39630</v>
      </c>
      <c r="T86" s="1">
        <v>17302</v>
      </c>
      <c r="U86" s="9">
        <v>9771</v>
      </c>
      <c r="V86" s="9" t="s">
        <v>46</v>
      </c>
    </row>
    <row r="87" spans="1:22" x14ac:dyDescent="0.25">
      <c r="A87" s="10" t="s">
        <v>0</v>
      </c>
      <c r="B87" t="b">
        <v>0</v>
      </c>
      <c r="C87" t="b">
        <v>0</v>
      </c>
      <c r="D87" s="1">
        <v>7809</v>
      </c>
      <c r="E87" s="1">
        <v>0</v>
      </c>
      <c r="F87" s="1">
        <v>414</v>
      </c>
      <c r="G87" s="1">
        <v>1569</v>
      </c>
      <c r="H87" s="1">
        <v>0</v>
      </c>
      <c r="I87" s="1">
        <v>0</v>
      </c>
      <c r="J87" s="1">
        <f t="shared" si="5"/>
        <v>9792</v>
      </c>
      <c r="K87" s="1">
        <v>5205</v>
      </c>
      <c r="L87" s="1">
        <v>0</v>
      </c>
      <c r="M87" s="1">
        <v>2451</v>
      </c>
      <c r="N87" s="1">
        <f t="shared" si="4"/>
        <v>7656</v>
      </c>
      <c r="O87" s="14">
        <v>1179</v>
      </c>
      <c r="P87" s="17">
        <f t="shared" si="6"/>
        <v>17448</v>
      </c>
      <c r="Q87" s="1">
        <v>0</v>
      </c>
      <c r="R87" s="1">
        <v>0</v>
      </c>
      <c r="S87" s="20">
        <v>39661</v>
      </c>
      <c r="T87" s="1">
        <v>18627</v>
      </c>
      <c r="U87" s="9">
        <v>9792</v>
      </c>
      <c r="V87" s="9" t="s">
        <v>46</v>
      </c>
    </row>
    <row r="88" spans="1:22" x14ac:dyDescent="0.25">
      <c r="A88" s="10" t="s">
        <v>0</v>
      </c>
      <c r="B88" t="b">
        <v>0</v>
      </c>
      <c r="C88" t="b">
        <v>0</v>
      </c>
      <c r="D88" s="1">
        <v>7327</v>
      </c>
      <c r="E88" s="1">
        <v>0</v>
      </c>
      <c r="F88" s="1">
        <v>33</v>
      </c>
      <c r="G88" s="1">
        <v>1207</v>
      </c>
      <c r="H88" s="1">
        <v>0</v>
      </c>
      <c r="I88" s="1">
        <v>128</v>
      </c>
      <c r="J88" s="1">
        <f t="shared" si="5"/>
        <v>8695</v>
      </c>
      <c r="K88" s="1">
        <v>3164</v>
      </c>
      <c r="L88" s="1">
        <v>0</v>
      </c>
      <c r="M88" s="1">
        <v>43</v>
      </c>
      <c r="N88" s="1">
        <f t="shared" si="4"/>
        <v>3207</v>
      </c>
      <c r="O88" s="14">
        <v>1501</v>
      </c>
      <c r="P88" s="17">
        <f t="shared" si="6"/>
        <v>11902</v>
      </c>
      <c r="Q88" s="1">
        <v>0</v>
      </c>
      <c r="R88" s="1">
        <v>0</v>
      </c>
      <c r="S88" s="20">
        <v>39692</v>
      </c>
      <c r="T88" s="1">
        <v>13403</v>
      </c>
      <c r="U88" s="9">
        <v>8695</v>
      </c>
      <c r="V88" s="9" t="s">
        <v>46</v>
      </c>
    </row>
    <row r="89" spans="1:22" x14ac:dyDescent="0.25">
      <c r="A89" s="10" t="s">
        <v>0</v>
      </c>
      <c r="B89" t="b">
        <v>0</v>
      </c>
      <c r="C89" t="b">
        <v>0</v>
      </c>
      <c r="D89" s="1">
        <v>6933</v>
      </c>
      <c r="E89" s="1">
        <v>30</v>
      </c>
      <c r="F89" s="1">
        <v>90</v>
      </c>
      <c r="G89" s="1">
        <v>1164</v>
      </c>
      <c r="H89" s="1">
        <v>35</v>
      </c>
      <c r="I89" s="1">
        <v>102</v>
      </c>
      <c r="J89" s="1">
        <f t="shared" si="5"/>
        <v>8354</v>
      </c>
      <c r="K89" s="1">
        <v>3438</v>
      </c>
      <c r="L89" s="1">
        <v>0</v>
      </c>
      <c r="M89" s="1">
        <v>923</v>
      </c>
      <c r="N89" s="1">
        <f t="shared" si="4"/>
        <v>4361</v>
      </c>
      <c r="O89" s="14">
        <v>2007</v>
      </c>
      <c r="P89" s="17">
        <f t="shared" si="6"/>
        <v>12715</v>
      </c>
      <c r="Q89" s="1">
        <v>0</v>
      </c>
      <c r="R89" s="1">
        <v>0</v>
      </c>
      <c r="S89" s="20">
        <v>39722</v>
      </c>
      <c r="T89" s="1">
        <v>14722</v>
      </c>
      <c r="U89" s="9">
        <v>8354</v>
      </c>
      <c r="V89" s="9" t="s">
        <v>46</v>
      </c>
    </row>
    <row r="90" spans="1:22" x14ac:dyDescent="0.25">
      <c r="A90" s="10" t="s">
        <v>0</v>
      </c>
      <c r="B90" t="b">
        <v>0</v>
      </c>
      <c r="C90" t="b">
        <v>0</v>
      </c>
      <c r="D90" s="1">
        <v>8321</v>
      </c>
      <c r="E90" s="1">
        <v>0</v>
      </c>
      <c r="F90" s="1">
        <v>0</v>
      </c>
      <c r="G90" s="1">
        <v>875</v>
      </c>
      <c r="H90" s="1">
        <v>0</v>
      </c>
      <c r="I90" s="1">
        <v>0</v>
      </c>
      <c r="J90" s="1">
        <f t="shared" si="5"/>
        <v>9196</v>
      </c>
      <c r="K90" s="1">
        <v>2060</v>
      </c>
      <c r="L90" s="1">
        <v>16</v>
      </c>
      <c r="M90" s="1">
        <v>493</v>
      </c>
      <c r="N90" s="1">
        <f t="shared" si="4"/>
        <v>2569</v>
      </c>
      <c r="O90" s="14">
        <v>2524</v>
      </c>
      <c r="P90" s="17">
        <f t="shared" si="6"/>
        <v>11765</v>
      </c>
      <c r="Q90" s="1">
        <v>0</v>
      </c>
      <c r="R90" s="1">
        <v>0</v>
      </c>
      <c r="S90" s="20">
        <v>39753</v>
      </c>
      <c r="T90" s="1">
        <v>14289</v>
      </c>
      <c r="U90" s="9">
        <v>9196</v>
      </c>
      <c r="V90" s="9" t="s">
        <v>46</v>
      </c>
    </row>
    <row r="91" spans="1:22" x14ac:dyDescent="0.25">
      <c r="A91" s="10" t="s">
        <v>0</v>
      </c>
      <c r="B91" t="b">
        <v>0</v>
      </c>
      <c r="C91" t="b">
        <v>0</v>
      </c>
      <c r="D91" s="1">
        <v>3075</v>
      </c>
      <c r="E91" s="1">
        <v>0</v>
      </c>
      <c r="F91" s="1">
        <v>0</v>
      </c>
      <c r="G91" s="1">
        <v>959</v>
      </c>
      <c r="H91" s="1">
        <v>0</v>
      </c>
      <c r="I91" s="1">
        <v>0</v>
      </c>
      <c r="J91" s="1">
        <f t="shared" si="5"/>
        <v>4034</v>
      </c>
      <c r="K91" s="1">
        <v>440</v>
      </c>
      <c r="L91" s="1">
        <v>0</v>
      </c>
      <c r="M91" s="1">
        <v>5</v>
      </c>
      <c r="N91" s="1">
        <f t="shared" si="4"/>
        <v>445</v>
      </c>
      <c r="O91" s="14">
        <v>988</v>
      </c>
      <c r="P91" s="17">
        <f t="shared" si="6"/>
        <v>4479</v>
      </c>
      <c r="Q91" s="1">
        <v>0</v>
      </c>
      <c r="R91" s="1">
        <v>0</v>
      </c>
      <c r="S91" s="20">
        <v>39783</v>
      </c>
      <c r="T91" s="1">
        <v>5467</v>
      </c>
      <c r="U91" s="9">
        <v>4034</v>
      </c>
      <c r="V91" s="9" t="s">
        <v>46</v>
      </c>
    </row>
    <row r="92" spans="1:22" x14ac:dyDescent="0.25">
      <c r="A92" s="10" t="s">
        <v>0</v>
      </c>
      <c r="B92" t="b">
        <v>0</v>
      </c>
      <c r="C92" t="b">
        <v>0</v>
      </c>
      <c r="D92" s="1">
        <v>4241</v>
      </c>
      <c r="E92" s="1">
        <v>0</v>
      </c>
      <c r="F92" s="1">
        <v>0</v>
      </c>
      <c r="G92" s="1">
        <v>1133</v>
      </c>
      <c r="H92" s="1">
        <v>0</v>
      </c>
      <c r="I92" s="1">
        <v>0</v>
      </c>
      <c r="J92" s="1">
        <f t="shared" si="5"/>
        <v>5374</v>
      </c>
      <c r="K92" s="1">
        <v>759</v>
      </c>
      <c r="L92" s="1">
        <v>0</v>
      </c>
      <c r="M92" s="1">
        <v>0</v>
      </c>
      <c r="N92" s="1">
        <f t="shared" si="4"/>
        <v>759</v>
      </c>
      <c r="O92" s="14">
        <v>1208</v>
      </c>
      <c r="P92" s="17">
        <f t="shared" si="6"/>
        <v>6133</v>
      </c>
      <c r="Q92" s="1">
        <v>0</v>
      </c>
      <c r="R92" s="1">
        <v>0</v>
      </c>
      <c r="S92" s="20">
        <v>39814</v>
      </c>
      <c r="T92" s="1">
        <v>7341</v>
      </c>
      <c r="U92" s="9">
        <v>5374</v>
      </c>
      <c r="V92" s="9" t="s">
        <v>41</v>
      </c>
    </row>
    <row r="93" spans="1:22" x14ac:dyDescent="0.25">
      <c r="A93" s="10" t="s">
        <v>0</v>
      </c>
      <c r="B93" t="b">
        <v>0</v>
      </c>
      <c r="C93" t="b">
        <v>0</v>
      </c>
      <c r="D93" s="1">
        <v>1865</v>
      </c>
      <c r="E93" s="1">
        <v>0</v>
      </c>
      <c r="F93" s="1">
        <v>0</v>
      </c>
      <c r="G93" s="1">
        <v>543</v>
      </c>
      <c r="H93" s="1">
        <v>0</v>
      </c>
      <c r="I93" s="1">
        <v>0</v>
      </c>
      <c r="J93" s="1">
        <f t="shared" si="5"/>
        <v>2408</v>
      </c>
      <c r="K93" s="1">
        <v>362</v>
      </c>
      <c r="L93" s="1">
        <v>0</v>
      </c>
      <c r="M93" s="1">
        <v>6</v>
      </c>
      <c r="N93" s="1">
        <f t="shared" si="4"/>
        <v>368</v>
      </c>
      <c r="O93" s="14">
        <v>508</v>
      </c>
      <c r="P93" s="17">
        <f t="shared" si="6"/>
        <v>2776</v>
      </c>
      <c r="Q93" s="1">
        <v>4</v>
      </c>
      <c r="R93" s="1">
        <v>0</v>
      </c>
      <c r="S93" s="20">
        <v>39845</v>
      </c>
      <c r="T93" s="1">
        <v>3288</v>
      </c>
      <c r="U93" s="9">
        <v>2408</v>
      </c>
      <c r="V93" s="9" t="s">
        <v>41</v>
      </c>
    </row>
    <row r="94" spans="1:22" x14ac:dyDescent="0.25">
      <c r="A94" s="10" t="s">
        <v>0</v>
      </c>
      <c r="B94" t="b">
        <v>0</v>
      </c>
      <c r="C94" t="b">
        <v>0</v>
      </c>
      <c r="D94" s="1">
        <v>3621</v>
      </c>
      <c r="E94" s="1">
        <v>0</v>
      </c>
      <c r="F94" s="1">
        <v>0</v>
      </c>
      <c r="G94" s="1">
        <v>2746</v>
      </c>
      <c r="H94" s="1">
        <v>0</v>
      </c>
      <c r="I94" s="1">
        <v>0</v>
      </c>
      <c r="J94" s="1">
        <f t="shared" si="5"/>
        <v>6367</v>
      </c>
      <c r="K94" s="1">
        <v>1003</v>
      </c>
      <c r="L94" s="1">
        <v>0</v>
      </c>
      <c r="M94" s="1">
        <v>14</v>
      </c>
      <c r="N94" s="1">
        <f t="shared" ref="N94:N157" si="7">K94+L94+M94</f>
        <v>1017</v>
      </c>
      <c r="O94" s="14">
        <v>1038</v>
      </c>
      <c r="P94" s="17">
        <f t="shared" si="6"/>
        <v>7384</v>
      </c>
      <c r="Q94" s="1">
        <v>0</v>
      </c>
      <c r="R94" s="1">
        <v>0</v>
      </c>
      <c r="S94" s="20">
        <v>39873</v>
      </c>
      <c r="T94" s="1">
        <v>8422</v>
      </c>
      <c r="U94" s="9">
        <v>6367</v>
      </c>
      <c r="V94" s="9" t="s">
        <v>41</v>
      </c>
    </row>
    <row r="95" spans="1:22" x14ac:dyDescent="0.25">
      <c r="A95" s="10" t="s">
        <v>0</v>
      </c>
      <c r="B95" t="b">
        <v>0</v>
      </c>
      <c r="C95" t="b">
        <v>0</v>
      </c>
      <c r="D95" s="1">
        <v>5300</v>
      </c>
      <c r="E95" s="1">
        <v>0</v>
      </c>
      <c r="F95" s="1">
        <v>3</v>
      </c>
      <c r="G95" s="1">
        <v>991</v>
      </c>
      <c r="H95" s="1">
        <v>0</v>
      </c>
      <c r="I95" s="1">
        <v>0</v>
      </c>
      <c r="J95" s="1">
        <f t="shared" si="5"/>
        <v>6294</v>
      </c>
      <c r="K95" s="1">
        <v>0</v>
      </c>
      <c r="L95" s="1">
        <v>1840</v>
      </c>
      <c r="M95" s="1">
        <v>25</v>
      </c>
      <c r="N95" s="1">
        <f t="shared" si="7"/>
        <v>1865</v>
      </c>
      <c r="O95" s="14">
        <v>1115</v>
      </c>
      <c r="P95" s="17">
        <f t="shared" si="6"/>
        <v>8159</v>
      </c>
      <c r="Q95" s="1">
        <v>24</v>
      </c>
      <c r="R95" s="1">
        <v>0</v>
      </c>
      <c r="S95" s="20">
        <v>39904</v>
      </c>
      <c r="T95" s="1">
        <v>9298</v>
      </c>
      <c r="U95" s="9">
        <v>6294</v>
      </c>
      <c r="V95" s="9" t="s">
        <v>41</v>
      </c>
    </row>
    <row r="96" spans="1:22" x14ac:dyDescent="0.25">
      <c r="A96" s="10" t="s">
        <v>0</v>
      </c>
      <c r="B96" t="b">
        <v>0</v>
      </c>
      <c r="C96" t="b">
        <v>0</v>
      </c>
      <c r="D96" s="1">
        <v>8607</v>
      </c>
      <c r="E96" s="1">
        <v>0</v>
      </c>
      <c r="F96" s="1">
        <v>9</v>
      </c>
      <c r="G96" s="1">
        <v>1743</v>
      </c>
      <c r="H96" s="1">
        <v>0</v>
      </c>
      <c r="I96" s="1">
        <v>0</v>
      </c>
      <c r="J96" s="1">
        <f t="shared" si="5"/>
        <v>10359</v>
      </c>
      <c r="K96" s="1">
        <v>3481</v>
      </c>
      <c r="L96" s="1">
        <v>0</v>
      </c>
      <c r="M96" s="1">
        <v>43</v>
      </c>
      <c r="N96" s="1">
        <f t="shared" si="7"/>
        <v>3524</v>
      </c>
      <c r="O96" s="14">
        <v>1259</v>
      </c>
      <c r="P96" s="17">
        <f t="shared" si="6"/>
        <v>13883</v>
      </c>
      <c r="Q96" s="1">
        <v>5</v>
      </c>
      <c r="R96" s="1">
        <v>0</v>
      </c>
      <c r="S96" s="20">
        <v>39934</v>
      </c>
      <c r="T96" s="1">
        <v>15147</v>
      </c>
      <c r="U96" s="9">
        <v>10359</v>
      </c>
      <c r="V96" s="9" t="s">
        <v>41</v>
      </c>
    </row>
    <row r="97" spans="1:22" x14ac:dyDescent="0.25">
      <c r="A97" s="10" t="s">
        <v>0</v>
      </c>
      <c r="B97" t="b">
        <v>0</v>
      </c>
      <c r="C97" t="b">
        <v>0</v>
      </c>
      <c r="D97" s="1">
        <v>6189</v>
      </c>
      <c r="E97" s="1">
        <v>0</v>
      </c>
      <c r="F97" s="1">
        <v>13</v>
      </c>
      <c r="G97" s="1">
        <v>1613</v>
      </c>
      <c r="H97" s="1">
        <v>0</v>
      </c>
      <c r="I97" s="1">
        <v>0</v>
      </c>
      <c r="J97" s="1">
        <f t="shared" si="5"/>
        <v>7815</v>
      </c>
      <c r="K97" s="1">
        <v>3579</v>
      </c>
      <c r="L97" s="1">
        <v>0</v>
      </c>
      <c r="M97" s="1">
        <v>56</v>
      </c>
      <c r="N97" s="1">
        <f t="shared" si="7"/>
        <v>3635</v>
      </c>
      <c r="O97" s="14">
        <v>681</v>
      </c>
      <c r="P97" s="17">
        <f t="shared" si="6"/>
        <v>11450</v>
      </c>
      <c r="Q97" s="1">
        <v>8</v>
      </c>
      <c r="R97" s="1">
        <v>0</v>
      </c>
      <c r="S97" s="20">
        <v>39965</v>
      </c>
      <c r="T97" s="1">
        <v>12139</v>
      </c>
      <c r="U97" s="9">
        <v>7815</v>
      </c>
      <c r="V97" s="9" t="s">
        <v>41</v>
      </c>
    </row>
    <row r="98" spans="1:22" x14ac:dyDescent="0.25">
      <c r="A98" s="10" t="s">
        <v>0</v>
      </c>
      <c r="B98" t="b">
        <v>0</v>
      </c>
      <c r="C98" t="b">
        <v>0</v>
      </c>
      <c r="D98" s="1">
        <v>8155</v>
      </c>
      <c r="E98" s="1">
        <v>3</v>
      </c>
      <c r="F98" s="1">
        <v>18</v>
      </c>
      <c r="G98" s="1">
        <v>1767</v>
      </c>
      <c r="H98" s="1">
        <v>0</v>
      </c>
      <c r="I98" s="1">
        <v>0</v>
      </c>
      <c r="J98" s="1">
        <f t="shared" si="5"/>
        <v>9943</v>
      </c>
      <c r="K98" s="1">
        <v>5152</v>
      </c>
      <c r="L98" s="1">
        <v>0</v>
      </c>
      <c r="M98" s="1">
        <v>70</v>
      </c>
      <c r="N98" s="1">
        <f t="shared" si="7"/>
        <v>5222</v>
      </c>
      <c r="O98" s="14">
        <v>870</v>
      </c>
      <c r="P98" s="17">
        <f t="shared" si="6"/>
        <v>15165</v>
      </c>
      <c r="Q98" s="1">
        <v>10</v>
      </c>
      <c r="R98" s="1">
        <v>0</v>
      </c>
      <c r="S98" s="20">
        <v>39995</v>
      </c>
      <c r="T98" s="1">
        <v>16045</v>
      </c>
      <c r="U98" s="9">
        <v>9943</v>
      </c>
      <c r="V98" s="9" t="s">
        <v>41</v>
      </c>
    </row>
    <row r="99" spans="1:22" x14ac:dyDescent="0.25">
      <c r="A99" s="10" t="s">
        <v>0</v>
      </c>
      <c r="B99" t="b">
        <v>0</v>
      </c>
      <c r="C99" t="b">
        <v>0</v>
      </c>
      <c r="D99" s="1">
        <v>10486</v>
      </c>
      <c r="E99" s="1">
        <v>3</v>
      </c>
      <c r="F99" s="1">
        <v>8</v>
      </c>
      <c r="G99" s="1">
        <v>9615</v>
      </c>
      <c r="H99" s="1">
        <v>0</v>
      </c>
      <c r="I99" s="1">
        <v>0</v>
      </c>
      <c r="J99" s="1">
        <f t="shared" si="5"/>
        <v>20112</v>
      </c>
      <c r="K99" s="1">
        <v>5721</v>
      </c>
      <c r="L99" s="1">
        <v>0</v>
      </c>
      <c r="M99" s="1">
        <v>58</v>
      </c>
      <c r="N99" s="1">
        <f t="shared" si="7"/>
        <v>5779</v>
      </c>
      <c r="O99" s="14">
        <v>1150</v>
      </c>
      <c r="P99" s="17">
        <f t="shared" si="6"/>
        <v>25891</v>
      </c>
      <c r="Q99" s="1">
        <v>16</v>
      </c>
      <c r="R99" s="1">
        <v>0</v>
      </c>
      <c r="S99" s="20">
        <v>40026</v>
      </c>
      <c r="T99" s="1">
        <v>27057</v>
      </c>
      <c r="U99" s="9">
        <v>20112</v>
      </c>
      <c r="V99" s="9" t="s">
        <v>41</v>
      </c>
    </row>
    <row r="100" spans="1:22" x14ac:dyDescent="0.25">
      <c r="A100" s="10" t="s">
        <v>0</v>
      </c>
      <c r="B100" t="b">
        <v>0</v>
      </c>
      <c r="C100" t="b">
        <v>0</v>
      </c>
      <c r="D100" s="1">
        <v>9577</v>
      </c>
      <c r="E100" s="1">
        <v>0</v>
      </c>
      <c r="F100" s="1">
        <v>6</v>
      </c>
      <c r="G100" s="1">
        <v>6642</v>
      </c>
      <c r="H100" s="1">
        <v>0</v>
      </c>
      <c r="I100" s="1">
        <v>0</v>
      </c>
      <c r="J100" s="1">
        <f t="shared" si="5"/>
        <v>16225</v>
      </c>
      <c r="K100" s="1">
        <v>3124</v>
      </c>
      <c r="L100" s="1">
        <v>0</v>
      </c>
      <c r="M100" s="1">
        <v>45</v>
      </c>
      <c r="N100" s="1">
        <f t="shared" si="7"/>
        <v>3169</v>
      </c>
      <c r="O100" s="14">
        <v>1297</v>
      </c>
      <c r="P100" s="17">
        <f t="shared" si="6"/>
        <v>19394</v>
      </c>
      <c r="Q100" s="1">
        <v>8</v>
      </c>
      <c r="R100" s="1">
        <v>0</v>
      </c>
      <c r="S100" s="20">
        <v>40057</v>
      </c>
      <c r="T100" s="1">
        <v>20699</v>
      </c>
      <c r="U100" s="9">
        <v>16225</v>
      </c>
      <c r="V100" s="9" t="s">
        <v>41</v>
      </c>
    </row>
    <row r="101" spans="1:22" x14ac:dyDescent="0.25">
      <c r="A101" s="10" t="s">
        <v>0</v>
      </c>
      <c r="B101" t="b">
        <v>0</v>
      </c>
      <c r="C101" t="b">
        <v>0</v>
      </c>
      <c r="D101" s="1">
        <v>7321</v>
      </c>
      <c r="E101" s="1">
        <v>0</v>
      </c>
      <c r="F101" s="1">
        <v>0</v>
      </c>
      <c r="G101" s="1">
        <v>1341</v>
      </c>
      <c r="H101" s="1">
        <v>0</v>
      </c>
      <c r="I101" s="1">
        <v>0</v>
      </c>
      <c r="J101" s="1">
        <f t="shared" si="5"/>
        <v>8662</v>
      </c>
      <c r="K101" s="1">
        <v>2667</v>
      </c>
      <c r="L101" s="1">
        <v>0</v>
      </c>
      <c r="M101" s="1">
        <v>40</v>
      </c>
      <c r="N101" s="1">
        <f t="shared" si="7"/>
        <v>2707</v>
      </c>
      <c r="O101" s="14">
        <v>1592</v>
      </c>
      <c r="P101" s="17">
        <f t="shared" si="6"/>
        <v>11369</v>
      </c>
      <c r="Q101" s="1">
        <v>11</v>
      </c>
      <c r="R101" s="1">
        <v>0</v>
      </c>
      <c r="S101" s="20">
        <v>40087</v>
      </c>
      <c r="T101" s="1">
        <v>12972</v>
      </c>
      <c r="U101" s="9">
        <v>8662</v>
      </c>
      <c r="V101" s="9" t="s">
        <v>41</v>
      </c>
    </row>
    <row r="102" spans="1:22" x14ac:dyDescent="0.25">
      <c r="A102" s="10" t="s">
        <v>0</v>
      </c>
      <c r="B102" t="b">
        <v>0</v>
      </c>
      <c r="C102" t="b">
        <v>0</v>
      </c>
      <c r="D102" s="1">
        <v>6308</v>
      </c>
      <c r="E102" s="1">
        <v>0</v>
      </c>
      <c r="F102" s="1">
        <v>0</v>
      </c>
      <c r="G102" s="1">
        <v>1613</v>
      </c>
      <c r="H102" s="1">
        <v>0</v>
      </c>
      <c r="I102" s="1">
        <v>0</v>
      </c>
      <c r="J102" s="1">
        <f t="shared" si="5"/>
        <v>7921</v>
      </c>
      <c r="K102" s="1">
        <v>1170</v>
      </c>
      <c r="L102" s="1">
        <v>0</v>
      </c>
      <c r="M102" s="1">
        <v>4</v>
      </c>
      <c r="N102" s="1">
        <f t="shared" si="7"/>
        <v>1174</v>
      </c>
      <c r="O102" s="14">
        <v>1450</v>
      </c>
      <c r="P102" s="17">
        <f t="shared" si="6"/>
        <v>9095</v>
      </c>
      <c r="Q102" s="1">
        <v>2</v>
      </c>
      <c r="R102" s="1">
        <v>0</v>
      </c>
      <c r="S102" s="20">
        <v>40118</v>
      </c>
      <c r="T102" s="1">
        <v>10547</v>
      </c>
      <c r="U102" s="9">
        <v>7921</v>
      </c>
      <c r="V102" s="9" t="s">
        <v>41</v>
      </c>
    </row>
    <row r="103" spans="1:22" x14ac:dyDescent="0.25">
      <c r="A103" s="10" t="s">
        <v>0</v>
      </c>
      <c r="B103" t="b">
        <v>0</v>
      </c>
      <c r="C103" t="b">
        <v>0</v>
      </c>
      <c r="D103" s="1">
        <v>2674</v>
      </c>
      <c r="E103" s="1">
        <v>0</v>
      </c>
      <c r="F103" s="1">
        <v>0</v>
      </c>
      <c r="G103" s="1">
        <v>806</v>
      </c>
      <c r="H103" s="1">
        <v>0</v>
      </c>
      <c r="I103" s="1">
        <v>0</v>
      </c>
      <c r="J103" s="1">
        <f t="shared" si="5"/>
        <v>3480</v>
      </c>
      <c r="K103" s="1">
        <v>213</v>
      </c>
      <c r="L103" s="1">
        <v>0</v>
      </c>
      <c r="M103" s="1">
        <v>0</v>
      </c>
      <c r="N103" s="1">
        <f t="shared" si="7"/>
        <v>213</v>
      </c>
      <c r="O103" s="14">
        <v>642</v>
      </c>
      <c r="P103" s="17">
        <f t="shared" si="6"/>
        <v>3693</v>
      </c>
      <c r="Q103" s="1">
        <v>0</v>
      </c>
      <c r="R103" s="1">
        <v>0</v>
      </c>
      <c r="S103" s="20">
        <v>40148</v>
      </c>
      <c r="T103" s="1">
        <v>4335</v>
      </c>
      <c r="U103" s="9">
        <v>3480</v>
      </c>
      <c r="V103" s="9" t="s">
        <v>41</v>
      </c>
    </row>
    <row r="104" spans="1:22" x14ac:dyDescent="0.25">
      <c r="A104" s="10" t="s">
        <v>0</v>
      </c>
      <c r="B104" t="b">
        <v>0</v>
      </c>
      <c r="C104" t="b">
        <v>0</v>
      </c>
      <c r="D104" s="1">
        <v>1983</v>
      </c>
      <c r="E104" s="1">
        <v>0</v>
      </c>
      <c r="F104" s="1">
        <v>0</v>
      </c>
      <c r="G104" s="1">
        <v>574</v>
      </c>
      <c r="H104" s="1">
        <v>0</v>
      </c>
      <c r="I104" s="1">
        <v>0</v>
      </c>
      <c r="J104" s="1">
        <f t="shared" si="5"/>
        <v>2557</v>
      </c>
      <c r="K104" s="1">
        <v>169</v>
      </c>
      <c r="L104" s="1">
        <v>0</v>
      </c>
      <c r="M104" s="1">
        <v>0</v>
      </c>
      <c r="N104" s="1">
        <f t="shared" si="7"/>
        <v>169</v>
      </c>
      <c r="O104" s="14">
        <v>464</v>
      </c>
      <c r="P104" s="17">
        <f t="shared" si="6"/>
        <v>2726</v>
      </c>
      <c r="Q104" s="1">
        <v>0</v>
      </c>
      <c r="R104" s="1">
        <v>0</v>
      </c>
      <c r="S104" s="20">
        <v>40179</v>
      </c>
      <c r="T104" s="1">
        <v>3190</v>
      </c>
      <c r="U104" s="9">
        <v>2557</v>
      </c>
      <c r="V104" s="9" t="s">
        <v>21</v>
      </c>
    </row>
    <row r="105" spans="1:22" x14ac:dyDescent="0.25">
      <c r="A105" s="10" t="s">
        <v>0</v>
      </c>
      <c r="B105" t="b">
        <v>0</v>
      </c>
      <c r="C105" t="b">
        <v>0</v>
      </c>
      <c r="D105" s="1">
        <v>1514</v>
      </c>
      <c r="E105" s="1">
        <v>0</v>
      </c>
      <c r="F105" s="1">
        <v>0</v>
      </c>
      <c r="G105" s="1">
        <v>255</v>
      </c>
      <c r="H105" s="1">
        <v>0</v>
      </c>
      <c r="I105" s="1">
        <v>0</v>
      </c>
      <c r="J105" s="1">
        <f t="shared" si="5"/>
        <v>1769</v>
      </c>
      <c r="K105" s="1">
        <v>303</v>
      </c>
      <c r="L105" s="1">
        <v>0</v>
      </c>
      <c r="M105" s="1">
        <v>0</v>
      </c>
      <c r="N105" s="1">
        <f t="shared" si="7"/>
        <v>303</v>
      </c>
      <c r="O105" s="14">
        <v>336</v>
      </c>
      <c r="P105" s="17">
        <f t="shared" si="6"/>
        <v>2072</v>
      </c>
      <c r="Q105" s="1">
        <v>0</v>
      </c>
      <c r="R105" s="1">
        <v>0</v>
      </c>
      <c r="S105" s="20">
        <v>40210</v>
      </c>
      <c r="T105" s="1">
        <v>2408</v>
      </c>
      <c r="U105" s="9">
        <v>1769</v>
      </c>
      <c r="V105" s="9" t="s">
        <v>21</v>
      </c>
    </row>
    <row r="106" spans="1:22" x14ac:dyDescent="0.25">
      <c r="A106" s="10" t="s">
        <v>0</v>
      </c>
      <c r="B106" t="b">
        <v>0</v>
      </c>
      <c r="C106" t="b">
        <v>0</v>
      </c>
      <c r="D106" s="1">
        <v>2717</v>
      </c>
      <c r="E106" s="1">
        <v>0</v>
      </c>
      <c r="F106" s="1">
        <v>0</v>
      </c>
      <c r="G106" s="1">
        <v>56</v>
      </c>
      <c r="H106" s="1">
        <v>0</v>
      </c>
      <c r="I106" s="1">
        <v>0</v>
      </c>
      <c r="J106" s="1">
        <f t="shared" si="5"/>
        <v>2773</v>
      </c>
      <c r="K106" s="1">
        <v>534</v>
      </c>
      <c r="L106" s="1">
        <v>0</v>
      </c>
      <c r="M106" s="1">
        <v>0</v>
      </c>
      <c r="N106" s="1">
        <f t="shared" si="7"/>
        <v>534</v>
      </c>
      <c r="O106" s="14">
        <v>483</v>
      </c>
      <c r="P106" s="17">
        <f t="shared" si="6"/>
        <v>3307</v>
      </c>
      <c r="Q106" s="1">
        <v>0</v>
      </c>
      <c r="R106" s="1">
        <v>0</v>
      </c>
      <c r="S106" s="20">
        <v>40238</v>
      </c>
      <c r="T106" s="1">
        <v>3790</v>
      </c>
      <c r="U106" s="9">
        <v>2773</v>
      </c>
      <c r="V106" s="9" t="s">
        <v>21</v>
      </c>
    </row>
    <row r="107" spans="1:22" x14ac:dyDescent="0.25">
      <c r="A107" s="10" t="s">
        <v>0</v>
      </c>
      <c r="B107" t="b">
        <v>0</v>
      </c>
      <c r="C107" t="b">
        <v>0</v>
      </c>
      <c r="D107" s="1">
        <v>3927</v>
      </c>
      <c r="E107" s="1">
        <v>0</v>
      </c>
      <c r="F107" s="1">
        <v>0</v>
      </c>
      <c r="G107" s="1">
        <v>941</v>
      </c>
      <c r="H107" s="1">
        <v>0</v>
      </c>
      <c r="I107" s="1">
        <v>0</v>
      </c>
      <c r="J107" s="1">
        <f t="shared" si="5"/>
        <v>4868</v>
      </c>
      <c r="K107" s="1">
        <v>1001</v>
      </c>
      <c r="L107" s="1">
        <v>0</v>
      </c>
      <c r="M107" s="1">
        <v>0</v>
      </c>
      <c r="N107" s="1">
        <f t="shared" si="7"/>
        <v>1001</v>
      </c>
      <c r="O107" s="14">
        <v>0</v>
      </c>
      <c r="P107" s="17">
        <f t="shared" si="6"/>
        <v>5869</v>
      </c>
      <c r="Q107" s="1">
        <v>0</v>
      </c>
      <c r="R107" s="1">
        <v>0</v>
      </c>
      <c r="S107" s="20">
        <v>40269</v>
      </c>
      <c r="T107" s="1">
        <v>5869</v>
      </c>
      <c r="U107" s="9">
        <v>4868</v>
      </c>
      <c r="V107" s="9" t="s">
        <v>21</v>
      </c>
    </row>
    <row r="108" spans="1:22" x14ac:dyDescent="0.25">
      <c r="A108" s="10" t="s">
        <v>0</v>
      </c>
      <c r="B108" t="b">
        <v>0</v>
      </c>
      <c r="C108" t="b">
        <v>0</v>
      </c>
      <c r="D108" s="1">
        <v>6365</v>
      </c>
      <c r="E108" s="1">
        <v>0</v>
      </c>
      <c r="F108" s="1">
        <v>5</v>
      </c>
      <c r="G108" s="1">
        <v>1322</v>
      </c>
      <c r="H108" s="1">
        <v>0</v>
      </c>
      <c r="I108" s="1">
        <v>2</v>
      </c>
      <c r="J108" s="1">
        <f t="shared" si="5"/>
        <v>7694</v>
      </c>
      <c r="K108" s="1">
        <v>2494</v>
      </c>
      <c r="L108" s="1">
        <v>0</v>
      </c>
      <c r="M108" s="1">
        <v>3</v>
      </c>
      <c r="N108" s="1">
        <f t="shared" si="7"/>
        <v>2497</v>
      </c>
      <c r="O108" s="14">
        <v>818</v>
      </c>
      <c r="P108" s="17">
        <f t="shared" si="6"/>
        <v>10191</v>
      </c>
      <c r="Q108" s="1">
        <v>3</v>
      </c>
      <c r="R108" s="1">
        <v>0</v>
      </c>
      <c r="S108" s="20">
        <v>40299</v>
      </c>
      <c r="T108" s="1">
        <v>11012</v>
      </c>
      <c r="U108" s="9">
        <v>7694</v>
      </c>
      <c r="V108" s="9" t="s">
        <v>21</v>
      </c>
    </row>
    <row r="109" spans="1:22" x14ac:dyDescent="0.25">
      <c r="A109" s="10" t="s">
        <v>0</v>
      </c>
      <c r="B109" t="b">
        <v>0</v>
      </c>
      <c r="C109" t="b">
        <v>0</v>
      </c>
      <c r="D109" s="1">
        <v>5835</v>
      </c>
      <c r="E109" s="1">
        <v>0</v>
      </c>
      <c r="F109" s="1">
        <v>1</v>
      </c>
      <c r="G109" s="1">
        <v>1294</v>
      </c>
      <c r="H109" s="1">
        <v>0</v>
      </c>
      <c r="I109" s="1">
        <v>3</v>
      </c>
      <c r="J109" s="1">
        <f t="shared" si="5"/>
        <v>7133</v>
      </c>
      <c r="K109" s="1">
        <v>2501</v>
      </c>
      <c r="L109" s="1">
        <v>0</v>
      </c>
      <c r="M109" s="1">
        <v>39</v>
      </c>
      <c r="N109" s="1">
        <f t="shared" si="7"/>
        <v>2540</v>
      </c>
      <c r="O109" s="14">
        <v>515</v>
      </c>
      <c r="P109" s="17">
        <f t="shared" si="6"/>
        <v>9673</v>
      </c>
      <c r="Q109" s="1">
        <v>16</v>
      </c>
      <c r="R109" s="1">
        <v>0</v>
      </c>
      <c r="S109" s="20">
        <v>40330</v>
      </c>
      <c r="T109" s="1">
        <v>10204</v>
      </c>
      <c r="U109" s="9">
        <v>7133</v>
      </c>
      <c r="V109" s="9" t="s">
        <v>21</v>
      </c>
    </row>
    <row r="110" spans="1:22" x14ac:dyDescent="0.25">
      <c r="A110" s="10" t="s">
        <v>0</v>
      </c>
      <c r="B110" t="b">
        <v>0</v>
      </c>
      <c r="C110" t="b">
        <v>0</v>
      </c>
      <c r="D110" s="1">
        <v>10199</v>
      </c>
      <c r="E110" s="1">
        <v>0</v>
      </c>
      <c r="F110" s="1">
        <v>6</v>
      </c>
      <c r="G110" s="1">
        <v>1800</v>
      </c>
      <c r="H110" s="1">
        <v>0</v>
      </c>
      <c r="I110" s="1">
        <v>0</v>
      </c>
      <c r="J110" s="1">
        <f t="shared" si="5"/>
        <v>12005</v>
      </c>
      <c r="K110" s="1">
        <v>5284</v>
      </c>
      <c r="L110" s="1">
        <v>0</v>
      </c>
      <c r="M110" s="1">
        <v>73</v>
      </c>
      <c r="N110" s="1">
        <f t="shared" si="7"/>
        <v>5357</v>
      </c>
      <c r="O110" s="14">
        <v>849</v>
      </c>
      <c r="P110" s="17">
        <f t="shared" si="6"/>
        <v>17362</v>
      </c>
      <c r="Q110" s="1">
        <v>8</v>
      </c>
      <c r="R110" s="1">
        <v>0</v>
      </c>
      <c r="S110" s="20">
        <v>40360</v>
      </c>
      <c r="T110" s="1">
        <v>18219</v>
      </c>
      <c r="U110" s="9">
        <v>12005</v>
      </c>
      <c r="V110" s="9" t="s">
        <v>21</v>
      </c>
    </row>
    <row r="111" spans="1:22" x14ac:dyDescent="0.25">
      <c r="A111" s="10" t="s">
        <v>0</v>
      </c>
      <c r="B111" t="b">
        <v>0</v>
      </c>
      <c r="C111" t="b">
        <v>0</v>
      </c>
      <c r="D111" s="1">
        <v>5806</v>
      </c>
      <c r="E111" s="1">
        <v>0</v>
      </c>
      <c r="F111" s="1">
        <v>4</v>
      </c>
      <c r="G111" s="1">
        <v>1644</v>
      </c>
      <c r="H111" s="1">
        <v>0</v>
      </c>
      <c r="I111" s="1">
        <v>0</v>
      </c>
      <c r="J111" s="1">
        <f t="shared" si="5"/>
        <v>7454</v>
      </c>
      <c r="K111" s="1">
        <v>3498</v>
      </c>
      <c r="L111" s="1">
        <v>0</v>
      </c>
      <c r="M111" s="1">
        <v>52</v>
      </c>
      <c r="N111" s="1">
        <f t="shared" si="7"/>
        <v>3550</v>
      </c>
      <c r="O111" s="14">
        <v>671</v>
      </c>
      <c r="P111" s="17">
        <f t="shared" si="6"/>
        <v>11004</v>
      </c>
      <c r="Q111" s="1">
        <v>13</v>
      </c>
      <c r="R111" s="1">
        <v>0</v>
      </c>
      <c r="S111" s="20">
        <v>40391</v>
      </c>
      <c r="T111" s="1">
        <v>11688</v>
      </c>
      <c r="U111" s="9">
        <v>7454</v>
      </c>
      <c r="V111" s="9" t="s">
        <v>21</v>
      </c>
    </row>
    <row r="112" spans="1:22" x14ac:dyDescent="0.25">
      <c r="A112" s="10" t="s">
        <v>0</v>
      </c>
      <c r="B112" t="b">
        <v>0</v>
      </c>
      <c r="C112" t="b">
        <v>0</v>
      </c>
      <c r="D112" s="1">
        <v>7698</v>
      </c>
      <c r="E112" s="1">
        <v>0</v>
      </c>
      <c r="F112" s="1">
        <v>14</v>
      </c>
      <c r="G112" s="1">
        <v>1051</v>
      </c>
      <c r="H112" s="1">
        <v>0</v>
      </c>
      <c r="I112" s="1">
        <v>2</v>
      </c>
      <c r="J112" s="1">
        <f t="shared" si="5"/>
        <v>8765</v>
      </c>
      <c r="K112" s="1">
        <v>2297</v>
      </c>
      <c r="L112" s="1">
        <v>0</v>
      </c>
      <c r="M112" s="1">
        <v>49</v>
      </c>
      <c r="N112" s="1">
        <f t="shared" si="7"/>
        <v>2346</v>
      </c>
      <c r="O112" s="14">
        <v>1254</v>
      </c>
      <c r="P112" s="17">
        <f t="shared" si="6"/>
        <v>11111</v>
      </c>
      <c r="Q112" s="1">
        <v>27</v>
      </c>
      <c r="R112" s="1">
        <v>0</v>
      </c>
      <c r="S112" s="20">
        <v>40422</v>
      </c>
      <c r="T112" s="1">
        <v>12392</v>
      </c>
      <c r="U112" s="9">
        <v>8765</v>
      </c>
      <c r="V112" s="9" t="s">
        <v>21</v>
      </c>
    </row>
    <row r="113" spans="1:22" x14ac:dyDescent="0.25">
      <c r="A113" s="10" t="s">
        <v>0</v>
      </c>
      <c r="B113" t="b">
        <v>0</v>
      </c>
      <c r="C113" t="b">
        <v>0</v>
      </c>
      <c r="D113" s="1">
        <v>4667</v>
      </c>
      <c r="E113" s="1">
        <v>0</v>
      </c>
      <c r="F113" s="1">
        <v>0</v>
      </c>
      <c r="G113" s="1">
        <v>865</v>
      </c>
      <c r="H113" s="1">
        <v>0</v>
      </c>
      <c r="I113" s="1">
        <v>0</v>
      </c>
      <c r="J113" s="1">
        <f t="shared" si="5"/>
        <v>5532</v>
      </c>
      <c r="K113" s="1">
        <v>1668</v>
      </c>
      <c r="L113" s="1">
        <v>0</v>
      </c>
      <c r="M113" s="1">
        <v>9</v>
      </c>
      <c r="N113" s="1">
        <f t="shared" si="7"/>
        <v>1677</v>
      </c>
      <c r="O113" s="14">
        <v>1282</v>
      </c>
      <c r="P113" s="17">
        <f t="shared" si="6"/>
        <v>7209</v>
      </c>
      <c r="Q113" s="1">
        <v>3</v>
      </c>
      <c r="R113" s="1">
        <v>0</v>
      </c>
      <c r="S113" s="20">
        <v>40452</v>
      </c>
      <c r="T113" s="1">
        <v>8494</v>
      </c>
      <c r="U113" s="9">
        <v>5532</v>
      </c>
      <c r="V113" s="9" t="s">
        <v>21</v>
      </c>
    </row>
    <row r="114" spans="1:22" x14ac:dyDescent="0.25">
      <c r="A114" s="10" t="s">
        <v>0</v>
      </c>
      <c r="B114" t="b">
        <v>0</v>
      </c>
      <c r="C114" t="b">
        <v>0</v>
      </c>
      <c r="D114" s="1">
        <v>3958</v>
      </c>
      <c r="E114" s="1">
        <v>0</v>
      </c>
      <c r="F114" s="1">
        <v>0</v>
      </c>
      <c r="G114" s="1">
        <v>603</v>
      </c>
      <c r="H114" s="1">
        <v>0</v>
      </c>
      <c r="I114" s="1">
        <v>0</v>
      </c>
      <c r="J114" s="1">
        <f t="shared" si="5"/>
        <v>4561</v>
      </c>
      <c r="K114" s="1">
        <v>594</v>
      </c>
      <c r="L114" s="1">
        <v>0</v>
      </c>
      <c r="M114" s="1">
        <v>0</v>
      </c>
      <c r="N114" s="1">
        <f t="shared" si="7"/>
        <v>594</v>
      </c>
      <c r="O114" s="14">
        <v>1275</v>
      </c>
      <c r="P114" s="17">
        <f t="shared" si="6"/>
        <v>5155</v>
      </c>
      <c r="Q114" s="1">
        <v>5</v>
      </c>
      <c r="R114" s="1">
        <v>0</v>
      </c>
      <c r="S114" s="20">
        <v>40483</v>
      </c>
      <c r="T114" s="1">
        <v>6435</v>
      </c>
      <c r="U114" s="9">
        <v>4561</v>
      </c>
      <c r="V114" s="9" t="s">
        <v>21</v>
      </c>
    </row>
    <row r="115" spans="1:22" x14ac:dyDescent="0.25">
      <c r="A115" s="10" t="s">
        <v>0</v>
      </c>
      <c r="B115" t="b">
        <v>0</v>
      </c>
      <c r="C115" t="b">
        <v>0</v>
      </c>
      <c r="D115" s="1">
        <v>1598</v>
      </c>
      <c r="E115" s="1">
        <v>0</v>
      </c>
      <c r="F115" s="1">
        <v>0</v>
      </c>
      <c r="G115" s="1">
        <v>455</v>
      </c>
      <c r="H115" s="1">
        <v>0</v>
      </c>
      <c r="I115" s="1">
        <v>0</v>
      </c>
      <c r="J115" s="1">
        <f t="shared" si="5"/>
        <v>2053</v>
      </c>
      <c r="K115" s="1">
        <v>174</v>
      </c>
      <c r="L115" s="1">
        <v>0</v>
      </c>
      <c r="M115" s="1">
        <v>0</v>
      </c>
      <c r="N115" s="1">
        <f t="shared" si="7"/>
        <v>174</v>
      </c>
      <c r="O115" s="14">
        <v>507</v>
      </c>
      <c r="P115" s="17">
        <f t="shared" si="6"/>
        <v>2227</v>
      </c>
      <c r="Q115" s="1">
        <v>1</v>
      </c>
      <c r="R115" s="1">
        <v>0</v>
      </c>
      <c r="S115" s="20">
        <v>40513</v>
      </c>
      <c r="T115" s="1">
        <v>2735</v>
      </c>
      <c r="U115" s="9">
        <v>2053</v>
      </c>
      <c r="V115" s="9" t="s">
        <v>21</v>
      </c>
    </row>
    <row r="116" spans="1:22" x14ac:dyDescent="0.25">
      <c r="A116" s="10" t="s">
        <v>0</v>
      </c>
      <c r="B116" t="b">
        <v>0</v>
      </c>
      <c r="C116" t="b">
        <v>0</v>
      </c>
      <c r="D116" s="1">
        <v>1388</v>
      </c>
      <c r="E116" s="1">
        <v>0</v>
      </c>
      <c r="F116" s="1">
        <v>0</v>
      </c>
      <c r="G116" s="1">
        <v>458</v>
      </c>
      <c r="H116" s="1">
        <v>0</v>
      </c>
      <c r="I116" s="1">
        <v>0</v>
      </c>
      <c r="J116" s="1">
        <f t="shared" si="5"/>
        <v>1846</v>
      </c>
      <c r="K116" s="1">
        <v>171</v>
      </c>
      <c r="L116" s="1">
        <v>0</v>
      </c>
      <c r="M116" s="1">
        <v>0</v>
      </c>
      <c r="N116" s="1">
        <f t="shared" si="7"/>
        <v>171</v>
      </c>
      <c r="O116" s="14">
        <v>414</v>
      </c>
      <c r="P116" s="17">
        <f t="shared" si="6"/>
        <v>2017</v>
      </c>
      <c r="Q116" s="1">
        <v>0</v>
      </c>
      <c r="R116" s="1">
        <v>0</v>
      </c>
      <c r="S116" s="20">
        <v>40544</v>
      </c>
      <c r="T116" s="1">
        <v>2431</v>
      </c>
      <c r="U116" s="9">
        <v>1846</v>
      </c>
      <c r="V116" s="9" t="s">
        <v>21</v>
      </c>
    </row>
    <row r="117" spans="1:22" x14ac:dyDescent="0.25">
      <c r="A117" s="10" t="s">
        <v>0</v>
      </c>
      <c r="B117" t="b">
        <v>0</v>
      </c>
      <c r="C117" t="b">
        <v>0</v>
      </c>
      <c r="D117" s="1">
        <v>1457</v>
      </c>
      <c r="E117" s="1">
        <v>0</v>
      </c>
      <c r="F117" s="1">
        <v>0</v>
      </c>
      <c r="G117" s="1">
        <v>562</v>
      </c>
      <c r="H117" s="1">
        <v>0</v>
      </c>
      <c r="I117" s="1">
        <v>0</v>
      </c>
      <c r="J117" s="1">
        <f t="shared" si="5"/>
        <v>2019</v>
      </c>
      <c r="K117" s="1">
        <v>246</v>
      </c>
      <c r="L117" s="1">
        <v>0</v>
      </c>
      <c r="M117" s="1">
        <v>0</v>
      </c>
      <c r="N117" s="1">
        <f t="shared" si="7"/>
        <v>246</v>
      </c>
      <c r="O117" s="14">
        <v>403</v>
      </c>
      <c r="P117" s="17">
        <f t="shared" si="6"/>
        <v>2265</v>
      </c>
      <c r="Q117" s="1">
        <v>3</v>
      </c>
      <c r="R117" s="1">
        <v>0</v>
      </c>
      <c r="S117" s="20">
        <v>40575</v>
      </c>
      <c r="T117" s="1">
        <v>2671</v>
      </c>
      <c r="U117" s="9">
        <v>2019</v>
      </c>
      <c r="V117" s="9" t="s">
        <v>21</v>
      </c>
    </row>
    <row r="118" spans="1:22" x14ac:dyDescent="0.25">
      <c r="A118" s="10" t="s">
        <v>0</v>
      </c>
      <c r="B118" t="b">
        <v>0</v>
      </c>
      <c r="C118" t="b">
        <v>0</v>
      </c>
      <c r="D118" s="1">
        <v>784</v>
      </c>
      <c r="E118" s="1">
        <v>0</v>
      </c>
      <c r="F118" s="1">
        <v>0</v>
      </c>
      <c r="G118" s="1">
        <v>453</v>
      </c>
      <c r="H118" s="1">
        <v>0</v>
      </c>
      <c r="I118" s="1">
        <v>0</v>
      </c>
      <c r="J118" s="1">
        <f t="shared" si="5"/>
        <v>1237</v>
      </c>
      <c r="K118" s="1">
        <v>224</v>
      </c>
      <c r="L118" s="1">
        <v>0</v>
      </c>
      <c r="M118" s="1">
        <v>1</v>
      </c>
      <c r="N118" s="1">
        <f t="shared" si="7"/>
        <v>225</v>
      </c>
      <c r="O118" s="14">
        <v>193</v>
      </c>
      <c r="P118" s="17">
        <f t="shared" si="6"/>
        <v>1462</v>
      </c>
      <c r="Q118" s="1">
        <v>0</v>
      </c>
      <c r="R118" s="1">
        <v>0</v>
      </c>
      <c r="S118" s="20">
        <v>40603</v>
      </c>
      <c r="T118" s="1">
        <v>1655</v>
      </c>
      <c r="U118" s="9">
        <v>1237</v>
      </c>
      <c r="V118" s="9" t="s">
        <v>21</v>
      </c>
    </row>
    <row r="119" spans="1:22" x14ac:dyDescent="0.25">
      <c r="A119" s="10" t="s">
        <v>0</v>
      </c>
      <c r="B119" t="b">
        <v>0</v>
      </c>
      <c r="C119" t="b">
        <v>0</v>
      </c>
      <c r="D119" s="1">
        <v>1907</v>
      </c>
      <c r="E119" s="1">
        <v>0</v>
      </c>
      <c r="F119" s="1">
        <v>2</v>
      </c>
      <c r="G119" s="1">
        <v>928</v>
      </c>
      <c r="H119" s="1">
        <v>11</v>
      </c>
      <c r="I119" s="1">
        <v>0</v>
      </c>
      <c r="J119" s="1">
        <f t="shared" si="5"/>
        <v>2848</v>
      </c>
      <c r="K119" s="1">
        <v>840</v>
      </c>
      <c r="L119" s="1">
        <v>0</v>
      </c>
      <c r="M119" s="1">
        <v>20</v>
      </c>
      <c r="N119" s="1">
        <f t="shared" si="7"/>
        <v>860</v>
      </c>
      <c r="O119" s="14">
        <v>383</v>
      </c>
      <c r="P119" s="17">
        <f t="shared" si="6"/>
        <v>3708</v>
      </c>
      <c r="Q119" s="1">
        <v>0</v>
      </c>
      <c r="R119" s="1">
        <v>0</v>
      </c>
      <c r="S119" s="20">
        <v>40634</v>
      </c>
      <c r="T119" s="1">
        <v>4091</v>
      </c>
      <c r="U119" s="9">
        <v>2848</v>
      </c>
      <c r="V119" s="9" t="s">
        <v>21</v>
      </c>
    </row>
    <row r="120" spans="1:22" x14ac:dyDescent="0.25">
      <c r="A120" s="10" t="s">
        <v>0</v>
      </c>
      <c r="B120" t="b">
        <v>0</v>
      </c>
      <c r="C120" t="b">
        <v>0</v>
      </c>
      <c r="D120" s="1">
        <v>3027</v>
      </c>
      <c r="E120" s="1">
        <v>0</v>
      </c>
      <c r="F120" s="1">
        <v>0</v>
      </c>
      <c r="G120" s="1">
        <v>1130</v>
      </c>
      <c r="H120" s="1">
        <v>0</v>
      </c>
      <c r="I120" s="1">
        <v>4</v>
      </c>
      <c r="J120" s="1">
        <f t="shared" si="5"/>
        <v>4161</v>
      </c>
      <c r="K120" s="1">
        <v>1738</v>
      </c>
      <c r="L120" s="1">
        <v>0</v>
      </c>
      <c r="M120" s="1">
        <v>41</v>
      </c>
      <c r="N120" s="1">
        <f t="shared" si="7"/>
        <v>1779</v>
      </c>
      <c r="O120" s="14">
        <v>474</v>
      </c>
      <c r="P120" s="17">
        <f t="shared" si="6"/>
        <v>5940</v>
      </c>
      <c r="Q120" s="1">
        <v>1</v>
      </c>
      <c r="R120" s="1">
        <v>0</v>
      </c>
      <c r="S120" s="20">
        <v>40664</v>
      </c>
      <c r="T120" s="1">
        <v>6415</v>
      </c>
      <c r="U120" s="9">
        <v>4161</v>
      </c>
      <c r="V120" s="9" t="s">
        <v>21</v>
      </c>
    </row>
    <row r="121" spans="1:22" x14ac:dyDescent="0.25">
      <c r="A121" s="10" t="s">
        <v>0</v>
      </c>
      <c r="B121" t="b">
        <v>0</v>
      </c>
      <c r="C121" t="b">
        <v>0</v>
      </c>
      <c r="D121" s="1">
        <v>3895</v>
      </c>
      <c r="E121" s="1">
        <v>0</v>
      </c>
      <c r="F121" s="1">
        <v>0</v>
      </c>
      <c r="G121" s="1">
        <v>995</v>
      </c>
      <c r="H121" s="1">
        <v>0</v>
      </c>
      <c r="I121" s="1">
        <v>0</v>
      </c>
      <c r="J121" s="1">
        <f t="shared" si="5"/>
        <v>4890</v>
      </c>
      <c r="K121" s="1">
        <v>1383</v>
      </c>
      <c r="L121" s="1">
        <v>0</v>
      </c>
      <c r="M121" s="1">
        <v>35</v>
      </c>
      <c r="N121" s="1">
        <f t="shared" si="7"/>
        <v>1418</v>
      </c>
      <c r="O121" s="14">
        <v>443</v>
      </c>
      <c r="P121" s="17">
        <f t="shared" si="6"/>
        <v>6308</v>
      </c>
      <c r="Q121" s="1">
        <v>3</v>
      </c>
      <c r="R121" s="1">
        <v>0</v>
      </c>
      <c r="S121" s="20">
        <v>40695</v>
      </c>
      <c r="T121" s="1">
        <v>6754</v>
      </c>
      <c r="U121" s="9">
        <v>4890</v>
      </c>
      <c r="V121" s="9" t="s">
        <v>21</v>
      </c>
    </row>
    <row r="122" spans="1:22" x14ac:dyDescent="0.25">
      <c r="A122" s="10" t="s">
        <v>0</v>
      </c>
      <c r="B122" t="b">
        <v>0</v>
      </c>
      <c r="C122" t="b">
        <v>0</v>
      </c>
      <c r="D122" s="1">
        <v>6816</v>
      </c>
      <c r="E122" s="1">
        <v>0</v>
      </c>
      <c r="F122" s="1">
        <v>9</v>
      </c>
      <c r="G122" s="1">
        <v>2593</v>
      </c>
      <c r="H122" s="1">
        <v>0</v>
      </c>
      <c r="I122" s="1">
        <v>0</v>
      </c>
      <c r="J122" s="1">
        <f t="shared" si="5"/>
        <v>9418</v>
      </c>
      <c r="K122" s="1">
        <v>3262</v>
      </c>
      <c r="L122" s="1">
        <v>0</v>
      </c>
      <c r="M122" s="1">
        <v>61</v>
      </c>
      <c r="N122" s="1">
        <f t="shared" si="7"/>
        <v>3323</v>
      </c>
      <c r="O122" s="14">
        <v>720</v>
      </c>
      <c r="P122" s="17">
        <f t="shared" si="6"/>
        <v>12741</v>
      </c>
      <c r="Q122" s="1">
        <v>6</v>
      </c>
      <c r="R122" s="1">
        <v>0</v>
      </c>
      <c r="S122" s="20">
        <v>40725</v>
      </c>
      <c r="T122" s="1">
        <v>13467</v>
      </c>
      <c r="U122" s="9">
        <v>9418</v>
      </c>
      <c r="V122" s="9" t="s">
        <v>21</v>
      </c>
    </row>
    <row r="123" spans="1:22" x14ac:dyDescent="0.25">
      <c r="A123" s="10" t="s">
        <v>0</v>
      </c>
      <c r="B123" t="b">
        <v>0</v>
      </c>
      <c r="C123" t="b">
        <v>0</v>
      </c>
      <c r="D123" s="1">
        <v>3662</v>
      </c>
      <c r="E123" s="1">
        <v>0</v>
      </c>
      <c r="F123" s="1">
        <v>11</v>
      </c>
      <c r="G123" s="1">
        <v>998</v>
      </c>
      <c r="H123" s="1">
        <v>0</v>
      </c>
      <c r="I123" s="1">
        <v>0</v>
      </c>
      <c r="J123" s="1">
        <f t="shared" si="5"/>
        <v>4671</v>
      </c>
      <c r="K123" s="1">
        <v>2041</v>
      </c>
      <c r="L123" s="1">
        <v>0</v>
      </c>
      <c r="M123" s="1">
        <v>49</v>
      </c>
      <c r="N123" s="1">
        <f t="shared" si="7"/>
        <v>2090</v>
      </c>
      <c r="O123" s="14">
        <v>508</v>
      </c>
      <c r="P123" s="17">
        <f t="shared" si="6"/>
        <v>6761</v>
      </c>
      <c r="Q123" s="1">
        <v>5</v>
      </c>
      <c r="R123" s="1">
        <v>0</v>
      </c>
      <c r="S123" s="20">
        <v>40756</v>
      </c>
      <c r="T123" s="1">
        <v>7274</v>
      </c>
      <c r="U123" s="9">
        <v>4671</v>
      </c>
      <c r="V123" s="9" t="s">
        <v>21</v>
      </c>
    </row>
    <row r="124" spans="1:22" x14ac:dyDescent="0.25">
      <c r="A124" s="10" t="s">
        <v>0</v>
      </c>
      <c r="B124" t="b">
        <v>0</v>
      </c>
      <c r="C124" t="b">
        <v>0</v>
      </c>
      <c r="D124" s="1">
        <v>4448</v>
      </c>
      <c r="E124" s="1">
        <v>0</v>
      </c>
      <c r="F124" s="1">
        <v>8</v>
      </c>
      <c r="G124" s="1">
        <v>725</v>
      </c>
      <c r="H124" s="1">
        <v>0</v>
      </c>
      <c r="I124" s="1">
        <v>1</v>
      </c>
      <c r="J124" s="1">
        <f t="shared" si="5"/>
        <v>5182</v>
      </c>
      <c r="K124" s="1">
        <v>1789</v>
      </c>
      <c r="L124" s="1">
        <v>0</v>
      </c>
      <c r="M124" s="1">
        <v>102</v>
      </c>
      <c r="N124" s="1">
        <f t="shared" si="7"/>
        <v>1891</v>
      </c>
      <c r="O124" s="14">
        <v>8</v>
      </c>
      <c r="P124" s="17">
        <f t="shared" si="6"/>
        <v>7073</v>
      </c>
      <c r="Q124" s="1">
        <v>1</v>
      </c>
      <c r="R124" s="1">
        <v>0</v>
      </c>
      <c r="S124" s="20">
        <v>40787</v>
      </c>
      <c r="T124" s="1">
        <v>7082</v>
      </c>
      <c r="U124" s="9">
        <v>5182</v>
      </c>
      <c r="V124" s="9" t="s">
        <v>21</v>
      </c>
    </row>
    <row r="125" spans="1:22" x14ac:dyDescent="0.25">
      <c r="A125" s="10" t="s">
        <v>0</v>
      </c>
      <c r="B125" t="b">
        <v>0</v>
      </c>
      <c r="C125" t="b">
        <v>0</v>
      </c>
      <c r="D125" s="1">
        <v>3978</v>
      </c>
      <c r="E125" s="1">
        <v>0</v>
      </c>
      <c r="F125" s="1">
        <v>0</v>
      </c>
      <c r="G125" s="1">
        <v>832</v>
      </c>
      <c r="H125" s="1">
        <v>0</v>
      </c>
      <c r="I125" s="1">
        <v>0</v>
      </c>
      <c r="J125" s="1">
        <f t="shared" si="5"/>
        <v>4810</v>
      </c>
      <c r="K125" s="1">
        <v>988</v>
      </c>
      <c r="L125" s="1">
        <v>0</v>
      </c>
      <c r="M125" s="1">
        <v>0</v>
      </c>
      <c r="N125" s="1">
        <f t="shared" si="7"/>
        <v>988</v>
      </c>
      <c r="O125" s="14">
        <v>1018</v>
      </c>
      <c r="P125" s="17">
        <f t="shared" si="6"/>
        <v>5798</v>
      </c>
      <c r="Q125" s="1">
        <v>5</v>
      </c>
      <c r="R125" s="1">
        <v>0</v>
      </c>
      <c r="S125" s="20">
        <v>40817</v>
      </c>
      <c r="T125" s="1">
        <v>6821</v>
      </c>
      <c r="U125" s="9">
        <v>4810</v>
      </c>
      <c r="V125" s="9" t="s">
        <v>21</v>
      </c>
    </row>
    <row r="126" spans="1:22" x14ac:dyDescent="0.25">
      <c r="A126" s="10" t="s">
        <v>0</v>
      </c>
      <c r="B126" t="b">
        <v>0</v>
      </c>
      <c r="C126" t="b">
        <v>0</v>
      </c>
      <c r="D126" s="1">
        <v>3247</v>
      </c>
      <c r="E126" s="1">
        <v>0</v>
      </c>
      <c r="F126" s="1">
        <v>0</v>
      </c>
      <c r="G126" s="1">
        <v>673</v>
      </c>
      <c r="H126" s="1">
        <v>0</v>
      </c>
      <c r="I126" s="1">
        <v>2</v>
      </c>
      <c r="J126" s="1">
        <f t="shared" si="5"/>
        <v>3922</v>
      </c>
      <c r="K126" s="1">
        <v>208</v>
      </c>
      <c r="L126" s="1">
        <v>0</v>
      </c>
      <c r="M126" s="1">
        <v>0</v>
      </c>
      <c r="N126" s="1">
        <f t="shared" si="7"/>
        <v>208</v>
      </c>
      <c r="O126" s="14">
        <v>912</v>
      </c>
      <c r="P126" s="17">
        <f t="shared" si="6"/>
        <v>4130</v>
      </c>
      <c r="Q126" s="1">
        <v>1</v>
      </c>
      <c r="R126" s="1">
        <v>0</v>
      </c>
      <c r="S126" s="20">
        <v>40848</v>
      </c>
      <c r="T126" s="1">
        <v>5043</v>
      </c>
      <c r="U126" s="9">
        <v>3922</v>
      </c>
      <c r="V126" s="9" t="s">
        <v>21</v>
      </c>
    </row>
    <row r="127" spans="1:22" x14ac:dyDescent="0.25">
      <c r="A127" s="10" t="s">
        <v>0</v>
      </c>
      <c r="B127" t="b">
        <v>0</v>
      </c>
      <c r="C127" t="b">
        <v>0</v>
      </c>
      <c r="D127" s="1">
        <v>2659</v>
      </c>
      <c r="E127" s="1">
        <v>0</v>
      </c>
      <c r="F127" s="1">
        <v>0</v>
      </c>
      <c r="G127" s="1">
        <v>687</v>
      </c>
      <c r="H127" s="1">
        <v>0</v>
      </c>
      <c r="I127" s="1">
        <v>0</v>
      </c>
      <c r="J127" s="1">
        <f t="shared" si="5"/>
        <v>3346</v>
      </c>
      <c r="K127" s="1">
        <v>70</v>
      </c>
      <c r="L127" s="1">
        <v>0</v>
      </c>
      <c r="M127" s="1">
        <v>0</v>
      </c>
      <c r="N127" s="1">
        <f t="shared" si="7"/>
        <v>70</v>
      </c>
      <c r="O127" s="14">
        <v>863</v>
      </c>
      <c r="P127" s="17">
        <f t="shared" si="6"/>
        <v>3416</v>
      </c>
      <c r="Q127" s="1">
        <v>0</v>
      </c>
      <c r="R127" s="1">
        <v>0</v>
      </c>
      <c r="S127" s="20">
        <v>40878</v>
      </c>
      <c r="T127" s="1">
        <v>4279</v>
      </c>
      <c r="U127" s="9">
        <v>3346</v>
      </c>
      <c r="V127" s="9" t="s">
        <v>21</v>
      </c>
    </row>
    <row r="128" spans="1:22" x14ac:dyDescent="0.25">
      <c r="A128" s="10" t="s">
        <v>0</v>
      </c>
      <c r="B128" t="b">
        <v>0</v>
      </c>
      <c r="C128" t="b">
        <v>0</v>
      </c>
      <c r="D128" s="1">
        <v>1524</v>
      </c>
      <c r="E128" s="1">
        <v>0</v>
      </c>
      <c r="F128" s="1">
        <v>0</v>
      </c>
      <c r="G128" s="1">
        <v>656</v>
      </c>
      <c r="H128" s="1">
        <v>0</v>
      </c>
      <c r="I128" s="1">
        <v>0</v>
      </c>
      <c r="J128" s="1">
        <f t="shared" si="5"/>
        <v>2180</v>
      </c>
      <c r="K128" s="1">
        <v>140</v>
      </c>
      <c r="L128" s="1">
        <v>0</v>
      </c>
      <c r="M128" s="1">
        <v>0</v>
      </c>
      <c r="N128" s="1">
        <f t="shared" si="7"/>
        <v>140</v>
      </c>
      <c r="O128" s="14">
        <v>434</v>
      </c>
      <c r="P128" s="17">
        <f t="shared" si="6"/>
        <v>2320</v>
      </c>
      <c r="Q128" s="1">
        <v>1</v>
      </c>
      <c r="R128" s="1">
        <v>0</v>
      </c>
      <c r="S128" s="20">
        <v>40909</v>
      </c>
      <c r="T128" s="1">
        <v>2755</v>
      </c>
      <c r="U128" s="9">
        <v>2180</v>
      </c>
      <c r="V128" s="9" t="s">
        <v>21</v>
      </c>
    </row>
    <row r="129" spans="1:22" x14ac:dyDescent="0.25">
      <c r="A129" s="10" t="s">
        <v>0</v>
      </c>
      <c r="B129" t="b">
        <v>0</v>
      </c>
      <c r="C129" t="b">
        <v>0</v>
      </c>
      <c r="D129" s="1">
        <v>1471</v>
      </c>
      <c r="E129" s="1">
        <v>0</v>
      </c>
      <c r="F129" s="1">
        <v>0</v>
      </c>
      <c r="G129" s="1">
        <v>776</v>
      </c>
      <c r="H129" s="1">
        <v>0</v>
      </c>
      <c r="I129" s="1">
        <v>0</v>
      </c>
      <c r="J129" s="1">
        <f t="shared" si="5"/>
        <v>2247</v>
      </c>
      <c r="K129" s="1">
        <v>218</v>
      </c>
      <c r="L129" s="1">
        <v>0</v>
      </c>
      <c r="M129" s="1">
        <v>0</v>
      </c>
      <c r="N129" s="1">
        <f t="shared" si="7"/>
        <v>218</v>
      </c>
      <c r="O129" s="14">
        <v>379</v>
      </c>
      <c r="P129" s="17">
        <f t="shared" si="6"/>
        <v>2465</v>
      </c>
      <c r="Q129" s="1">
        <v>5</v>
      </c>
      <c r="R129" s="1">
        <v>0</v>
      </c>
      <c r="S129" s="20">
        <v>40940</v>
      </c>
      <c r="T129" s="1">
        <v>2849</v>
      </c>
      <c r="U129" s="9">
        <v>2247</v>
      </c>
      <c r="V129" s="9" t="s">
        <v>21</v>
      </c>
    </row>
    <row r="130" spans="1:22" x14ac:dyDescent="0.25">
      <c r="A130" s="10" t="s">
        <v>0</v>
      </c>
      <c r="B130" t="b">
        <v>0</v>
      </c>
      <c r="C130" t="b">
        <v>0</v>
      </c>
      <c r="D130" s="1">
        <v>1150</v>
      </c>
      <c r="E130" s="1">
        <v>0</v>
      </c>
      <c r="F130" s="1">
        <v>0</v>
      </c>
      <c r="G130" s="1">
        <v>829</v>
      </c>
      <c r="H130" s="1">
        <v>0</v>
      </c>
      <c r="I130" s="1">
        <v>0</v>
      </c>
      <c r="J130" s="1">
        <f t="shared" si="5"/>
        <v>1979</v>
      </c>
      <c r="K130" s="1">
        <v>196</v>
      </c>
      <c r="L130" s="1">
        <v>0</v>
      </c>
      <c r="M130" s="1">
        <v>0</v>
      </c>
      <c r="N130" s="1">
        <f t="shared" si="7"/>
        <v>196</v>
      </c>
      <c r="O130" s="14">
        <v>288</v>
      </c>
      <c r="P130" s="17">
        <f t="shared" si="6"/>
        <v>2175</v>
      </c>
      <c r="Q130" s="1">
        <v>1</v>
      </c>
      <c r="R130" s="1">
        <v>0</v>
      </c>
      <c r="S130" s="20">
        <v>40969</v>
      </c>
      <c r="T130" s="1">
        <v>2464</v>
      </c>
      <c r="U130" s="9">
        <v>1979</v>
      </c>
      <c r="V130" s="9" t="s">
        <v>21</v>
      </c>
    </row>
    <row r="131" spans="1:22" x14ac:dyDescent="0.25">
      <c r="A131" s="10" t="s">
        <v>0</v>
      </c>
      <c r="B131" t="b">
        <v>0</v>
      </c>
      <c r="C131" t="b">
        <v>0</v>
      </c>
      <c r="D131" s="1">
        <v>3094</v>
      </c>
      <c r="E131" s="1">
        <v>0</v>
      </c>
      <c r="F131" s="1">
        <v>0</v>
      </c>
      <c r="G131" s="1">
        <v>1051</v>
      </c>
      <c r="H131" s="1">
        <v>0</v>
      </c>
      <c r="I131" s="1">
        <v>1</v>
      </c>
      <c r="J131" s="1">
        <f t="shared" ref="J131:J194" si="8">D131+E131+F131+G131+H131+I131</f>
        <v>4146</v>
      </c>
      <c r="K131" s="1">
        <v>493</v>
      </c>
      <c r="L131" s="1">
        <v>0</v>
      </c>
      <c r="M131" s="1">
        <v>0</v>
      </c>
      <c r="N131" s="1">
        <f t="shared" si="7"/>
        <v>493</v>
      </c>
      <c r="O131" s="14">
        <v>582</v>
      </c>
      <c r="P131" s="17">
        <f t="shared" ref="P131:P194" si="9">J131+N131</f>
        <v>4639</v>
      </c>
      <c r="Q131" s="1">
        <v>4</v>
      </c>
      <c r="R131" s="1">
        <v>0</v>
      </c>
      <c r="S131" s="20">
        <v>41000</v>
      </c>
      <c r="T131" s="1">
        <v>5225</v>
      </c>
      <c r="U131" s="9">
        <v>4146</v>
      </c>
      <c r="V131" s="9" t="s">
        <v>21</v>
      </c>
    </row>
    <row r="132" spans="1:22" x14ac:dyDescent="0.25">
      <c r="A132" s="10" t="s">
        <v>0</v>
      </c>
      <c r="B132" t="b">
        <v>0</v>
      </c>
      <c r="C132" t="b">
        <v>0</v>
      </c>
      <c r="D132" s="1">
        <v>5460</v>
      </c>
      <c r="E132" s="1">
        <v>0</v>
      </c>
      <c r="F132" s="1">
        <v>0</v>
      </c>
      <c r="G132" s="1">
        <v>1188</v>
      </c>
      <c r="H132" s="1">
        <v>0</v>
      </c>
      <c r="I132" s="1">
        <v>3</v>
      </c>
      <c r="J132" s="1">
        <f t="shared" si="8"/>
        <v>6651</v>
      </c>
      <c r="K132" s="1">
        <v>1285</v>
      </c>
      <c r="L132" s="1">
        <v>0</v>
      </c>
      <c r="M132" s="1">
        <v>0</v>
      </c>
      <c r="N132" s="1">
        <f t="shared" si="7"/>
        <v>1285</v>
      </c>
      <c r="O132" s="14">
        <v>994</v>
      </c>
      <c r="P132" s="17">
        <f t="shared" si="9"/>
        <v>7936</v>
      </c>
      <c r="Q132" s="1">
        <v>4</v>
      </c>
      <c r="R132" s="1">
        <v>0</v>
      </c>
      <c r="S132" s="20">
        <v>41030</v>
      </c>
      <c r="T132" s="1">
        <v>8934</v>
      </c>
      <c r="U132" s="9">
        <v>6651</v>
      </c>
      <c r="V132" s="9" t="s">
        <v>21</v>
      </c>
    </row>
    <row r="133" spans="1:22" x14ac:dyDescent="0.25">
      <c r="A133" s="10" t="s">
        <v>0</v>
      </c>
      <c r="B133" t="b">
        <v>0</v>
      </c>
      <c r="C133" t="b">
        <v>0</v>
      </c>
      <c r="D133" s="1">
        <v>4461</v>
      </c>
      <c r="E133" s="1">
        <v>0</v>
      </c>
      <c r="F133" s="1">
        <v>3</v>
      </c>
      <c r="G133" s="1">
        <v>1415</v>
      </c>
      <c r="H133" s="1">
        <v>0</v>
      </c>
      <c r="I133" s="1">
        <v>0</v>
      </c>
      <c r="J133" s="1">
        <f t="shared" si="8"/>
        <v>5879</v>
      </c>
      <c r="K133" s="1">
        <v>1347</v>
      </c>
      <c r="L133" s="1">
        <v>0</v>
      </c>
      <c r="M133" s="1">
        <v>0</v>
      </c>
      <c r="N133" s="1">
        <f t="shared" si="7"/>
        <v>1347</v>
      </c>
      <c r="O133" s="14">
        <v>459</v>
      </c>
      <c r="P133" s="17">
        <f t="shared" si="9"/>
        <v>7226</v>
      </c>
      <c r="Q133" s="1">
        <v>9</v>
      </c>
      <c r="R133" s="1">
        <v>0</v>
      </c>
      <c r="S133" s="20">
        <v>41061</v>
      </c>
      <c r="T133" s="1">
        <v>7694</v>
      </c>
      <c r="U133" s="9">
        <v>5879</v>
      </c>
      <c r="V133" s="9" t="s">
        <v>21</v>
      </c>
    </row>
    <row r="134" spans="1:22" x14ac:dyDescent="0.25">
      <c r="A134" s="10" t="s">
        <v>0</v>
      </c>
      <c r="B134" t="b">
        <v>0</v>
      </c>
      <c r="C134" t="b">
        <v>0</v>
      </c>
      <c r="D134" s="1">
        <v>5936</v>
      </c>
      <c r="E134" s="1">
        <v>0</v>
      </c>
      <c r="F134" s="1">
        <v>178</v>
      </c>
      <c r="G134" s="1">
        <v>1400</v>
      </c>
      <c r="H134" s="1">
        <v>0</v>
      </c>
      <c r="I134" s="1">
        <v>0</v>
      </c>
      <c r="J134" s="1">
        <f t="shared" si="8"/>
        <v>7514</v>
      </c>
      <c r="K134" s="1">
        <v>2503</v>
      </c>
      <c r="L134" s="1">
        <v>0</v>
      </c>
      <c r="M134" s="1">
        <v>0</v>
      </c>
      <c r="N134" s="1">
        <f t="shared" si="7"/>
        <v>2503</v>
      </c>
      <c r="O134" s="14">
        <v>717</v>
      </c>
      <c r="P134" s="17">
        <f t="shared" si="9"/>
        <v>10017</v>
      </c>
      <c r="Q134" s="1">
        <v>11</v>
      </c>
      <c r="R134" s="1">
        <v>0</v>
      </c>
      <c r="S134" s="20">
        <v>41091</v>
      </c>
      <c r="T134" s="1">
        <v>10745</v>
      </c>
      <c r="U134" s="9">
        <v>7514</v>
      </c>
      <c r="V134" s="9" t="s">
        <v>21</v>
      </c>
    </row>
    <row r="135" spans="1:22" x14ac:dyDescent="0.25">
      <c r="A135" s="10" t="s">
        <v>0</v>
      </c>
      <c r="B135" t="b">
        <v>0</v>
      </c>
      <c r="C135" t="b">
        <v>0</v>
      </c>
      <c r="D135" s="1">
        <v>4172</v>
      </c>
      <c r="E135" s="1">
        <v>0</v>
      </c>
      <c r="F135" s="1">
        <v>0</v>
      </c>
      <c r="G135" s="1">
        <v>113</v>
      </c>
      <c r="H135" s="1">
        <v>21</v>
      </c>
      <c r="I135" s="1">
        <v>0</v>
      </c>
      <c r="J135" s="1">
        <f t="shared" si="8"/>
        <v>4306</v>
      </c>
      <c r="K135" s="1">
        <v>2520</v>
      </c>
      <c r="L135" s="1">
        <v>506</v>
      </c>
      <c r="M135" s="1">
        <v>0</v>
      </c>
      <c r="N135" s="1">
        <f t="shared" si="7"/>
        <v>3026</v>
      </c>
      <c r="O135" s="14">
        <v>558</v>
      </c>
      <c r="P135" s="17">
        <f t="shared" si="9"/>
        <v>7332</v>
      </c>
      <c r="Q135" s="1">
        <v>0</v>
      </c>
      <c r="R135" s="1">
        <v>0</v>
      </c>
      <c r="S135" s="20">
        <v>41122</v>
      </c>
      <c r="T135" s="1">
        <v>7890</v>
      </c>
      <c r="U135" s="9">
        <v>4306</v>
      </c>
      <c r="V135" s="9" t="s">
        <v>21</v>
      </c>
    </row>
    <row r="136" spans="1:22" x14ac:dyDescent="0.25">
      <c r="A136" s="10" t="s">
        <v>0</v>
      </c>
      <c r="B136" t="b">
        <v>0</v>
      </c>
      <c r="C136" t="b">
        <v>0</v>
      </c>
      <c r="D136" s="1">
        <v>3399</v>
      </c>
      <c r="E136" s="1">
        <v>0</v>
      </c>
      <c r="F136" s="1">
        <v>0</v>
      </c>
      <c r="G136" s="1">
        <v>198</v>
      </c>
      <c r="H136" s="1">
        <v>0</v>
      </c>
      <c r="I136" s="1">
        <v>0</v>
      </c>
      <c r="J136" s="1">
        <f t="shared" si="8"/>
        <v>3597</v>
      </c>
      <c r="K136" s="1">
        <v>1282</v>
      </c>
      <c r="L136" s="1">
        <v>238</v>
      </c>
      <c r="M136" s="1">
        <v>0</v>
      </c>
      <c r="N136" s="1">
        <f t="shared" si="7"/>
        <v>1520</v>
      </c>
      <c r="O136" s="14">
        <v>0</v>
      </c>
      <c r="P136" s="17">
        <f t="shared" si="9"/>
        <v>5117</v>
      </c>
      <c r="Q136" s="1">
        <v>667</v>
      </c>
      <c r="R136" s="1">
        <v>0</v>
      </c>
      <c r="S136" s="20">
        <v>41153</v>
      </c>
      <c r="T136" s="1">
        <v>5784</v>
      </c>
      <c r="U136" s="9">
        <v>3597</v>
      </c>
      <c r="V136" s="9" t="s">
        <v>21</v>
      </c>
    </row>
    <row r="137" spans="1:22" x14ac:dyDescent="0.25">
      <c r="A137" s="10" t="s">
        <v>0</v>
      </c>
      <c r="B137" t="b">
        <v>0</v>
      </c>
      <c r="C137" t="b">
        <v>0</v>
      </c>
      <c r="D137" s="1">
        <v>2590</v>
      </c>
      <c r="E137" s="1">
        <v>0</v>
      </c>
      <c r="F137" s="1">
        <v>0</v>
      </c>
      <c r="G137" s="1">
        <v>193</v>
      </c>
      <c r="H137" s="1">
        <v>0</v>
      </c>
      <c r="I137" s="1">
        <v>0</v>
      </c>
      <c r="J137" s="1">
        <f t="shared" si="8"/>
        <v>2783</v>
      </c>
      <c r="K137" s="1">
        <v>860</v>
      </c>
      <c r="L137" s="1">
        <v>0</v>
      </c>
      <c r="M137" s="1">
        <v>0</v>
      </c>
      <c r="N137" s="1">
        <f t="shared" si="7"/>
        <v>860</v>
      </c>
      <c r="O137" s="14">
        <v>765</v>
      </c>
      <c r="P137" s="17">
        <f t="shared" si="9"/>
        <v>3643</v>
      </c>
      <c r="Q137" s="1">
        <v>0</v>
      </c>
      <c r="R137" s="1">
        <v>0</v>
      </c>
      <c r="S137" s="20">
        <v>41183</v>
      </c>
      <c r="T137" s="1">
        <v>4408</v>
      </c>
      <c r="U137" s="9">
        <v>2783</v>
      </c>
      <c r="V137" s="9" t="s">
        <v>21</v>
      </c>
    </row>
    <row r="138" spans="1:22" x14ac:dyDescent="0.25">
      <c r="A138" s="10" t="s">
        <v>0</v>
      </c>
      <c r="B138" t="b">
        <v>0</v>
      </c>
      <c r="C138" t="b">
        <v>0</v>
      </c>
      <c r="D138" s="1">
        <v>3241</v>
      </c>
      <c r="E138" s="1">
        <v>0</v>
      </c>
      <c r="F138" s="1">
        <v>0</v>
      </c>
      <c r="G138" s="1">
        <v>255</v>
      </c>
      <c r="H138" s="1">
        <v>0</v>
      </c>
      <c r="I138" s="1">
        <v>0</v>
      </c>
      <c r="J138" s="1">
        <f t="shared" si="8"/>
        <v>3496</v>
      </c>
      <c r="K138" s="1">
        <v>249</v>
      </c>
      <c r="L138" s="1">
        <v>0</v>
      </c>
      <c r="M138" s="1">
        <v>0</v>
      </c>
      <c r="N138" s="1">
        <f t="shared" si="7"/>
        <v>249</v>
      </c>
      <c r="O138" s="14">
        <v>1057</v>
      </c>
      <c r="P138" s="17">
        <f t="shared" si="9"/>
        <v>3745</v>
      </c>
      <c r="Q138" s="1">
        <v>0</v>
      </c>
      <c r="R138" s="1">
        <v>0</v>
      </c>
      <c r="S138" s="20">
        <v>41214</v>
      </c>
      <c r="T138" s="1">
        <v>4802</v>
      </c>
      <c r="U138" s="9">
        <v>3496</v>
      </c>
      <c r="V138" s="9" t="s">
        <v>21</v>
      </c>
    </row>
    <row r="139" spans="1:22" x14ac:dyDescent="0.25">
      <c r="A139" s="10" t="s">
        <v>0</v>
      </c>
      <c r="B139" t="b">
        <v>0</v>
      </c>
      <c r="C139" t="b">
        <v>0</v>
      </c>
      <c r="D139" s="1">
        <v>920</v>
      </c>
      <c r="E139" s="1">
        <v>0</v>
      </c>
      <c r="F139" s="1">
        <v>0</v>
      </c>
      <c r="G139" s="1">
        <v>10</v>
      </c>
      <c r="H139" s="1">
        <v>0</v>
      </c>
      <c r="I139" s="1">
        <v>0</v>
      </c>
      <c r="J139" s="1">
        <f t="shared" si="8"/>
        <v>930</v>
      </c>
      <c r="K139" s="1">
        <v>48</v>
      </c>
      <c r="L139" s="1">
        <v>0</v>
      </c>
      <c r="M139" s="1">
        <v>0</v>
      </c>
      <c r="N139" s="1">
        <f t="shared" si="7"/>
        <v>48</v>
      </c>
      <c r="O139" s="14">
        <v>297</v>
      </c>
      <c r="P139" s="17">
        <f t="shared" si="9"/>
        <v>978</v>
      </c>
      <c r="Q139" s="1">
        <v>0</v>
      </c>
      <c r="R139" s="1">
        <v>0</v>
      </c>
      <c r="S139" s="20">
        <v>41244</v>
      </c>
      <c r="T139" s="1">
        <v>1275</v>
      </c>
      <c r="U139" s="9">
        <v>930</v>
      </c>
      <c r="V139" s="9" t="s">
        <v>21</v>
      </c>
    </row>
    <row r="140" spans="1:22" x14ac:dyDescent="0.25">
      <c r="A140" s="10" t="s">
        <v>0</v>
      </c>
      <c r="B140" t="b">
        <v>0</v>
      </c>
      <c r="C140" t="b">
        <v>0</v>
      </c>
      <c r="D140" s="1">
        <v>773</v>
      </c>
      <c r="E140" s="1">
        <v>0</v>
      </c>
      <c r="F140" s="1">
        <v>0</v>
      </c>
      <c r="G140" s="1">
        <v>195</v>
      </c>
      <c r="H140" s="1">
        <v>0</v>
      </c>
      <c r="I140" s="1">
        <v>0</v>
      </c>
      <c r="J140" s="1">
        <f t="shared" si="8"/>
        <v>968</v>
      </c>
      <c r="K140" s="1">
        <v>81</v>
      </c>
      <c r="L140" s="1">
        <v>39</v>
      </c>
      <c r="M140" s="1">
        <v>0</v>
      </c>
      <c r="N140" s="1">
        <f t="shared" si="7"/>
        <v>120</v>
      </c>
      <c r="O140" s="14">
        <v>231</v>
      </c>
      <c r="P140" s="17">
        <f t="shared" si="9"/>
        <v>1088</v>
      </c>
      <c r="Q140" s="1">
        <v>0</v>
      </c>
      <c r="R140" s="1">
        <v>0</v>
      </c>
      <c r="S140" s="20">
        <v>41275</v>
      </c>
      <c r="T140" s="1">
        <v>1319</v>
      </c>
      <c r="U140" s="9">
        <v>968</v>
      </c>
      <c r="V140" s="9" t="s">
        <v>40</v>
      </c>
    </row>
    <row r="141" spans="1:22" x14ac:dyDescent="0.25">
      <c r="A141" s="10" t="s">
        <v>0</v>
      </c>
      <c r="B141" t="b">
        <v>0</v>
      </c>
      <c r="C141" t="b">
        <v>0</v>
      </c>
      <c r="D141" s="1">
        <v>1249</v>
      </c>
      <c r="E141" s="1">
        <v>0</v>
      </c>
      <c r="F141" s="1">
        <v>0</v>
      </c>
      <c r="G141" s="1">
        <v>296</v>
      </c>
      <c r="H141" s="1">
        <v>0</v>
      </c>
      <c r="I141" s="1">
        <v>0</v>
      </c>
      <c r="J141" s="1">
        <f t="shared" si="8"/>
        <v>1545</v>
      </c>
      <c r="K141" s="1">
        <v>342</v>
      </c>
      <c r="L141" s="1">
        <v>37</v>
      </c>
      <c r="M141" s="1">
        <v>0</v>
      </c>
      <c r="N141" s="1">
        <f t="shared" si="7"/>
        <v>379</v>
      </c>
      <c r="O141" s="14">
        <v>329</v>
      </c>
      <c r="P141" s="17">
        <f t="shared" si="9"/>
        <v>1924</v>
      </c>
      <c r="Q141" s="1">
        <v>0</v>
      </c>
      <c r="R141" s="1">
        <v>0</v>
      </c>
      <c r="S141" s="20">
        <v>41306</v>
      </c>
      <c r="T141" s="1">
        <v>2253</v>
      </c>
      <c r="U141" s="9">
        <v>1545</v>
      </c>
      <c r="V141" s="9" t="s">
        <v>40</v>
      </c>
    </row>
    <row r="142" spans="1:22" x14ac:dyDescent="0.25">
      <c r="A142" s="10" t="s">
        <v>0</v>
      </c>
      <c r="B142" t="b">
        <v>0</v>
      </c>
      <c r="C142" t="b">
        <v>0</v>
      </c>
      <c r="D142" s="1">
        <v>2740</v>
      </c>
      <c r="E142" s="1">
        <v>0</v>
      </c>
      <c r="F142" s="1">
        <v>0</v>
      </c>
      <c r="G142" s="1">
        <v>595</v>
      </c>
      <c r="H142" s="1">
        <v>0</v>
      </c>
      <c r="I142" s="1">
        <v>0</v>
      </c>
      <c r="J142" s="1">
        <f t="shared" si="8"/>
        <v>3335</v>
      </c>
      <c r="K142" s="1">
        <v>490</v>
      </c>
      <c r="L142" s="1">
        <v>69</v>
      </c>
      <c r="M142" s="1">
        <v>0</v>
      </c>
      <c r="N142" s="1">
        <f t="shared" si="7"/>
        <v>559</v>
      </c>
      <c r="O142" s="14">
        <v>702</v>
      </c>
      <c r="P142" s="17">
        <f t="shared" si="9"/>
        <v>3894</v>
      </c>
      <c r="Q142" s="1">
        <v>0</v>
      </c>
      <c r="R142" s="1">
        <v>0</v>
      </c>
      <c r="S142" s="20">
        <v>41334</v>
      </c>
      <c r="T142" s="1">
        <v>4596</v>
      </c>
      <c r="U142" s="9">
        <v>3335</v>
      </c>
      <c r="V142" s="9" t="s">
        <v>40</v>
      </c>
    </row>
    <row r="143" spans="1:22" x14ac:dyDescent="0.25">
      <c r="A143" s="10" t="s">
        <v>0</v>
      </c>
      <c r="B143" t="b">
        <v>0</v>
      </c>
      <c r="C143" t="b">
        <v>0</v>
      </c>
      <c r="D143" s="1">
        <v>2224</v>
      </c>
      <c r="E143" s="1">
        <v>0</v>
      </c>
      <c r="F143" s="1">
        <v>0</v>
      </c>
      <c r="G143" s="1">
        <v>569</v>
      </c>
      <c r="H143" s="1">
        <v>0</v>
      </c>
      <c r="I143" s="1">
        <v>0</v>
      </c>
      <c r="J143" s="1">
        <f t="shared" si="8"/>
        <v>2793</v>
      </c>
      <c r="K143" s="1">
        <v>538</v>
      </c>
      <c r="L143" s="1">
        <v>46</v>
      </c>
      <c r="M143" s="1">
        <v>0</v>
      </c>
      <c r="N143" s="1">
        <f t="shared" si="7"/>
        <v>584</v>
      </c>
      <c r="O143" s="14">
        <v>692</v>
      </c>
      <c r="P143" s="17">
        <f t="shared" si="9"/>
        <v>3377</v>
      </c>
      <c r="Q143" s="1">
        <v>0</v>
      </c>
      <c r="R143" s="1">
        <v>0</v>
      </c>
      <c r="S143" s="20">
        <v>41365</v>
      </c>
      <c r="T143" s="1">
        <v>4069</v>
      </c>
      <c r="U143" s="9">
        <v>2793</v>
      </c>
      <c r="V143" s="9" t="s">
        <v>40</v>
      </c>
    </row>
    <row r="144" spans="1:22" x14ac:dyDescent="0.25">
      <c r="A144" s="10" t="s">
        <v>0</v>
      </c>
      <c r="B144" t="b">
        <v>0</v>
      </c>
      <c r="C144" t="b">
        <v>0</v>
      </c>
      <c r="D144" s="1">
        <v>2490</v>
      </c>
      <c r="E144" s="1">
        <v>0</v>
      </c>
      <c r="F144" s="1">
        <v>0</v>
      </c>
      <c r="G144" s="1">
        <v>205</v>
      </c>
      <c r="H144" s="1">
        <v>0</v>
      </c>
      <c r="I144" s="1">
        <v>0</v>
      </c>
      <c r="J144" s="1">
        <f t="shared" si="8"/>
        <v>2695</v>
      </c>
      <c r="K144" s="1">
        <v>641</v>
      </c>
      <c r="L144" s="1">
        <v>16</v>
      </c>
      <c r="M144" s="1">
        <v>0</v>
      </c>
      <c r="N144" s="1">
        <f t="shared" si="7"/>
        <v>657</v>
      </c>
      <c r="O144" s="14">
        <v>401</v>
      </c>
      <c r="P144" s="17">
        <f t="shared" si="9"/>
        <v>3352</v>
      </c>
      <c r="Q144" s="1">
        <v>0</v>
      </c>
      <c r="R144" s="1">
        <v>0</v>
      </c>
      <c r="S144" s="20">
        <v>41395</v>
      </c>
      <c r="T144" s="1">
        <v>3753</v>
      </c>
      <c r="U144" s="9">
        <v>2695</v>
      </c>
      <c r="V144" s="9" t="s">
        <v>40</v>
      </c>
    </row>
    <row r="145" spans="1:22" x14ac:dyDescent="0.25">
      <c r="A145" s="10" t="s">
        <v>0</v>
      </c>
      <c r="B145" t="b">
        <v>0</v>
      </c>
      <c r="C145" t="b">
        <v>0</v>
      </c>
      <c r="D145" s="1">
        <v>4714</v>
      </c>
      <c r="E145" s="1">
        <v>0</v>
      </c>
      <c r="F145" s="1">
        <v>0</v>
      </c>
      <c r="G145" s="1">
        <v>216</v>
      </c>
      <c r="H145" s="1">
        <v>0</v>
      </c>
      <c r="I145" s="1">
        <v>0</v>
      </c>
      <c r="J145" s="1">
        <f t="shared" si="8"/>
        <v>4930</v>
      </c>
      <c r="K145" s="1">
        <v>590</v>
      </c>
      <c r="L145" s="1">
        <v>0</v>
      </c>
      <c r="M145" s="1">
        <v>0</v>
      </c>
      <c r="N145" s="1">
        <f t="shared" si="7"/>
        <v>590</v>
      </c>
      <c r="O145" s="14">
        <v>396</v>
      </c>
      <c r="P145" s="17">
        <f t="shared" si="9"/>
        <v>5520</v>
      </c>
      <c r="Q145" s="1">
        <v>0</v>
      </c>
      <c r="R145" s="1">
        <v>0</v>
      </c>
      <c r="S145" s="20">
        <v>41426</v>
      </c>
      <c r="T145" s="1">
        <v>5916</v>
      </c>
      <c r="U145" s="9">
        <v>4930</v>
      </c>
      <c r="V145" s="9" t="s">
        <v>40</v>
      </c>
    </row>
    <row r="146" spans="1:22" x14ac:dyDescent="0.25">
      <c r="A146" s="10" t="s">
        <v>0</v>
      </c>
      <c r="B146" t="b">
        <v>0</v>
      </c>
      <c r="C146" t="b">
        <v>0</v>
      </c>
      <c r="D146" s="1">
        <v>6376</v>
      </c>
      <c r="E146" s="1">
        <v>0</v>
      </c>
      <c r="F146" s="1">
        <v>0</v>
      </c>
      <c r="G146" s="1">
        <v>299</v>
      </c>
      <c r="H146" s="1">
        <v>0</v>
      </c>
      <c r="I146" s="1">
        <v>0</v>
      </c>
      <c r="J146" s="1">
        <f t="shared" si="8"/>
        <v>6675</v>
      </c>
      <c r="K146" s="1">
        <v>1439</v>
      </c>
      <c r="L146" s="1">
        <v>0</v>
      </c>
      <c r="M146" s="1">
        <v>0</v>
      </c>
      <c r="N146" s="1">
        <f t="shared" si="7"/>
        <v>1439</v>
      </c>
      <c r="O146" s="14">
        <v>482</v>
      </c>
      <c r="P146" s="17">
        <f t="shared" si="9"/>
        <v>8114</v>
      </c>
      <c r="Q146" s="1">
        <v>0</v>
      </c>
      <c r="R146" s="1">
        <v>0</v>
      </c>
      <c r="S146" s="20">
        <v>41456</v>
      </c>
      <c r="T146" s="1">
        <v>8596</v>
      </c>
      <c r="U146" s="9">
        <v>6675</v>
      </c>
      <c r="V146" s="9" t="s">
        <v>40</v>
      </c>
    </row>
    <row r="147" spans="1:22" x14ac:dyDescent="0.25">
      <c r="A147" s="10" t="s">
        <v>0</v>
      </c>
      <c r="B147" t="b">
        <v>0</v>
      </c>
      <c r="C147" t="b">
        <v>0</v>
      </c>
      <c r="D147" s="1">
        <v>3814</v>
      </c>
      <c r="E147" s="1">
        <v>0</v>
      </c>
      <c r="F147" s="1">
        <v>0</v>
      </c>
      <c r="G147" s="1">
        <v>397</v>
      </c>
      <c r="H147" s="1">
        <v>0</v>
      </c>
      <c r="I147" s="1">
        <v>0</v>
      </c>
      <c r="J147" s="1">
        <f t="shared" si="8"/>
        <v>4211</v>
      </c>
      <c r="K147" s="1">
        <v>1884</v>
      </c>
      <c r="L147" s="1">
        <v>0</v>
      </c>
      <c r="M147" s="1">
        <v>0</v>
      </c>
      <c r="N147" s="1">
        <f t="shared" si="7"/>
        <v>1884</v>
      </c>
      <c r="O147" s="14">
        <v>629</v>
      </c>
      <c r="P147" s="17">
        <f t="shared" si="9"/>
        <v>6095</v>
      </c>
      <c r="Q147" s="1">
        <v>0</v>
      </c>
      <c r="R147" s="1">
        <v>0</v>
      </c>
      <c r="S147" s="20">
        <v>41487</v>
      </c>
      <c r="T147" s="1">
        <v>6724</v>
      </c>
      <c r="U147" s="9">
        <v>4211</v>
      </c>
      <c r="V147" s="9" t="s">
        <v>40</v>
      </c>
    </row>
    <row r="148" spans="1:22" x14ac:dyDescent="0.25">
      <c r="A148" s="10" t="s">
        <v>0</v>
      </c>
      <c r="B148" t="b">
        <v>0</v>
      </c>
      <c r="C148" t="b">
        <v>0</v>
      </c>
      <c r="D148" s="1">
        <v>3606</v>
      </c>
      <c r="E148" s="1">
        <v>0</v>
      </c>
      <c r="F148" s="1">
        <v>0</v>
      </c>
      <c r="G148" s="1">
        <v>298</v>
      </c>
      <c r="H148" s="1">
        <v>0</v>
      </c>
      <c r="I148" s="1">
        <v>0</v>
      </c>
      <c r="J148" s="1">
        <f t="shared" si="8"/>
        <v>3904</v>
      </c>
      <c r="K148" s="1">
        <v>649</v>
      </c>
      <c r="L148" s="1">
        <v>0</v>
      </c>
      <c r="M148" s="1">
        <v>0</v>
      </c>
      <c r="N148" s="1">
        <f t="shared" si="7"/>
        <v>649</v>
      </c>
      <c r="O148" s="14">
        <v>625</v>
      </c>
      <c r="P148" s="17">
        <f t="shared" si="9"/>
        <v>4553</v>
      </c>
      <c r="Q148" s="1">
        <v>0</v>
      </c>
      <c r="R148" s="1">
        <v>0</v>
      </c>
      <c r="S148" s="20">
        <v>41518</v>
      </c>
      <c r="T148" s="1">
        <v>5178</v>
      </c>
      <c r="U148" s="9">
        <v>3904</v>
      </c>
      <c r="V148" s="9" t="s">
        <v>40</v>
      </c>
    </row>
    <row r="149" spans="1:22" x14ac:dyDescent="0.25">
      <c r="A149" s="10" t="s">
        <v>0</v>
      </c>
      <c r="B149" t="b">
        <v>0</v>
      </c>
      <c r="C149" t="b">
        <v>0</v>
      </c>
      <c r="D149" s="1">
        <v>4155</v>
      </c>
      <c r="E149" s="1">
        <v>0</v>
      </c>
      <c r="F149" s="1">
        <v>0</v>
      </c>
      <c r="G149" s="1">
        <v>275</v>
      </c>
      <c r="H149" s="1">
        <v>0</v>
      </c>
      <c r="I149" s="1">
        <v>0</v>
      </c>
      <c r="J149" s="1">
        <f t="shared" si="8"/>
        <v>4430</v>
      </c>
      <c r="K149" s="1">
        <v>803</v>
      </c>
      <c r="L149" s="1">
        <v>0</v>
      </c>
      <c r="M149" s="1">
        <v>0</v>
      </c>
      <c r="N149" s="1">
        <f t="shared" si="7"/>
        <v>803</v>
      </c>
      <c r="O149" s="14">
        <v>980</v>
      </c>
      <c r="P149" s="17">
        <f t="shared" si="9"/>
        <v>5233</v>
      </c>
      <c r="Q149" s="1">
        <v>0</v>
      </c>
      <c r="R149" s="1">
        <v>0</v>
      </c>
      <c r="S149" s="20">
        <v>41548</v>
      </c>
      <c r="T149" s="1">
        <v>6213</v>
      </c>
      <c r="U149" s="9">
        <v>4430</v>
      </c>
      <c r="V149" s="9" t="s">
        <v>40</v>
      </c>
    </row>
    <row r="150" spans="1:22" x14ac:dyDescent="0.25">
      <c r="A150" s="10" t="s">
        <v>0</v>
      </c>
      <c r="B150" t="b">
        <v>0</v>
      </c>
      <c r="C150" t="b">
        <v>0</v>
      </c>
      <c r="D150" s="1">
        <v>5127</v>
      </c>
      <c r="E150" s="1">
        <v>0</v>
      </c>
      <c r="F150" s="1">
        <v>0</v>
      </c>
      <c r="G150" s="1">
        <v>207</v>
      </c>
      <c r="H150" s="1">
        <v>0</v>
      </c>
      <c r="I150" s="1">
        <v>0</v>
      </c>
      <c r="J150" s="1">
        <f t="shared" si="8"/>
        <v>5334</v>
      </c>
      <c r="K150" s="1">
        <v>535</v>
      </c>
      <c r="L150" s="1">
        <v>0</v>
      </c>
      <c r="M150" s="1">
        <v>0</v>
      </c>
      <c r="N150" s="1">
        <f t="shared" si="7"/>
        <v>535</v>
      </c>
      <c r="O150" s="14">
        <v>1597</v>
      </c>
      <c r="P150" s="17">
        <f t="shared" si="9"/>
        <v>5869</v>
      </c>
      <c r="Q150" s="1">
        <v>0</v>
      </c>
      <c r="R150" s="1">
        <v>0</v>
      </c>
      <c r="S150" s="20">
        <v>41579</v>
      </c>
      <c r="T150" s="1">
        <v>7466</v>
      </c>
      <c r="U150" s="9">
        <v>5334</v>
      </c>
      <c r="V150" s="9" t="s">
        <v>40</v>
      </c>
    </row>
    <row r="151" spans="1:22" x14ac:dyDescent="0.25">
      <c r="A151" s="10" t="s">
        <v>0</v>
      </c>
      <c r="B151" t="b">
        <v>0</v>
      </c>
      <c r="C151" t="b">
        <v>0</v>
      </c>
      <c r="D151" s="1">
        <v>1853</v>
      </c>
      <c r="E151" s="1">
        <v>0</v>
      </c>
      <c r="F151" s="1">
        <v>0</v>
      </c>
      <c r="G151" s="1">
        <v>116</v>
      </c>
      <c r="H151" s="1">
        <v>0</v>
      </c>
      <c r="I151" s="1">
        <v>0</v>
      </c>
      <c r="J151" s="1">
        <f t="shared" si="8"/>
        <v>1969</v>
      </c>
      <c r="K151" s="1">
        <v>143</v>
      </c>
      <c r="L151" s="1">
        <v>0</v>
      </c>
      <c r="M151" s="1">
        <v>0</v>
      </c>
      <c r="N151" s="1">
        <f t="shared" si="7"/>
        <v>143</v>
      </c>
      <c r="O151" s="14">
        <v>599</v>
      </c>
      <c r="P151" s="17">
        <f t="shared" si="9"/>
        <v>2112</v>
      </c>
      <c r="Q151" s="1">
        <v>0</v>
      </c>
      <c r="R151" s="1">
        <v>0</v>
      </c>
      <c r="S151" s="20">
        <v>41609</v>
      </c>
      <c r="T151" s="1">
        <v>2711</v>
      </c>
      <c r="U151" s="9">
        <v>1969</v>
      </c>
      <c r="V151" s="9" t="s">
        <v>40</v>
      </c>
    </row>
    <row r="152" spans="1:22" x14ac:dyDescent="0.25">
      <c r="A152" s="10" t="s">
        <v>0</v>
      </c>
      <c r="B152" t="b">
        <v>0</v>
      </c>
      <c r="C152" t="b">
        <v>0</v>
      </c>
      <c r="D152" s="1">
        <v>1304</v>
      </c>
      <c r="E152" s="1">
        <v>0</v>
      </c>
      <c r="F152" s="1">
        <v>0</v>
      </c>
      <c r="G152" s="1">
        <v>228</v>
      </c>
      <c r="H152" s="1">
        <v>0</v>
      </c>
      <c r="I152" s="1">
        <v>0</v>
      </c>
      <c r="J152" s="1">
        <f t="shared" si="8"/>
        <v>1532</v>
      </c>
      <c r="K152" s="1">
        <v>254</v>
      </c>
      <c r="L152" s="1">
        <v>0</v>
      </c>
      <c r="M152" s="1">
        <v>0</v>
      </c>
      <c r="N152" s="1">
        <f t="shared" si="7"/>
        <v>254</v>
      </c>
      <c r="O152" s="14">
        <v>363</v>
      </c>
      <c r="P152" s="17">
        <f t="shared" si="9"/>
        <v>1786</v>
      </c>
      <c r="Q152" s="1">
        <v>0</v>
      </c>
      <c r="R152" s="1">
        <v>0</v>
      </c>
      <c r="S152" s="20">
        <v>41640</v>
      </c>
      <c r="T152" s="1">
        <v>2149</v>
      </c>
      <c r="U152" s="9">
        <v>1532</v>
      </c>
      <c r="V152" s="9" t="s">
        <v>39</v>
      </c>
    </row>
    <row r="153" spans="1:22" x14ac:dyDescent="0.25">
      <c r="A153" s="10" t="s">
        <v>0</v>
      </c>
      <c r="B153" t="b">
        <v>0</v>
      </c>
      <c r="C153" t="b">
        <v>0</v>
      </c>
      <c r="D153" s="1">
        <v>1050</v>
      </c>
      <c r="E153" s="1">
        <v>0</v>
      </c>
      <c r="F153" s="1">
        <v>0</v>
      </c>
      <c r="G153" s="1">
        <v>231</v>
      </c>
      <c r="H153" s="1">
        <v>0</v>
      </c>
      <c r="I153" s="1">
        <v>0</v>
      </c>
      <c r="J153" s="1">
        <f t="shared" si="8"/>
        <v>1281</v>
      </c>
      <c r="K153" s="1">
        <v>235</v>
      </c>
      <c r="L153" s="1">
        <v>0</v>
      </c>
      <c r="M153" s="1">
        <v>0</v>
      </c>
      <c r="N153" s="1">
        <f t="shared" si="7"/>
        <v>235</v>
      </c>
      <c r="O153" s="14">
        <v>276</v>
      </c>
      <c r="P153" s="17">
        <f t="shared" si="9"/>
        <v>1516</v>
      </c>
      <c r="Q153" s="1">
        <v>0</v>
      </c>
      <c r="R153" s="1">
        <v>0</v>
      </c>
      <c r="S153" s="20">
        <v>41671</v>
      </c>
      <c r="T153" s="1">
        <v>1792</v>
      </c>
      <c r="U153" s="9">
        <v>1281</v>
      </c>
      <c r="V153" s="9" t="s">
        <v>39</v>
      </c>
    </row>
    <row r="154" spans="1:22" x14ac:dyDescent="0.25">
      <c r="A154" s="10" t="s">
        <v>0</v>
      </c>
      <c r="B154" t="b">
        <v>0</v>
      </c>
      <c r="C154" t="b">
        <v>0</v>
      </c>
      <c r="D154" s="1">
        <v>1753</v>
      </c>
      <c r="E154" s="1">
        <v>0</v>
      </c>
      <c r="F154" s="1">
        <v>0</v>
      </c>
      <c r="G154" s="1">
        <v>554</v>
      </c>
      <c r="H154" s="1">
        <v>0</v>
      </c>
      <c r="I154" s="1">
        <v>0</v>
      </c>
      <c r="J154" s="1">
        <f t="shared" si="8"/>
        <v>2307</v>
      </c>
      <c r="K154" s="1">
        <v>636</v>
      </c>
      <c r="L154" s="1">
        <v>0</v>
      </c>
      <c r="M154" s="1">
        <v>0</v>
      </c>
      <c r="N154" s="1">
        <f t="shared" si="7"/>
        <v>636</v>
      </c>
      <c r="O154" s="14">
        <v>409</v>
      </c>
      <c r="P154" s="17">
        <f t="shared" si="9"/>
        <v>2943</v>
      </c>
      <c r="Q154" s="1">
        <v>0</v>
      </c>
      <c r="R154" s="1">
        <v>0</v>
      </c>
      <c r="S154" s="20">
        <v>41699</v>
      </c>
      <c r="T154" s="1">
        <v>3352</v>
      </c>
      <c r="U154" s="9">
        <v>2307</v>
      </c>
      <c r="V154" s="9" t="s">
        <v>39</v>
      </c>
    </row>
    <row r="155" spans="1:22" x14ac:dyDescent="0.25">
      <c r="A155" s="10" t="s">
        <v>0</v>
      </c>
      <c r="B155" t="b">
        <v>0</v>
      </c>
      <c r="C155" t="b">
        <v>0</v>
      </c>
      <c r="D155" s="1">
        <v>2803</v>
      </c>
      <c r="E155" s="1">
        <v>0</v>
      </c>
      <c r="F155" s="1">
        <v>0</v>
      </c>
      <c r="G155" s="1">
        <v>598</v>
      </c>
      <c r="H155" s="1">
        <v>0</v>
      </c>
      <c r="I155" s="1">
        <v>0</v>
      </c>
      <c r="J155" s="1">
        <f t="shared" si="8"/>
        <v>3401</v>
      </c>
      <c r="K155" s="1">
        <v>1683</v>
      </c>
      <c r="L155" s="1">
        <v>0</v>
      </c>
      <c r="M155" s="1">
        <v>0</v>
      </c>
      <c r="N155" s="1">
        <f t="shared" si="7"/>
        <v>1683</v>
      </c>
      <c r="O155" s="14">
        <v>637</v>
      </c>
      <c r="P155" s="17">
        <f t="shared" si="9"/>
        <v>5084</v>
      </c>
      <c r="Q155" s="1">
        <v>0</v>
      </c>
      <c r="R155" s="1">
        <v>0</v>
      </c>
      <c r="S155" s="20">
        <v>41730</v>
      </c>
      <c r="T155" s="1">
        <v>5721</v>
      </c>
      <c r="U155" s="9">
        <v>3401</v>
      </c>
      <c r="V155" s="9" t="s">
        <v>39</v>
      </c>
    </row>
    <row r="156" spans="1:22" x14ac:dyDescent="0.25">
      <c r="A156" s="10" t="s">
        <v>0</v>
      </c>
      <c r="B156" t="b">
        <v>0</v>
      </c>
      <c r="C156" t="b">
        <v>0</v>
      </c>
      <c r="D156" s="1">
        <v>4906</v>
      </c>
      <c r="E156" s="1">
        <v>0</v>
      </c>
      <c r="F156" s="1">
        <v>0</v>
      </c>
      <c r="G156" s="1">
        <v>1232</v>
      </c>
      <c r="H156" s="1">
        <v>0</v>
      </c>
      <c r="I156" s="1">
        <v>0</v>
      </c>
      <c r="J156" s="1">
        <f t="shared" si="8"/>
        <v>6138</v>
      </c>
      <c r="K156" s="1">
        <v>2582</v>
      </c>
      <c r="L156" s="1">
        <v>0</v>
      </c>
      <c r="M156" s="1">
        <v>0</v>
      </c>
      <c r="N156" s="1">
        <f t="shared" si="7"/>
        <v>2582</v>
      </c>
      <c r="O156" s="14">
        <v>619</v>
      </c>
      <c r="P156" s="17">
        <f t="shared" si="9"/>
        <v>8720</v>
      </c>
      <c r="Q156" s="1">
        <v>0</v>
      </c>
      <c r="R156" s="1">
        <v>0</v>
      </c>
      <c r="S156" s="20">
        <v>41760</v>
      </c>
      <c r="T156" s="1">
        <v>9339</v>
      </c>
      <c r="U156" s="9">
        <v>6138</v>
      </c>
      <c r="V156" s="9" t="s">
        <v>39</v>
      </c>
    </row>
    <row r="157" spans="1:22" x14ac:dyDescent="0.25">
      <c r="A157" s="10" t="s">
        <v>0</v>
      </c>
      <c r="B157" t="b">
        <v>0</v>
      </c>
      <c r="C157" t="b">
        <v>0</v>
      </c>
      <c r="D157" s="1">
        <v>5695</v>
      </c>
      <c r="E157" s="1">
        <v>0</v>
      </c>
      <c r="F157" s="1">
        <v>0</v>
      </c>
      <c r="G157" s="1">
        <v>675</v>
      </c>
      <c r="H157" s="1">
        <v>0</v>
      </c>
      <c r="I157" s="1">
        <v>0</v>
      </c>
      <c r="J157" s="1">
        <f t="shared" si="8"/>
        <v>6370</v>
      </c>
      <c r="K157" s="1">
        <v>3903</v>
      </c>
      <c r="L157" s="1">
        <v>0</v>
      </c>
      <c r="M157" s="1">
        <v>0</v>
      </c>
      <c r="N157" s="1">
        <f t="shared" si="7"/>
        <v>3903</v>
      </c>
      <c r="O157" s="14">
        <v>432</v>
      </c>
      <c r="P157" s="17">
        <f t="shared" si="9"/>
        <v>10273</v>
      </c>
      <c r="Q157" s="1">
        <v>0</v>
      </c>
      <c r="R157" s="1">
        <v>0</v>
      </c>
      <c r="S157" s="20">
        <v>41791</v>
      </c>
      <c r="T157" s="1">
        <v>10705</v>
      </c>
      <c r="U157" s="9">
        <v>6370</v>
      </c>
      <c r="V157" s="9" t="s">
        <v>39</v>
      </c>
    </row>
    <row r="158" spans="1:22" x14ac:dyDescent="0.25">
      <c r="A158" s="10" t="s">
        <v>0</v>
      </c>
      <c r="B158" t="b">
        <v>0</v>
      </c>
      <c r="C158" t="b">
        <v>0</v>
      </c>
      <c r="D158" s="1">
        <v>7288</v>
      </c>
      <c r="E158" s="1">
        <v>0</v>
      </c>
      <c r="F158" s="1">
        <v>0</v>
      </c>
      <c r="G158" s="1">
        <v>523</v>
      </c>
      <c r="H158" s="1">
        <v>0</v>
      </c>
      <c r="I158" s="1">
        <v>0</v>
      </c>
      <c r="J158" s="1">
        <f t="shared" si="8"/>
        <v>7811</v>
      </c>
      <c r="K158" s="1">
        <v>5561</v>
      </c>
      <c r="L158" s="1">
        <v>0</v>
      </c>
      <c r="M158" s="1">
        <v>0</v>
      </c>
      <c r="N158" s="1">
        <f t="shared" ref="N158:N221" si="10">K158+L158+M158</f>
        <v>5561</v>
      </c>
      <c r="O158" s="14">
        <v>550</v>
      </c>
      <c r="P158" s="17">
        <f t="shared" si="9"/>
        <v>13372</v>
      </c>
      <c r="Q158" s="1">
        <v>0</v>
      </c>
      <c r="R158" s="1">
        <v>0</v>
      </c>
      <c r="S158" s="20">
        <v>41821</v>
      </c>
      <c r="T158" s="1">
        <v>13922</v>
      </c>
      <c r="U158" s="9">
        <v>7811</v>
      </c>
      <c r="V158" s="9" t="s">
        <v>39</v>
      </c>
    </row>
    <row r="159" spans="1:22" x14ac:dyDescent="0.25">
      <c r="A159" s="10" t="s">
        <v>0</v>
      </c>
      <c r="B159" t="b">
        <v>0</v>
      </c>
      <c r="C159" t="b">
        <v>0</v>
      </c>
      <c r="D159" s="1">
        <v>6841</v>
      </c>
      <c r="E159" s="1">
        <v>0</v>
      </c>
      <c r="F159" s="1">
        <v>0</v>
      </c>
      <c r="G159" s="1">
        <v>614</v>
      </c>
      <c r="H159" s="1">
        <v>0</v>
      </c>
      <c r="I159" s="1">
        <v>0</v>
      </c>
      <c r="J159" s="1">
        <f t="shared" si="8"/>
        <v>7455</v>
      </c>
      <c r="K159" s="1">
        <v>6378</v>
      </c>
      <c r="L159" s="1">
        <v>0</v>
      </c>
      <c r="M159" s="1">
        <v>0</v>
      </c>
      <c r="N159" s="1">
        <f t="shared" si="10"/>
        <v>6378</v>
      </c>
      <c r="O159" s="14">
        <v>674</v>
      </c>
      <c r="P159" s="17">
        <f t="shared" si="9"/>
        <v>13833</v>
      </c>
      <c r="Q159" s="1">
        <v>0</v>
      </c>
      <c r="R159" s="1">
        <v>0</v>
      </c>
      <c r="S159" s="20">
        <v>41852</v>
      </c>
      <c r="T159" s="1">
        <v>14507</v>
      </c>
      <c r="U159" s="9">
        <v>7455</v>
      </c>
      <c r="V159" s="9" t="s">
        <v>39</v>
      </c>
    </row>
    <row r="160" spans="1:22" x14ac:dyDescent="0.25">
      <c r="A160" s="10" t="s">
        <v>0</v>
      </c>
      <c r="B160" t="b">
        <v>0</v>
      </c>
      <c r="C160" t="b">
        <v>0</v>
      </c>
      <c r="D160" s="1">
        <v>2578</v>
      </c>
      <c r="E160" s="1">
        <v>0</v>
      </c>
      <c r="F160" s="1">
        <v>0</v>
      </c>
      <c r="G160" s="1">
        <v>809</v>
      </c>
      <c r="H160" s="1">
        <v>0</v>
      </c>
      <c r="I160" s="1">
        <v>0</v>
      </c>
      <c r="J160" s="1">
        <f t="shared" si="8"/>
        <v>3387</v>
      </c>
      <c r="K160" s="1">
        <v>601</v>
      </c>
      <c r="L160" s="1">
        <v>0</v>
      </c>
      <c r="M160" s="1">
        <v>0</v>
      </c>
      <c r="N160" s="1">
        <f t="shared" si="10"/>
        <v>601</v>
      </c>
      <c r="O160" s="14">
        <v>0</v>
      </c>
      <c r="P160" s="17">
        <f t="shared" si="9"/>
        <v>3988</v>
      </c>
      <c r="Q160" s="1">
        <v>0</v>
      </c>
      <c r="R160" s="1">
        <v>0</v>
      </c>
      <c r="S160" s="20">
        <v>41883</v>
      </c>
      <c r="T160" s="1">
        <v>3988</v>
      </c>
      <c r="U160" s="9">
        <v>3387</v>
      </c>
      <c r="V160" s="9" t="s">
        <v>39</v>
      </c>
    </row>
    <row r="161" spans="1:22" x14ac:dyDescent="0.25">
      <c r="A161" s="10" t="s">
        <v>0</v>
      </c>
      <c r="B161" t="b">
        <v>0</v>
      </c>
      <c r="C161" t="b">
        <v>0</v>
      </c>
      <c r="D161" s="1">
        <v>3800</v>
      </c>
      <c r="E161" s="1">
        <v>0</v>
      </c>
      <c r="F161" s="1">
        <v>0</v>
      </c>
      <c r="G161" s="1">
        <v>658</v>
      </c>
      <c r="H161" s="1">
        <v>0</v>
      </c>
      <c r="I161" s="1">
        <v>0</v>
      </c>
      <c r="J161" s="1">
        <f t="shared" si="8"/>
        <v>4458</v>
      </c>
      <c r="K161" s="1">
        <v>1372</v>
      </c>
      <c r="L161" s="1">
        <v>0</v>
      </c>
      <c r="M161" s="1">
        <v>0</v>
      </c>
      <c r="N161" s="1">
        <f t="shared" si="10"/>
        <v>1372</v>
      </c>
      <c r="O161" s="14">
        <v>848</v>
      </c>
      <c r="P161" s="17">
        <f t="shared" si="9"/>
        <v>5830</v>
      </c>
      <c r="Q161" s="1">
        <v>0</v>
      </c>
      <c r="R161" s="1">
        <v>0</v>
      </c>
      <c r="S161" s="20">
        <v>41913</v>
      </c>
      <c r="T161" s="1">
        <v>6678</v>
      </c>
      <c r="U161" s="9">
        <v>4458</v>
      </c>
      <c r="V161" s="9" t="s">
        <v>39</v>
      </c>
    </row>
    <row r="162" spans="1:22" x14ac:dyDescent="0.25">
      <c r="A162" s="10" t="s">
        <v>0</v>
      </c>
      <c r="B162" t="b">
        <v>0</v>
      </c>
      <c r="C162" t="b">
        <v>0</v>
      </c>
      <c r="D162" s="1">
        <v>3409</v>
      </c>
      <c r="E162" s="1">
        <v>0</v>
      </c>
      <c r="F162" s="1">
        <v>0</v>
      </c>
      <c r="G162" s="1">
        <v>771</v>
      </c>
      <c r="H162" s="1">
        <v>0</v>
      </c>
      <c r="I162" s="1">
        <v>0</v>
      </c>
      <c r="J162" s="1">
        <f t="shared" si="8"/>
        <v>4180</v>
      </c>
      <c r="K162" s="1">
        <v>812</v>
      </c>
      <c r="L162" s="1">
        <v>0</v>
      </c>
      <c r="M162" s="1">
        <v>0</v>
      </c>
      <c r="N162" s="1">
        <f t="shared" si="10"/>
        <v>812</v>
      </c>
      <c r="O162" s="14">
        <v>1070</v>
      </c>
      <c r="P162" s="17">
        <f t="shared" si="9"/>
        <v>4992</v>
      </c>
      <c r="Q162" s="1">
        <v>0</v>
      </c>
      <c r="R162" s="1">
        <v>0</v>
      </c>
      <c r="S162" s="20">
        <v>41944</v>
      </c>
      <c r="T162" s="1">
        <v>6062</v>
      </c>
      <c r="U162" s="9">
        <v>4180</v>
      </c>
      <c r="V162" s="9" t="s">
        <v>39</v>
      </c>
    </row>
    <row r="163" spans="1:22" x14ac:dyDescent="0.25">
      <c r="A163" s="10" t="s">
        <v>0</v>
      </c>
      <c r="B163" t="b">
        <v>0</v>
      </c>
      <c r="C163" t="b">
        <v>0</v>
      </c>
      <c r="D163" s="1">
        <v>1174</v>
      </c>
      <c r="E163" s="1">
        <v>0</v>
      </c>
      <c r="F163" s="1">
        <v>0</v>
      </c>
      <c r="G163" s="1">
        <v>281</v>
      </c>
      <c r="H163" s="1">
        <v>0</v>
      </c>
      <c r="I163" s="1">
        <v>0</v>
      </c>
      <c r="J163" s="1">
        <f t="shared" si="8"/>
        <v>1455</v>
      </c>
      <c r="K163" s="1">
        <v>218</v>
      </c>
      <c r="L163" s="1">
        <v>0</v>
      </c>
      <c r="M163" s="1">
        <v>0</v>
      </c>
      <c r="N163" s="1">
        <f t="shared" si="10"/>
        <v>218</v>
      </c>
      <c r="O163" s="14">
        <v>396</v>
      </c>
      <c r="P163" s="17">
        <f t="shared" si="9"/>
        <v>1673</v>
      </c>
      <c r="Q163" s="1">
        <v>0</v>
      </c>
      <c r="R163" s="1">
        <v>0</v>
      </c>
      <c r="S163" s="20">
        <v>41974</v>
      </c>
      <c r="T163" s="1">
        <v>2069</v>
      </c>
      <c r="U163" s="9">
        <v>1455</v>
      </c>
      <c r="V163" s="9" t="s">
        <v>39</v>
      </c>
    </row>
    <row r="164" spans="1:22" x14ac:dyDescent="0.25">
      <c r="A164" s="10" t="s">
        <v>0</v>
      </c>
      <c r="B164" t="b">
        <v>0</v>
      </c>
      <c r="C164" t="b">
        <v>0</v>
      </c>
      <c r="D164" s="1">
        <v>1274</v>
      </c>
      <c r="E164" s="1">
        <v>0</v>
      </c>
      <c r="F164" s="1">
        <v>0</v>
      </c>
      <c r="G164" s="1">
        <v>377</v>
      </c>
      <c r="H164" s="1">
        <v>0</v>
      </c>
      <c r="I164" s="1">
        <v>0</v>
      </c>
      <c r="J164" s="1">
        <f t="shared" si="8"/>
        <v>1651</v>
      </c>
      <c r="K164" s="1">
        <v>269</v>
      </c>
      <c r="L164" s="1">
        <v>0</v>
      </c>
      <c r="M164" s="1">
        <v>0</v>
      </c>
      <c r="N164" s="1">
        <f t="shared" si="10"/>
        <v>269</v>
      </c>
      <c r="O164" s="14">
        <v>368</v>
      </c>
      <c r="P164" s="17">
        <f t="shared" si="9"/>
        <v>1920</v>
      </c>
      <c r="Q164" s="1">
        <v>0</v>
      </c>
      <c r="R164" s="1">
        <v>0</v>
      </c>
      <c r="S164" s="20">
        <v>42005</v>
      </c>
      <c r="T164" s="1">
        <v>2288</v>
      </c>
      <c r="U164" s="9">
        <v>1651</v>
      </c>
      <c r="V164" s="9" t="s">
        <v>39</v>
      </c>
    </row>
    <row r="165" spans="1:22" x14ac:dyDescent="0.25">
      <c r="A165" s="10" t="s">
        <v>0</v>
      </c>
      <c r="B165" t="b">
        <v>0</v>
      </c>
      <c r="C165" t="b">
        <v>0</v>
      </c>
      <c r="D165" s="1">
        <v>1170</v>
      </c>
      <c r="E165" s="1">
        <v>0</v>
      </c>
      <c r="F165" s="1">
        <v>0</v>
      </c>
      <c r="G165" s="1">
        <v>384</v>
      </c>
      <c r="H165" s="1">
        <v>0</v>
      </c>
      <c r="I165" s="1">
        <v>0</v>
      </c>
      <c r="J165" s="1">
        <f t="shared" si="8"/>
        <v>1554</v>
      </c>
      <c r="K165" s="1">
        <v>899</v>
      </c>
      <c r="L165" s="1">
        <v>0</v>
      </c>
      <c r="M165" s="1">
        <v>0</v>
      </c>
      <c r="N165" s="1">
        <f t="shared" si="10"/>
        <v>899</v>
      </c>
      <c r="O165" s="14">
        <v>264</v>
      </c>
      <c r="P165" s="17">
        <f t="shared" si="9"/>
        <v>2453</v>
      </c>
      <c r="Q165" s="1">
        <v>0</v>
      </c>
      <c r="R165" s="1">
        <v>0</v>
      </c>
      <c r="S165" s="20">
        <v>42036</v>
      </c>
      <c r="T165" s="1">
        <v>2717</v>
      </c>
      <c r="U165" s="9">
        <v>1554</v>
      </c>
      <c r="V165" s="9" t="s">
        <v>39</v>
      </c>
    </row>
    <row r="166" spans="1:22" x14ac:dyDescent="0.25">
      <c r="A166" s="10" t="s">
        <v>0</v>
      </c>
      <c r="B166" t="b">
        <v>0</v>
      </c>
      <c r="C166" t="b">
        <v>0</v>
      </c>
      <c r="D166" s="1">
        <v>2834</v>
      </c>
      <c r="E166" s="1">
        <v>0</v>
      </c>
      <c r="F166" s="1">
        <v>0</v>
      </c>
      <c r="G166" s="1">
        <v>802</v>
      </c>
      <c r="H166" s="1">
        <v>0</v>
      </c>
      <c r="I166" s="1">
        <v>0</v>
      </c>
      <c r="J166" s="1">
        <f t="shared" si="8"/>
        <v>3636</v>
      </c>
      <c r="K166" s="1">
        <v>1064</v>
      </c>
      <c r="L166" s="1">
        <v>0</v>
      </c>
      <c r="M166" s="1">
        <v>0</v>
      </c>
      <c r="N166" s="1">
        <f t="shared" si="10"/>
        <v>1064</v>
      </c>
      <c r="O166" s="14">
        <v>697</v>
      </c>
      <c r="P166" s="17">
        <f t="shared" si="9"/>
        <v>4700</v>
      </c>
      <c r="Q166" s="1">
        <v>0</v>
      </c>
      <c r="R166" s="1">
        <v>0</v>
      </c>
      <c r="S166" s="20">
        <v>42064</v>
      </c>
      <c r="T166" s="1">
        <v>5397</v>
      </c>
      <c r="U166" s="9">
        <v>3636</v>
      </c>
      <c r="V166" s="9" t="s">
        <v>39</v>
      </c>
    </row>
    <row r="167" spans="1:22" x14ac:dyDescent="0.25">
      <c r="A167" s="10" t="s">
        <v>0</v>
      </c>
      <c r="B167" t="b">
        <v>0</v>
      </c>
      <c r="C167" t="b">
        <v>0</v>
      </c>
      <c r="D167" s="1">
        <v>3458</v>
      </c>
      <c r="E167" s="1">
        <v>0</v>
      </c>
      <c r="F167" s="1">
        <v>0</v>
      </c>
      <c r="G167" s="1">
        <v>838</v>
      </c>
      <c r="H167" s="1">
        <v>0</v>
      </c>
      <c r="I167" s="1">
        <v>0</v>
      </c>
      <c r="J167" s="1">
        <f t="shared" si="8"/>
        <v>4296</v>
      </c>
      <c r="K167" s="1">
        <v>2094</v>
      </c>
      <c r="L167" s="1">
        <v>0</v>
      </c>
      <c r="M167" s="1">
        <v>0</v>
      </c>
      <c r="N167" s="1">
        <f t="shared" si="10"/>
        <v>2094</v>
      </c>
      <c r="O167" s="14">
        <v>774</v>
      </c>
      <c r="P167" s="17">
        <f t="shared" si="9"/>
        <v>6390</v>
      </c>
      <c r="Q167" s="1">
        <v>0</v>
      </c>
      <c r="R167" s="1">
        <v>0</v>
      </c>
      <c r="S167" s="20">
        <v>42095</v>
      </c>
      <c r="T167" s="1">
        <v>7164</v>
      </c>
      <c r="U167" s="9">
        <v>4296</v>
      </c>
      <c r="V167" s="9" t="s">
        <v>39</v>
      </c>
    </row>
    <row r="168" spans="1:22" x14ac:dyDescent="0.25">
      <c r="A168" s="10" t="s">
        <v>0</v>
      </c>
      <c r="B168" t="b">
        <v>0</v>
      </c>
      <c r="C168" t="b">
        <v>0</v>
      </c>
      <c r="D168" s="1">
        <v>4068</v>
      </c>
      <c r="E168" s="1">
        <v>0</v>
      </c>
      <c r="F168" s="1">
        <v>0</v>
      </c>
      <c r="G168" s="1">
        <v>802</v>
      </c>
      <c r="H168" s="1">
        <v>0</v>
      </c>
      <c r="I168" s="1">
        <v>0</v>
      </c>
      <c r="J168" s="1">
        <f t="shared" si="8"/>
        <v>4870</v>
      </c>
      <c r="K168" s="1">
        <v>2736</v>
      </c>
      <c r="L168" s="1">
        <v>0</v>
      </c>
      <c r="M168" s="1">
        <v>0</v>
      </c>
      <c r="N168" s="1">
        <f t="shared" si="10"/>
        <v>2736</v>
      </c>
      <c r="O168" s="14">
        <v>586</v>
      </c>
      <c r="P168" s="17">
        <f t="shared" si="9"/>
        <v>7606</v>
      </c>
      <c r="Q168" s="1">
        <v>0</v>
      </c>
      <c r="R168" s="1">
        <v>0</v>
      </c>
      <c r="S168" s="20">
        <v>42125</v>
      </c>
      <c r="T168" s="1">
        <v>8192</v>
      </c>
      <c r="U168" s="9">
        <v>4870</v>
      </c>
      <c r="V168" s="9" t="s">
        <v>39</v>
      </c>
    </row>
    <row r="169" spans="1:22" x14ac:dyDescent="0.25">
      <c r="A169" s="10" t="s">
        <v>0</v>
      </c>
      <c r="B169" t="b">
        <v>0</v>
      </c>
      <c r="C169" t="b">
        <v>0</v>
      </c>
      <c r="D169" s="1">
        <v>5012</v>
      </c>
      <c r="E169" s="1">
        <v>0</v>
      </c>
      <c r="F169" s="1">
        <v>0</v>
      </c>
      <c r="G169" s="1">
        <v>353</v>
      </c>
      <c r="H169" s="1">
        <v>0</v>
      </c>
      <c r="I169" s="1">
        <v>0</v>
      </c>
      <c r="J169" s="1">
        <f t="shared" si="8"/>
        <v>5365</v>
      </c>
      <c r="K169" s="1">
        <v>2979</v>
      </c>
      <c r="L169" s="1">
        <v>0</v>
      </c>
      <c r="M169" s="1">
        <v>0</v>
      </c>
      <c r="N169" s="1">
        <f t="shared" si="10"/>
        <v>2979</v>
      </c>
      <c r="O169" s="14">
        <v>411</v>
      </c>
      <c r="P169" s="17">
        <f t="shared" si="9"/>
        <v>8344</v>
      </c>
      <c r="Q169" s="1">
        <v>0</v>
      </c>
      <c r="R169" s="1">
        <v>0</v>
      </c>
      <c r="S169" s="20">
        <v>42156</v>
      </c>
      <c r="T169" s="1">
        <v>8755</v>
      </c>
      <c r="U169" s="9">
        <v>5365</v>
      </c>
      <c r="V169" s="9" t="s">
        <v>39</v>
      </c>
    </row>
    <row r="170" spans="1:22" x14ac:dyDescent="0.25">
      <c r="A170" s="10" t="s">
        <v>0</v>
      </c>
      <c r="B170" t="b">
        <v>0</v>
      </c>
      <c r="C170" t="b">
        <v>0</v>
      </c>
      <c r="D170" s="1">
        <v>5440</v>
      </c>
      <c r="E170" s="1">
        <v>0</v>
      </c>
      <c r="F170" s="1">
        <v>0</v>
      </c>
      <c r="G170" s="1">
        <v>370</v>
      </c>
      <c r="H170" s="1">
        <v>0</v>
      </c>
      <c r="I170" s="1">
        <v>0</v>
      </c>
      <c r="J170" s="1">
        <f t="shared" si="8"/>
        <v>5810</v>
      </c>
      <c r="K170" s="1">
        <v>4746</v>
      </c>
      <c r="L170" s="1">
        <v>0</v>
      </c>
      <c r="M170" s="1">
        <v>0</v>
      </c>
      <c r="N170" s="1">
        <f t="shared" si="10"/>
        <v>4746</v>
      </c>
      <c r="O170" s="14">
        <v>546</v>
      </c>
      <c r="P170" s="17">
        <f t="shared" si="9"/>
        <v>10556</v>
      </c>
      <c r="Q170" s="1">
        <v>0</v>
      </c>
      <c r="R170" s="1">
        <v>0</v>
      </c>
      <c r="S170" s="20">
        <v>42186</v>
      </c>
      <c r="T170" s="1">
        <v>11102</v>
      </c>
      <c r="U170" s="9">
        <v>5810</v>
      </c>
      <c r="V170" s="9" t="s">
        <v>39</v>
      </c>
    </row>
    <row r="171" spans="1:22" x14ac:dyDescent="0.25">
      <c r="A171" s="10" t="s">
        <v>0</v>
      </c>
      <c r="B171" t="b">
        <v>0</v>
      </c>
      <c r="C171" t="b">
        <v>0</v>
      </c>
      <c r="D171" s="1">
        <v>4875</v>
      </c>
      <c r="E171" s="1">
        <v>0</v>
      </c>
      <c r="F171" s="1">
        <v>0</v>
      </c>
      <c r="G171" s="1">
        <v>485</v>
      </c>
      <c r="H171" s="1">
        <v>0</v>
      </c>
      <c r="I171" s="1">
        <v>0</v>
      </c>
      <c r="J171" s="1">
        <f t="shared" si="8"/>
        <v>5360</v>
      </c>
      <c r="K171" s="1">
        <v>3839</v>
      </c>
      <c r="L171" s="1">
        <v>0</v>
      </c>
      <c r="M171" s="1">
        <v>0</v>
      </c>
      <c r="N171" s="1">
        <f t="shared" si="10"/>
        <v>3839</v>
      </c>
      <c r="O171" s="14">
        <v>607</v>
      </c>
      <c r="P171" s="17">
        <f t="shared" si="9"/>
        <v>9199</v>
      </c>
      <c r="Q171" s="1">
        <v>0</v>
      </c>
      <c r="R171" s="1">
        <v>0</v>
      </c>
      <c r="S171" s="20">
        <v>42217</v>
      </c>
      <c r="T171" s="1">
        <v>9806</v>
      </c>
      <c r="U171" s="9">
        <v>5360</v>
      </c>
      <c r="V171" s="9" t="s">
        <v>39</v>
      </c>
    </row>
    <row r="172" spans="1:22" x14ac:dyDescent="0.25">
      <c r="A172" s="10" t="s">
        <v>0</v>
      </c>
      <c r="B172" t="b">
        <v>0</v>
      </c>
      <c r="C172" t="b">
        <v>0</v>
      </c>
      <c r="D172" s="1">
        <v>4309</v>
      </c>
      <c r="E172" s="1">
        <v>0</v>
      </c>
      <c r="F172" s="1">
        <v>0</v>
      </c>
      <c r="G172" s="1">
        <v>766</v>
      </c>
      <c r="H172" s="1">
        <v>0</v>
      </c>
      <c r="I172" s="1">
        <v>0</v>
      </c>
      <c r="J172" s="1">
        <f t="shared" si="8"/>
        <v>5075</v>
      </c>
      <c r="K172" s="1">
        <v>2369</v>
      </c>
      <c r="L172" s="1">
        <v>0</v>
      </c>
      <c r="M172" s="1">
        <v>0</v>
      </c>
      <c r="N172" s="1">
        <f t="shared" si="10"/>
        <v>2369</v>
      </c>
      <c r="O172" s="14">
        <v>761</v>
      </c>
      <c r="P172" s="17">
        <f t="shared" si="9"/>
        <v>7444</v>
      </c>
      <c r="Q172" s="1">
        <v>0</v>
      </c>
      <c r="R172" s="1">
        <v>0</v>
      </c>
      <c r="S172" s="20">
        <v>42248</v>
      </c>
      <c r="T172" s="1">
        <v>8205</v>
      </c>
      <c r="U172" s="9">
        <v>5075</v>
      </c>
      <c r="V172" s="9" t="s">
        <v>39</v>
      </c>
    </row>
    <row r="173" spans="1:22" x14ac:dyDescent="0.25">
      <c r="A173" s="10" t="s">
        <v>0</v>
      </c>
      <c r="B173" t="b">
        <v>0</v>
      </c>
      <c r="C173" t="b">
        <v>0</v>
      </c>
      <c r="D173" s="1">
        <v>3522</v>
      </c>
      <c r="E173" s="1">
        <v>0</v>
      </c>
      <c r="F173" s="1">
        <v>0</v>
      </c>
      <c r="G173" s="1">
        <v>806</v>
      </c>
      <c r="H173" s="1">
        <v>0</v>
      </c>
      <c r="I173" s="1">
        <v>0</v>
      </c>
      <c r="J173" s="1">
        <f t="shared" si="8"/>
        <v>4328</v>
      </c>
      <c r="K173" s="1">
        <v>1848</v>
      </c>
      <c r="L173" s="1">
        <v>0</v>
      </c>
      <c r="M173" s="1">
        <v>0</v>
      </c>
      <c r="N173" s="1">
        <f t="shared" si="10"/>
        <v>1848</v>
      </c>
      <c r="O173" s="14">
        <v>925</v>
      </c>
      <c r="P173" s="17">
        <f t="shared" si="9"/>
        <v>6176</v>
      </c>
      <c r="Q173" s="1">
        <v>0</v>
      </c>
      <c r="R173" s="1">
        <v>0</v>
      </c>
      <c r="S173" s="20">
        <v>42278</v>
      </c>
      <c r="T173" s="1">
        <v>7101</v>
      </c>
      <c r="U173" s="9">
        <v>4328</v>
      </c>
      <c r="V173" s="9" t="s">
        <v>39</v>
      </c>
    </row>
    <row r="174" spans="1:22" x14ac:dyDescent="0.25">
      <c r="A174" s="10" t="s">
        <v>0</v>
      </c>
      <c r="B174" t="b">
        <v>0</v>
      </c>
      <c r="C174" t="b">
        <v>0</v>
      </c>
      <c r="D174" s="1">
        <v>3060</v>
      </c>
      <c r="E174" s="1">
        <v>0</v>
      </c>
      <c r="F174" s="1">
        <v>0</v>
      </c>
      <c r="G174" s="1">
        <v>852</v>
      </c>
      <c r="H174" s="1">
        <v>0</v>
      </c>
      <c r="I174" s="1">
        <v>0</v>
      </c>
      <c r="J174" s="1">
        <f t="shared" si="8"/>
        <v>3912</v>
      </c>
      <c r="K174" s="1">
        <v>1022</v>
      </c>
      <c r="L174" s="1">
        <v>0</v>
      </c>
      <c r="M174" s="1">
        <v>0</v>
      </c>
      <c r="N174" s="1">
        <f t="shared" si="10"/>
        <v>1022</v>
      </c>
      <c r="O174" s="14">
        <v>966</v>
      </c>
      <c r="P174" s="17">
        <f t="shared" si="9"/>
        <v>4934</v>
      </c>
      <c r="Q174" s="1">
        <v>0</v>
      </c>
      <c r="R174" s="1">
        <v>0</v>
      </c>
      <c r="S174" s="20">
        <v>42309</v>
      </c>
      <c r="T174" s="1">
        <v>5900</v>
      </c>
      <c r="U174" s="9">
        <v>3912</v>
      </c>
      <c r="V174" s="9" t="s">
        <v>39</v>
      </c>
    </row>
    <row r="175" spans="1:22" x14ac:dyDescent="0.25">
      <c r="A175" s="10" t="s">
        <v>0</v>
      </c>
      <c r="B175" t="b">
        <v>0</v>
      </c>
      <c r="C175" t="b">
        <v>0</v>
      </c>
      <c r="D175" s="1">
        <v>1266</v>
      </c>
      <c r="E175" s="1">
        <v>0</v>
      </c>
      <c r="F175" s="1">
        <v>0</v>
      </c>
      <c r="G175" s="1">
        <v>422</v>
      </c>
      <c r="H175" s="1">
        <v>0</v>
      </c>
      <c r="I175" s="1">
        <v>0</v>
      </c>
      <c r="J175" s="1">
        <f t="shared" si="8"/>
        <v>1688</v>
      </c>
      <c r="K175" s="1">
        <v>143</v>
      </c>
      <c r="L175" s="1">
        <v>0</v>
      </c>
      <c r="M175" s="1">
        <v>0</v>
      </c>
      <c r="N175" s="1">
        <f t="shared" si="10"/>
        <v>143</v>
      </c>
      <c r="O175" s="14">
        <v>364</v>
      </c>
      <c r="P175" s="17">
        <f t="shared" si="9"/>
        <v>1831</v>
      </c>
      <c r="Q175" s="1">
        <v>0</v>
      </c>
      <c r="R175" s="1">
        <v>0</v>
      </c>
      <c r="S175" s="20">
        <v>42339</v>
      </c>
      <c r="T175" s="1">
        <v>2195</v>
      </c>
      <c r="U175" s="9">
        <v>1688</v>
      </c>
      <c r="V175" s="9" t="s">
        <v>39</v>
      </c>
    </row>
    <row r="176" spans="1:22" x14ac:dyDescent="0.25">
      <c r="A176" s="10" t="s">
        <v>0</v>
      </c>
      <c r="B176" t="b">
        <v>0</v>
      </c>
      <c r="C176" t="b">
        <v>0</v>
      </c>
      <c r="D176" s="1">
        <v>1132</v>
      </c>
      <c r="E176" s="1">
        <v>0</v>
      </c>
      <c r="F176" s="1">
        <v>0</v>
      </c>
      <c r="G176" s="1">
        <v>387</v>
      </c>
      <c r="H176" s="1">
        <v>0</v>
      </c>
      <c r="I176" s="1">
        <v>0</v>
      </c>
      <c r="J176" s="1">
        <f t="shared" si="8"/>
        <v>1519</v>
      </c>
      <c r="K176" s="1">
        <v>708</v>
      </c>
      <c r="L176" s="1">
        <v>0</v>
      </c>
      <c r="M176" s="1">
        <v>0</v>
      </c>
      <c r="N176" s="1">
        <f t="shared" si="10"/>
        <v>708</v>
      </c>
      <c r="O176" s="14">
        <v>290</v>
      </c>
      <c r="P176" s="17">
        <f t="shared" si="9"/>
        <v>2227</v>
      </c>
      <c r="Q176" s="1">
        <v>0</v>
      </c>
      <c r="R176" s="1">
        <v>0</v>
      </c>
      <c r="S176" s="20">
        <v>42370</v>
      </c>
      <c r="T176" s="1">
        <v>2517</v>
      </c>
      <c r="U176" s="9">
        <v>1519</v>
      </c>
      <c r="V176" s="9" t="s">
        <v>46</v>
      </c>
    </row>
    <row r="177" spans="1:22" x14ac:dyDescent="0.25">
      <c r="A177" s="10" t="s">
        <v>0</v>
      </c>
      <c r="B177" t="b">
        <v>0</v>
      </c>
      <c r="C177" t="b">
        <v>0</v>
      </c>
      <c r="D177" s="1">
        <v>1638</v>
      </c>
      <c r="E177" s="1">
        <v>0</v>
      </c>
      <c r="F177" s="1">
        <v>0</v>
      </c>
      <c r="G177" s="1">
        <v>557</v>
      </c>
      <c r="H177" s="1">
        <v>0</v>
      </c>
      <c r="I177" s="1">
        <v>0</v>
      </c>
      <c r="J177" s="1">
        <f t="shared" si="8"/>
        <v>2195</v>
      </c>
      <c r="K177" s="1">
        <v>706</v>
      </c>
      <c r="L177" s="1">
        <v>0</v>
      </c>
      <c r="M177" s="1">
        <v>0</v>
      </c>
      <c r="N177" s="1">
        <f t="shared" si="10"/>
        <v>706</v>
      </c>
      <c r="O177" s="14">
        <v>398</v>
      </c>
      <c r="P177" s="17">
        <f t="shared" si="9"/>
        <v>2901</v>
      </c>
      <c r="Q177" s="1">
        <v>0</v>
      </c>
      <c r="R177" s="1">
        <v>0</v>
      </c>
      <c r="S177" s="20">
        <v>42401</v>
      </c>
      <c r="T177" s="1">
        <v>3299</v>
      </c>
      <c r="U177" s="9">
        <v>2195</v>
      </c>
      <c r="V177" s="9" t="s">
        <v>46</v>
      </c>
    </row>
    <row r="178" spans="1:22" x14ac:dyDescent="0.25">
      <c r="A178" s="10" t="s">
        <v>0</v>
      </c>
      <c r="B178" t="b">
        <v>0</v>
      </c>
      <c r="C178" t="b">
        <v>0</v>
      </c>
      <c r="D178" s="1">
        <v>1882</v>
      </c>
      <c r="E178" s="1">
        <v>0</v>
      </c>
      <c r="F178" s="1">
        <v>0</v>
      </c>
      <c r="G178" s="1">
        <v>453</v>
      </c>
      <c r="H178" s="1">
        <v>0</v>
      </c>
      <c r="I178" s="1">
        <v>0</v>
      </c>
      <c r="J178" s="1">
        <f t="shared" si="8"/>
        <v>2335</v>
      </c>
      <c r="K178" s="1">
        <v>907</v>
      </c>
      <c r="L178" s="1">
        <v>0</v>
      </c>
      <c r="M178" s="1">
        <v>0</v>
      </c>
      <c r="N178" s="1">
        <f t="shared" si="10"/>
        <v>907</v>
      </c>
      <c r="O178" s="14">
        <v>479</v>
      </c>
      <c r="P178" s="17">
        <f t="shared" si="9"/>
        <v>3242</v>
      </c>
      <c r="Q178" s="1">
        <v>0</v>
      </c>
      <c r="R178" s="1">
        <v>0</v>
      </c>
      <c r="S178" s="20">
        <v>42430</v>
      </c>
      <c r="T178" s="1">
        <v>3721</v>
      </c>
      <c r="U178" s="9">
        <v>2335</v>
      </c>
      <c r="V178" s="9" t="s">
        <v>46</v>
      </c>
    </row>
    <row r="179" spans="1:22" x14ac:dyDescent="0.25">
      <c r="A179" s="10" t="s">
        <v>0</v>
      </c>
      <c r="B179" t="b">
        <v>0</v>
      </c>
      <c r="C179" t="b">
        <v>0</v>
      </c>
      <c r="D179" s="1">
        <v>4444</v>
      </c>
      <c r="E179" s="1">
        <v>0</v>
      </c>
      <c r="F179" s="1">
        <v>0</v>
      </c>
      <c r="G179" s="1">
        <v>984</v>
      </c>
      <c r="H179" s="1">
        <v>0</v>
      </c>
      <c r="I179" s="1">
        <v>0</v>
      </c>
      <c r="J179" s="1">
        <f t="shared" si="8"/>
        <v>5428</v>
      </c>
      <c r="K179" s="1">
        <v>2290</v>
      </c>
      <c r="L179" s="1">
        <v>0</v>
      </c>
      <c r="M179" s="1">
        <v>0</v>
      </c>
      <c r="N179" s="1">
        <f t="shared" si="10"/>
        <v>2290</v>
      </c>
      <c r="O179" s="14">
        <v>899</v>
      </c>
      <c r="P179" s="17">
        <f t="shared" si="9"/>
        <v>7718</v>
      </c>
      <c r="Q179" s="1">
        <v>0</v>
      </c>
      <c r="R179" s="1">
        <v>0</v>
      </c>
      <c r="S179" s="20">
        <v>42461</v>
      </c>
      <c r="T179" s="1">
        <v>8617</v>
      </c>
      <c r="U179" s="9">
        <v>5428</v>
      </c>
      <c r="V179" s="9" t="s">
        <v>46</v>
      </c>
    </row>
    <row r="180" spans="1:22" x14ac:dyDescent="0.25">
      <c r="A180" s="10" t="s">
        <v>0</v>
      </c>
      <c r="B180" t="b">
        <v>0</v>
      </c>
      <c r="C180" t="b">
        <v>0</v>
      </c>
      <c r="D180" s="1">
        <v>3564</v>
      </c>
      <c r="E180" s="1">
        <v>0</v>
      </c>
      <c r="F180" s="1">
        <v>0</v>
      </c>
      <c r="G180" s="1">
        <v>691</v>
      </c>
      <c r="H180" s="1">
        <v>0</v>
      </c>
      <c r="I180" s="1">
        <v>0</v>
      </c>
      <c r="J180" s="1">
        <f t="shared" si="8"/>
        <v>4255</v>
      </c>
      <c r="K180" s="1">
        <v>2587</v>
      </c>
      <c r="L180" s="1">
        <v>0</v>
      </c>
      <c r="M180" s="1">
        <v>0</v>
      </c>
      <c r="N180" s="1">
        <f t="shared" si="10"/>
        <v>2587</v>
      </c>
      <c r="O180" s="14">
        <v>539</v>
      </c>
      <c r="P180" s="17">
        <f t="shared" si="9"/>
        <v>6842</v>
      </c>
      <c r="Q180" s="1">
        <v>0</v>
      </c>
      <c r="R180" s="1">
        <v>0</v>
      </c>
      <c r="S180" s="20">
        <v>42491</v>
      </c>
      <c r="T180" s="1">
        <v>7381</v>
      </c>
      <c r="U180" s="9">
        <v>4255</v>
      </c>
      <c r="V180" s="9" t="s">
        <v>46</v>
      </c>
    </row>
    <row r="181" spans="1:22" x14ac:dyDescent="0.25">
      <c r="A181" s="10" t="s">
        <v>0</v>
      </c>
      <c r="B181" t="b">
        <v>0</v>
      </c>
      <c r="C181" t="b">
        <v>0</v>
      </c>
      <c r="D181" s="1">
        <v>4082</v>
      </c>
      <c r="E181" s="1">
        <v>0</v>
      </c>
      <c r="F181" s="1">
        <v>0</v>
      </c>
      <c r="G181" s="1">
        <v>439</v>
      </c>
      <c r="H181" s="1">
        <v>0</v>
      </c>
      <c r="I181" s="1">
        <v>0</v>
      </c>
      <c r="J181" s="1">
        <f t="shared" si="8"/>
        <v>4521</v>
      </c>
      <c r="K181" s="1">
        <v>3410</v>
      </c>
      <c r="L181" s="1">
        <v>0</v>
      </c>
      <c r="M181" s="1">
        <v>0</v>
      </c>
      <c r="N181" s="1">
        <f t="shared" si="10"/>
        <v>3410</v>
      </c>
      <c r="O181" s="14">
        <v>493</v>
      </c>
      <c r="P181" s="17">
        <f t="shared" si="9"/>
        <v>7931</v>
      </c>
      <c r="Q181" s="1">
        <v>0</v>
      </c>
      <c r="R181" s="1">
        <v>0</v>
      </c>
      <c r="S181" s="20">
        <v>42522</v>
      </c>
      <c r="T181" s="1">
        <v>8424</v>
      </c>
      <c r="U181" s="9">
        <v>4521</v>
      </c>
      <c r="V181" s="9" t="s">
        <v>46</v>
      </c>
    </row>
    <row r="182" spans="1:22" x14ac:dyDescent="0.25">
      <c r="A182" s="10" t="s">
        <v>0</v>
      </c>
      <c r="B182" t="b">
        <v>0</v>
      </c>
      <c r="C182" t="b">
        <v>0</v>
      </c>
      <c r="D182" s="1">
        <v>5864</v>
      </c>
      <c r="E182" s="1">
        <v>0</v>
      </c>
      <c r="F182" s="1">
        <v>0</v>
      </c>
      <c r="G182" s="1">
        <v>590</v>
      </c>
      <c r="H182" s="1">
        <v>0</v>
      </c>
      <c r="I182" s="1">
        <v>0</v>
      </c>
      <c r="J182" s="1">
        <f t="shared" si="8"/>
        <v>6454</v>
      </c>
      <c r="K182" s="1">
        <v>4964</v>
      </c>
      <c r="L182" s="1">
        <v>0</v>
      </c>
      <c r="M182" s="1">
        <v>0</v>
      </c>
      <c r="N182" s="1">
        <f t="shared" si="10"/>
        <v>4964</v>
      </c>
      <c r="O182" s="14">
        <v>504</v>
      </c>
      <c r="P182" s="17">
        <f t="shared" si="9"/>
        <v>11418</v>
      </c>
      <c r="Q182" s="1">
        <v>0</v>
      </c>
      <c r="R182" s="1">
        <v>0</v>
      </c>
      <c r="S182" s="20">
        <v>42552</v>
      </c>
      <c r="T182" s="1">
        <v>11922</v>
      </c>
      <c r="U182" s="9">
        <v>6454</v>
      </c>
      <c r="V182" s="9" t="s">
        <v>46</v>
      </c>
    </row>
    <row r="183" spans="1:22" x14ac:dyDescent="0.25">
      <c r="A183" s="10" t="s">
        <v>0</v>
      </c>
      <c r="B183" t="b">
        <v>0</v>
      </c>
      <c r="C183" t="b">
        <v>0</v>
      </c>
      <c r="D183" s="1">
        <v>4306</v>
      </c>
      <c r="E183" s="1">
        <v>0</v>
      </c>
      <c r="F183" s="1">
        <v>0</v>
      </c>
      <c r="G183" s="1">
        <v>559</v>
      </c>
      <c r="H183" s="1">
        <v>0</v>
      </c>
      <c r="I183" s="1">
        <v>0</v>
      </c>
      <c r="J183" s="1">
        <f t="shared" si="8"/>
        <v>4865</v>
      </c>
      <c r="K183" s="1">
        <v>3562</v>
      </c>
      <c r="L183" s="1">
        <v>0</v>
      </c>
      <c r="M183" s="1">
        <v>0</v>
      </c>
      <c r="N183" s="1">
        <f t="shared" si="10"/>
        <v>3562</v>
      </c>
      <c r="O183" s="14">
        <v>544</v>
      </c>
      <c r="P183" s="17">
        <f t="shared" si="9"/>
        <v>8427</v>
      </c>
      <c r="Q183" s="1">
        <v>0</v>
      </c>
      <c r="R183" s="1">
        <v>0</v>
      </c>
      <c r="S183" s="20">
        <v>42583</v>
      </c>
      <c r="T183" s="1">
        <v>8971</v>
      </c>
      <c r="U183" s="9">
        <v>4865</v>
      </c>
      <c r="V183" s="9" t="s">
        <v>46</v>
      </c>
    </row>
    <row r="184" spans="1:22" x14ac:dyDescent="0.25">
      <c r="A184" s="10" t="s">
        <v>0</v>
      </c>
      <c r="B184" t="b">
        <v>0</v>
      </c>
      <c r="C184" t="b">
        <v>0</v>
      </c>
      <c r="D184" s="1">
        <v>4172</v>
      </c>
      <c r="E184" s="1">
        <v>0</v>
      </c>
      <c r="F184" s="1">
        <v>0</v>
      </c>
      <c r="G184" s="1">
        <v>617</v>
      </c>
      <c r="H184" s="1">
        <v>0</v>
      </c>
      <c r="I184" s="1">
        <v>0</v>
      </c>
      <c r="J184" s="1">
        <f t="shared" si="8"/>
        <v>4789</v>
      </c>
      <c r="K184" s="1">
        <v>3158</v>
      </c>
      <c r="L184" s="1">
        <v>0</v>
      </c>
      <c r="M184" s="1">
        <v>0</v>
      </c>
      <c r="N184" s="1">
        <f t="shared" si="10"/>
        <v>3158</v>
      </c>
      <c r="O184" s="14">
        <v>808</v>
      </c>
      <c r="P184" s="17">
        <f t="shared" si="9"/>
        <v>7947</v>
      </c>
      <c r="Q184" s="1">
        <v>0</v>
      </c>
      <c r="R184" s="1">
        <v>0</v>
      </c>
      <c r="S184" s="20">
        <v>42614</v>
      </c>
      <c r="T184" s="1">
        <v>8755</v>
      </c>
      <c r="U184" s="9">
        <v>4789</v>
      </c>
      <c r="V184" s="9" t="s">
        <v>46</v>
      </c>
    </row>
    <row r="185" spans="1:22" x14ac:dyDescent="0.25">
      <c r="A185" s="10" t="s">
        <v>0</v>
      </c>
      <c r="B185" t="b">
        <v>0</v>
      </c>
      <c r="C185" t="b">
        <v>0</v>
      </c>
      <c r="D185" s="1">
        <v>3377</v>
      </c>
      <c r="E185" s="1">
        <v>0</v>
      </c>
      <c r="F185" s="1">
        <v>0</v>
      </c>
      <c r="G185" s="1">
        <v>706</v>
      </c>
      <c r="H185" s="1">
        <v>0</v>
      </c>
      <c r="I185" s="1">
        <v>0</v>
      </c>
      <c r="J185" s="1">
        <f t="shared" si="8"/>
        <v>4083</v>
      </c>
      <c r="K185" s="1">
        <v>2145</v>
      </c>
      <c r="L185" s="1">
        <v>0</v>
      </c>
      <c r="M185" s="1">
        <v>0</v>
      </c>
      <c r="N185" s="1">
        <f t="shared" si="10"/>
        <v>2145</v>
      </c>
      <c r="O185" s="14">
        <v>914</v>
      </c>
      <c r="P185" s="17">
        <f t="shared" si="9"/>
        <v>6228</v>
      </c>
      <c r="Q185" s="1">
        <v>0</v>
      </c>
      <c r="R185" s="1">
        <v>0</v>
      </c>
      <c r="S185" s="20">
        <v>42644</v>
      </c>
      <c r="T185" s="1">
        <v>7142</v>
      </c>
      <c r="U185" s="9">
        <v>4083</v>
      </c>
      <c r="V185" s="9" t="s">
        <v>46</v>
      </c>
    </row>
    <row r="186" spans="1:22" x14ac:dyDescent="0.25">
      <c r="A186" s="10" t="s">
        <v>0</v>
      </c>
      <c r="B186" t="b">
        <v>0</v>
      </c>
      <c r="C186" t="b">
        <v>0</v>
      </c>
      <c r="D186" s="1">
        <v>3299</v>
      </c>
      <c r="E186" s="1">
        <v>0</v>
      </c>
      <c r="F186" s="1">
        <v>0</v>
      </c>
      <c r="G186" s="1">
        <v>615</v>
      </c>
      <c r="H186" s="1">
        <v>0</v>
      </c>
      <c r="I186" s="1">
        <v>0</v>
      </c>
      <c r="J186" s="1">
        <f t="shared" si="8"/>
        <v>3914</v>
      </c>
      <c r="K186" s="1">
        <v>1632</v>
      </c>
      <c r="L186" s="1">
        <v>0</v>
      </c>
      <c r="M186" s="1">
        <v>0</v>
      </c>
      <c r="N186" s="1">
        <f t="shared" si="10"/>
        <v>1632</v>
      </c>
      <c r="O186" s="14">
        <v>1179</v>
      </c>
      <c r="P186" s="17">
        <f t="shared" si="9"/>
        <v>5546</v>
      </c>
      <c r="Q186" s="1">
        <v>0</v>
      </c>
      <c r="R186" s="1">
        <v>0</v>
      </c>
      <c r="S186" s="20">
        <v>42675</v>
      </c>
      <c r="T186" s="1">
        <v>6725</v>
      </c>
      <c r="U186" s="9">
        <v>3914</v>
      </c>
      <c r="V186" s="9" t="s">
        <v>46</v>
      </c>
    </row>
    <row r="187" spans="1:22" x14ac:dyDescent="0.25">
      <c r="A187" s="10" t="s">
        <v>0</v>
      </c>
      <c r="B187" t="b">
        <v>0</v>
      </c>
      <c r="C187" t="b">
        <v>0</v>
      </c>
      <c r="D187" s="1">
        <v>1607</v>
      </c>
      <c r="E187" s="1">
        <v>0</v>
      </c>
      <c r="F187" s="1">
        <v>0</v>
      </c>
      <c r="G187" s="1">
        <v>325</v>
      </c>
      <c r="H187" s="1">
        <v>0</v>
      </c>
      <c r="I187" s="1">
        <v>0</v>
      </c>
      <c r="J187" s="1">
        <f t="shared" si="8"/>
        <v>1932</v>
      </c>
      <c r="K187" s="1">
        <v>426</v>
      </c>
      <c r="L187" s="1">
        <v>0</v>
      </c>
      <c r="M187" s="1">
        <v>0</v>
      </c>
      <c r="N187" s="1">
        <f t="shared" si="10"/>
        <v>426</v>
      </c>
      <c r="O187" s="14">
        <v>523</v>
      </c>
      <c r="P187" s="17">
        <f t="shared" si="9"/>
        <v>2358</v>
      </c>
      <c r="Q187" s="1">
        <v>0</v>
      </c>
      <c r="R187" s="1">
        <v>0</v>
      </c>
      <c r="S187" s="20">
        <v>42705</v>
      </c>
      <c r="T187" s="1">
        <v>2881</v>
      </c>
      <c r="U187" s="9">
        <v>1932</v>
      </c>
      <c r="V187" s="9" t="s">
        <v>46</v>
      </c>
    </row>
    <row r="188" spans="1:22" x14ac:dyDescent="0.25">
      <c r="A188" s="10" t="s">
        <v>0</v>
      </c>
      <c r="B188" t="b">
        <v>0</v>
      </c>
      <c r="C188" t="b">
        <v>0</v>
      </c>
      <c r="D188" s="1">
        <v>446</v>
      </c>
      <c r="E188" s="1">
        <v>0</v>
      </c>
      <c r="F188" s="1">
        <v>0</v>
      </c>
      <c r="G188" s="1">
        <v>145</v>
      </c>
      <c r="H188" s="1">
        <v>0</v>
      </c>
      <c r="I188" s="1">
        <v>0</v>
      </c>
      <c r="J188" s="1">
        <f t="shared" si="8"/>
        <v>591</v>
      </c>
      <c r="K188" s="1">
        <v>414</v>
      </c>
      <c r="L188" s="1">
        <v>0</v>
      </c>
      <c r="M188" s="1">
        <v>0</v>
      </c>
      <c r="N188" s="1">
        <f t="shared" si="10"/>
        <v>414</v>
      </c>
      <c r="O188" s="14">
        <v>114</v>
      </c>
      <c r="P188" s="17">
        <f t="shared" si="9"/>
        <v>1005</v>
      </c>
      <c r="Q188" s="1">
        <v>0</v>
      </c>
      <c r="R188" s="1">
        <v>0</v>
      </c>
      <c r="S188" s="20">
        <v>42736</v>
      </c>
      <c r="T188" s="1">
        <v>1119</v>
      </c>
      <c r="U188" s="9">
        <v>591</v>
      </c>
      <c r="V188" s="9" t="s">
        <v>21</v>
      </c>
    </row>
    <row r="189" spans="1:22" x14ac:dyDescent="0.25">
      <c r="A189" s="10" t="s">
        <v>0</v>
      </c>
      <c r="B189" t="b">
        <v>0</v>
      </c>
      <c r="C189" t="b">
        <v>0</v>
      </c>
      <c r="D189" s="1">
        <v>557</v>
      </c>
      <c r="E189" s="1">
        <v>0</v>
      </c>
      <c r="F189" s="1">
        <v>0</v>
      </c>
      <c r="G189" s="1">
        <v>140</v>
      </c>
      <c r="H189" s="1">
        <v>0</v>
      </c>
      <c r="I189" s="1">
        <v>0</v>
      </c>
      <c r="J189" s="1">
        <f t="shared" si="8"/>
        <v>697</v>
      </c>
      <c r="K189" s="1">
        <v>588</v>
      </c>
      <c r="L189" s="1">
        <v>0</v>
      </c>
      <c r="M189" s="1">
        <v>0</v>
      </c>
      <c r="N189" s="1">
        <f t="shared" si="10"/>
        <v>588</v>
      </c>
      <c r="O189" s="14">
        <v>107</v>
      </c>
      <c r="P189" s="17">
        <f t="shared" si="9"/>
        <v>1285</v>
      </c>
      <c r="Q189" s="1">
        <v>0</v>
      </c>
      <c r="R189" s="1">
        <v>0</v>
      </c>
      <c r="S189" s="20">
        <v>42767</v>
      </c>
      <c r="T189" s="1">
        <v>1392</v>
      </c>
      <c r="U189" s="9">
        <v>697</v>
      </c>
      <c r="V189" s="9" t="s">
        <v>21</v>
      </c>
    </row>
    <row r="190" spans="1:22" x14ac:dyDescent="0.25">
      <c r="A190" s="10" t="s">
        <v>0</v>
      </c>
      <c r="B190" t="b">
        <v>0</v>
      </c>
      <c r="C190" t="b">
        <v>0</v>
      </c>
      <c r="D190" s="1">
        <v>1861</v>
      </c>
      <c r="E190" s="1">
        <v>0</v>
      </c>
      <c r="F190" s="1">
        <v>0</v>
      </c>
      <c r="G190" s="1">
        <v>4530</v>
      </c>
      <c r="H190" s="1">
        <v>0</v>
      </c>
      <c r="I190" s="1">
        <v>0</v>
      </c>
      <c r="J190" s="1">
        <f t="shared" si="8"/>
        <v>6391</v>
      </c>
      <c r="K190" s="1">
        <v>907</v>
      </c>
      <c r="L190" s="1">
        <v>0</v>
      </c>
      <c r="M190" s="1">
        <v>0</v>
      </c>
      <c r="N190" s="1">
        <f t="shared" si="10"/>
        <v>907</v>
      </c>
      <c r="O190" s="14">
        <v>479</v>
      </c>
      <c r="P190" s="17">
        <f t="shared" si="9"/>
        <v>7298</v>
      </c>
      <c r="Q190" s="1">
        <v>0</v>
      </c>
      <c r="R190" s="1">
        <v>0</v>
      </c>
      <c r="S190" s="20">
        <v>42795</v>
      </c>
      <c r="T190" s="1">
        <v>7777</v>
      </c>
      <c r="U190" s="9">
        <v>6391</v>
      </c>
      <c r="V190" s="9" t="s">
        <v>21</v>
      </c>
    </row>
    <row r="191" spans="1:22" x14ac:dyDescent="0.25">
      <c r="A191" s="10" t="s">
        <v>0</v>
      </c>
      <c r="B191" t="b">
        <v>0</v>
      </c>
      <c r="C191" t="b">
        <v>0</v>
      </c>
      <c r="D191" s="1">
        <v>4811</v>
      </c>
      <c r="E191" s="1">
        <v>0</v>
      </c>
      <c r="F191" s="1">
        <v>0</v>
      </c>
      <c r="G191" s="1">
        <v>1251</v>
      </c>
      <c r="H191" s="1">
        <v>0</v>
      </c>
      <c r="I191" s="1">
        <v>0</v>
      </c>
      <c r="J191" s="1">
        <f t="shared" si="8"/>
        <v>6062</v>
      </c>
      <c r="K191" s="1">
        <v>2520</v>
      </c>
      <c r="L191" s="1">
        <v>0</v>
      </c>
      <c r="M191" s="1">
        <v>0</v>
      </c>
      <c r="N191" s="1">
        <f t="shared" si="10"/>
        <v>2520</v>
      </c>
      <c r="O191" s="14">
        <v>1342</v>
      </c>
      <c r="P191" s="17">
        <f t="shared" si="9"/>
        <v>8582</v>
      </c>
      <c r="Q191" s="1">
        <v>0</v>
      </c>
      <c r="R191" s="1">
        <v>0</v>
      </c>
      <c r="S191" s="20">
        <v>42826</v>
      </c>
      <c r="T191" s="1">
        <v>9924</v>
      </c>
      <c r="U191" s="9">
        <v>6062</v>
      </c>
      <c r="V191" s="9" t="s">
        <v>21</v>
      </c>
    </row>
    <row r="192" spans="1:22" x14ac:dyDescent="0.25">
      <c r="A192" s="10" t="s">
        <v>0</v>
      </c>
      <c r="B192" t="b">
        <v>0</v>
      </c>
      <c r="C192" t="b">
        <v>0</v>
      </c>
      <c r="D192" s="1">
        <v>5806</v>
      </c>
      <c r="E192" s="1">
        <v>0</v>
      </c>
      <c r="F192" s="1">
        <v>0</v>
      </c>
      <c r="G192" s="1">
        <v>1873</v>
      </c>
      <c r="H192" s="1">
        <v>0</v>
      </c>
      <c r="I192" s="1">
        <v>0</v>
      </c>
      <c r="J192" s="1">
        <f t="shared" si="8"/>
        <v>7679</v>
      </c>
      <c r="K192" s="1">
        <v>3310</v>
      </c>
      <c r="L192" s="1">
        <v>0</v>
      </c>
      <c r="M192" s="1">
        <v>0</v>
      </c>
      <c r="N192" s="1">
        <f t="shared" si="10"/>
        <v>3310</v>
      </c>
      <c r="O192" s="14">
        <v>691</v>
      </c>
      <c r="P192" s="17">
        <f t="shared" si="9"/>
        <v>10989</v>
      </c>
      <c r="Q192" s="1">
        <v>0</v>
      </c>
      <c r="R192" s="1">
        <v>0</v>
      </c>
      <c r="S192" s="20">
        <v>42856</v>
      </c>
      <c r="T192" s="1">
        <v>11680</v>
      </c>
      <c r="U192" s="9">
        <v>7679</v>
      </c>
      <c r="V192" s="9" t="s">
        <v>21</v>
      </c>
    </row>
    <row r="193" spans="1:22" x14ac:dyDescent="0.25">
      <c r="A193" s="10" t="s">
        <v>0</v>
      </c>
      <c r="B193" t="b">
        <v>0</v>
      </c>
      <c r="C193" t="b">
        <v>0</v>
      </c>
      <c r="D193" s="1">
        <v>4435</v>
      </c>
      <c r="E193" s="1">
        <v>0</v>
      </c>
      <c r="F193" s="1">
        <v>0</v>
      </c>
      <c r="G193" s="1">
        <v>1007</v>
      </c>
      <c r="H193" s="1">
        <v>0</v>
      </c>
      <c r="I193" s="1">
        <v>0</v>
      </c>
      <c r="J193" s="1">
        <f t="shared" si="8"/>
        <v>5442</v>
      </c>
      <c r="K193" s="1">
        <v>3618</v>
      </c>
      <c r="L193" s="1">
        <v>0</v>
      </c>
      <c r="M193" s="1">
        <v>0</v>
      </c>
      <c r="N193" s="1">
        <f t="shared" si="10"/>
        <v>3618</v>
      </c>
      <c r="O193" s="14">
        <v>403</v>
      </c>
      <c r="P193" s="17">
        <f t="shared" si="9"/>
        <v>9060</v>
      </c>
      <c r="Q193" s="1">
        <v>610</v>
      </c>
      <c r="R193" s="1">
        <v>0</v>
      </c>
      <c r="S193" s="20">
        <v>42887</v>
      </c>
      <c r="T193" s="1">
        <v>10073</v>
      </c>
      <c r="U193" s="9">
        <v>5442</v>
      </c>
      <c r="V193" s="9" t="s">
        <v>21</v>
      </c>
    </row>
    <row r="194" spans="1:22" x14ac:dyDescent="0.25">
      <c r="A194" s="10" t="s">
        <v>0</v>
      </c>
      <c r="B194" t="b">
        <v>0</v>
      </c>
      <c r="C194" t="b">
        <v>0</v>
      </c>
      <c r="D194" s="1">
        <v>5859</v>
      </c>
      <c r="E194" s="1">
        <v>0</v>
      </c>
      <c r="F194" s="1">
        <v>0</v>
      </c>
      <c r="G194" s="1">
        <v>544</v>
      </c>
      <c r="H194" s="1">
        <v>0</v>
      </c>
      <c r="I194" s="1">
        <v>0</v>
      </c>
      <c r="J194" s="1">
        <f t="shared" si="8"/>
        <v>6403</v>
      </c>
      <c r="K194" s="1">
        <v>4945</v>
      </c>
      <c r="L194" s="1">
        <v>0</v>
      </c>
      <c r="M194" s="1">
        <v>0</v>
      </c>
      <c r="N194" s="1">
        <f t="shared" si="10"/>
        <v>4945</v>
      </c>
      <c r="O194" s="14">
        <v>566</v>
      </c>
      <c r="P194" s="17">
        <f t="shared" si="9"/>
        <v>11348</v>
      </c>
      <c r="Q194" s="1">
        <v>0</v>
      </c>
      <c r="R194" s="1">
        <v>0</v>
      </c>
      <c r="S194" s="20">
        <v>42917</v>
      </c>
      <c r="T194" s="1">
        <v>11914</v>
      </c>
      <c r="U194" s="9">
        <v>6403</v>
      </c>
      <c r="V194" s="9" t="s">
        <v>21</v>
      </c>
    </row>
    <row r="195" spans="1:22" x14ac:dyDescent="0.25">
      <c r="A195" s="10" t="s">
        <v>0</v>
      </c>
      <c r="B195" t="b">
        <v>0</v>
      </c>
      <c r="C195" t="b">
        <v>0</v>
      </c>
      <c r="D195" s="1">
        <v>4324</v>
      </c>
      <c r="E195" s="1">
        <v>0</v>
      </c>
      <c r="F195" s="1">
        <v>0</v>
      </c>
      <c r="G195" s="1">
        <v>564</v>
      </c>
      <c r="H195" s="1">
        <v>0</v>
      </c>
      <c r="I195" s="1">
        <v>0</v>
      </c>
      <c r="J195" s="1">
        <f t="shared" ref="J195:J237" si="11">D195+E195+F195+G195+H195+I195</f>
        <v>4888</v>
      </c>
      <c r="K195" s="1">
        <v>3576</v>
      </c>
      <c r="L195" s="1">
        <v>0</v>
      </c>
      <c r="M195" s="1">
        <v>0</v>
      </c>
      <c r="N195" s="1">
        <f t="shared" si="10"/>
        <v>3576</v>
      </c>
      <c r="O195" s="14">
        <v>604</v>
      </c>
      <c r="P195" s="17">
        <f t="shared" ref="P195:P237" si="12">J195+N195</f>
        <v>8464</v>
      </c>
      <c r="Q195" s="1">
        <v>0</v>
      </c>
      <c r="R195" s="1">
        <v>0</v>
      </c>
      <c r="S195" s="20">
        <v>42948</v>
      </c>
      <c r="T195" s="1">
        <v>9068</v>
      </c>
      <c r="U195" s="9">
        <v>4888</v>
      </c>
      <c r="V195" s="9" t="s">
        <v>21</v>
      </c>
    </row>
    <row r="196" spans="1:22" x14ac:dyDescent="0.25">
      <c r="A196" s="10" t="s">
        <v>0</v>
      </c>
      <c r="B196" t="b">
        <v>0</v>
      </c>
      <c r="C196" t="b">
        <v>0</v>
      </c>
      <c r="D196" s="1">
        <v>4181</v>
      </c>
      <c r="E196" s="1">
        <v>0</v>
      </c>
      <c r="F196" s="1">
        <v>0</v>
      </c>
      <c r="G196" s="1">
        <v>666</v>
      </c>
      <c r="H196" s="1">
        <v>0</v>
      </c>
      <c r="I196" s="1">
        <v>0</v>
      </c>
      <c r="J196" s="1">
        <f t="shared" si="11"/>
        <v>4847</v>
      </c>
      <c r="K196" s="1">
        <v>2344</v>
      </c>
      <c r="L196" s="1">
        <v>0</v>
      </c>
      <c r="M196" s="1">
        <v>0</v>
      </c>
      <c r="N196" s="1">
        <f t="shared" si="10"/>
        <v>2344</v>
      </c>
      <c r="O196" s="14">
        <v>644</v>
      </c>
      <c r="P196" s="17">
        <f t="shared" si="12"/>
        <v>7191</v>
      </c>
      <c r="Q196" s="1">
        <v>0</v>
      </c>
      <c r="R196" s="1">
        <v>0</v>
      </c>
      <c r="S196" s="20">
        <v>42979</v>
      </c>
      <c r="T196" s="1">
        <v>7835</v>
      </c>
      <c r="U196" s="9">
        <v>4847</v>
      </c>
      <c r="V196" s="9" t="s">
        <v>21</v>
      </c>
    </row>
    <row r="197" spans="1:22" x14ac:dyDescent="0.25">
      <c r="A197" s="10" t="s">
        <v>0</v>
      </c>
      <c r="B197" t="b">
        <v>0</v>
      </c>
      <c r="C197" t="b">
        <v>0</v>
      </c>
      <c r="D197" s="1">
        <v>3464</v>
      </c>
      <c r="E197" s="1">
        <v>0</v>
      </c>
      <c r="F197" s="1">
        <v>0</v>
      </c>
      <c r="G197" s="1">
        <v>716</v>
      </c>
      <c r="H197" s="1">
        <v>0</v>
      </c>
      <c r="I197" s="1">
        <v>0</v>
      </c>
      <c r="J197" s="1">
        <f t="shared" si="11"/>
        <v>4180</v>
      </c>
      <c r="K197" s="1">
        <v>1876</v>
      </c>
      <c r="L197" s="1">
        <v>0</v>
      </c>
      <c r="M197" s="1">
        <v>0</v>
      </c>
      <c r="N197" s="1">
        <f t="shared" si="10"/>
        <v>1876</v>
      </c>
      <c r="O197" s="14">
        <v>924</v>
      </c>
      <c r="P197" s="17">
        <f t="shared" si="12"/>
        <v>6056</v>
      </c>
      <c r="Q197" s="1">
        <v>0</v>
      </c>
      <c r="R197" s="1">
        <v>0</v>
      </c>
      <c r="S197" s="20">
        <v>43009</v>
      </c>
      <c r="T197" s="1">
        <v>6980</v>
      </c>
      <c r="U197" s="9">
        <v>4180</v>
      </c>
      <c r="V197" s="9" t="s">
        <v>21</v>
      </c>
    </row>
    <row r="198" spans="1:22" x14ac:dyDescent="0.25">
      <c r="A198" s="10" t="s">
        <v>0</v>
      </c>
      <c r="B198" t="b">
        <v>0</v>
      </c>
      <c r="C198" t="b">
        <v>0</v>
      </c>
      <c r="D198" s="1">
        <v>3324</v>
      </c>
      <c r="E198" s="1">
        <v>0</v>
      </c>
      <c r="F198" s="1">
        <v>0</v>
      </c>
      <c r="G198" s="1">
        <v>636</v>
      </c>
      <c r="H198" s="1">
        <v>0</v>
      </c>
      <c r="I198" s="1">
        <v>0</v>
      </c>
      <c r="J198" s="1">
        <f t="shared" si="11"/>
        <v>3960</v>
      </c>
      <c r="K198" s="1">
        <v>1036</v>
      </c>
      <c r="L198" s="1">
        <v>0</v>
      </c>
      <c r="M198" s="1">
        <v>0</v>
      </c>
      <c r="N198" s="1">
        <f t="shared" si="10"/>
        <v>1036</v>
      </c>
      <c r="O198" s="14">
        <v>1271</v>
      </c>
      <c r="P198" s="17">
        <f t="shared" si="12"/>
        <v>4996</v>
      </c>
      <c r="Q198" s="1">
        <v>0</v>
      </c>
      <c r="R198" s="1">
        <v>0</v>
      </c>
      <c r="S198" s="20">
        <v>43040</v>
      </c>
      <c r="T198" s="1">
        <v>6267</v>
      </c>
      <c r="U198" s="9">
        <v>3960</v>
      </c>
      <c r="V198" s="9" t="s">
        <v>21</v>
      </c>
    </row>
    <row r="199" spans="1:22" x14ac:dyDescent="0.25">
      <c r="A199" s="10" t="s">
        <v>0</v>
      </c>
      <c r="B199" t="b">
        <v>0</v>
      </c>
      <c r="C199" t="b">
        <v>0</v>
      </c>
      <c r="D199" s="1">
        <v>1624</v>
      </c>
      <c r="E199" s="1">
        <v>0</v>
      </c>
      <c r="F199" s="1">
        <v>0</v>
      </c>
      <c r="G199" s="1">
        <v>369</v>
      </c>
      <c r="H199" s="1">
        <v>0</v>
      </c>
      <c r="I199" s="1">
        <v>0</v>
      </c>
      <c r="J199" s="1">
        <f t="shared" si="11"/>
        <v>1993</v>
      </c>
      <c r="K199" s="1">
        <v>366</v>
      </c>
      <c r="L199" s="1">
        <v>0</v>
      </c>
      <c r="M199" s="1">
        <v>0</v>
      </c>
      <c r="N199" s="1">
        <f t="shared" si="10"/>
        <v>366</v>
      </c>
      <c r="O199" s="14">
        <v>544</v>
      </c>
      <c r="P199" s="17">
        <f t="shared" si="12"/>
        <v>2359</v>
      </c>
      <c r="Q199" s="1">
        <v>0</v>
      </c>
      <c r="R199" s="1">
        <v>0</v>
      </c>
      <c r="S199" s="20">
        <v>43070</v>
      </c>
      <c r="T199" s="1">
        <v>2903</v>
      </c>
      <c r="U199" s="9">
        <v>1993</v>
      </c>
      <c r="V199" s="9" t="s">
        <v>21</v>
      </c>
    </row>
    <row r="200" spans="1:22" x14ac:dyDescent="0.25">
      <c r="A200" s="10" t="s">
        <v>0</v>
      </c>
      <c r="B200" t="b">
        <v>0</v>
      </c>
      <c r="C200" t="b">
        <v>0</v>
      </c>
      <c r="D200" s="1">
        <v>1144</v>
      </c>
      <c r="E200" s="1">
        <v>0</v>
      </c>
      <c r="F200" s="1">
        <v>0</v>
      </c>
      <c r="G200" s="1">
        <v>424</v>
      </c>
      <c r="H200" s="1">
        <v>0</v>
      </c>
      <c r="I200" s="1">
        <v>0</v>
      </c>
      <c r="J200" s="1">
        <f t="shared" si="11"/>
        <v>1568</v>
      </c>
      <c r="K200" s="1">
        <v>652</v>
      </c>
      <c r="L200" s="1">
        <v>0</v>
      </c>
      <c r="M200" s="1">
        <v>0</v>
      </c>
      <c r="N200" s="1">
        <f t="shared" si="10"/>
        <v>652</v>
      </c>
      <c r="O200" s="14">
        <v>261</v>
      </c>
      <c r="P200" s="17">
        <f t="shared" si="12"/>
        <v>2220</v>
      </c>
      <c r="Q200" s="1">
        <v>203</v>
      </c>
      <c r="R200" s="1">
        <v>27</v>
      </c>
      <c r="S200" s="20">
        <v>43101</v>
      </c>
      <c r="T200" s="1">
        <v>2711</v>
      </c>
      <c r="U200" s="9">
        <v>1568</v>
      </c>
      <c r="V200" s="9" t="s">
        <v>21</v>
      </c>
    </row>
    <row r="201" spans="1:22" x14ac:dyDescent="0.25">
      <c r="A201" s="10" t="s">
        <v>0</v>
      </c>
      <c r="B201" t="b">
        <v>0</v>
      </c>
      <c r="C201" t="b">
        <v>0</v>
      </c>
      <c r="D201" s="1">
        <v>1316</v>
      </c>
      <c r="E201" s="1">
        <v>0</v>
      </c>
      <c r="F201" s="1">
        <v>0</v>
      </c>
      <c r="G201" s="1">
        <v>321</v>
      </c>
      <c r="H201" s="1">
        <v>0</v>
      </c>
      <c r="I201" s="1">
        <v>0</v>
      </c>
      <c r="J201" s="1">
        <f t="shared" si="11"/>
        <v>1637</v>
      </c>
      <c r="K201" s="1">
        <v>750</v>
      </c>
      <c r="L201" s="1">
        <v>0</v>
      </c>
      <c r="M201" s="1">
        <v>0</v>
      </c>
      <c r="N201" s="1">
        <f t="shared" si="10"/>
        <v>750</v>
      </c>
      <c r="O201" s="14">
        <v>398</v>
      </c>
      <c r="P201" s="17">
        <f t="shared" si="12"/>
        <v>2387</v>
      </c>
      <c r="Q201" s="1">
        <v>76</v>
      </c>
      <c r="R201" s="1">
        <v>0</v>
      </c>
      <c r="S201" s="20">
        <v>43132</v>
      </c>
      <c r="T201" s="1">
        <v>2861</v>
      </c>
      <c r="U201" s="9">
        <v>1637</v>
      </c>
      <c r="V201" s="9" t="s">
        <v>21</v>
      </c>
    </row>
    <row r="202" spans="1:22" x14ac:dyDescent="0.25">
      <c r="A202" s="10" t="s">
        <v>0</v>
      </c>
      <c r="B202" t="b">
        <v>0</v>
      </c>
      <c r="C202" t="b">
        <v>0</v>
      </c>
      <c r="D202" s="1">
        <v>1392</v>
      </c>
      <c r="E202" s="1">
        <v>0</v>
      </c>
      <c r="F202" s="1">
        <v>0</v>
      </c>
      <c r="G202" s="1">
        <v>178</v>
      </c>
      <c r="H202" s="1">
        <v>0</v>
      </c>
      <c r="I202" s="1">
        <v>0</v>
      </c>
      <c r="J202" s="1">
        <f t="shared" si="11"/>
        <v>1570</v>
      </c>
      <c r="K202" s="1">
        <v>846</v>
      </c>
      <c r="L202" s="1">
        <v>0</v>
      </c>
      <c r="M202" s="1">
        <v>0</v>
      </c>
      <c r="N202" s="1">
        <f t="shared" si="10"/>
        <v>846</v>
      </c>
      <c r="O202" s="14">
        <v>402</v>
      </c>
      <c r="P202" s="17">
        <f t="shared" si="12"/>
        <v>2416</v>
      </c>
      <c r="Q202" s="1">
        <v>0</v>
      </c>
      <c r="R202" s="1">
        <v>0</v>
      </c>
      <c r="S202" s="20">
        <v>43160</v>
      </c>
      <c r="T202" s="1">
        <v>2818</v>
      </c>
      <c r="U202" s="9">
        <v>1570</v>
      </c>
      <c r="V202" s="9" t="s">
        <v>21</v>
      </c>
    </row>
    <row r="203" spans="1:22" x14ac:dyDescent="0.25">
      <c r="A203" s="10" t="s">
        <v>0</v>
      </c>
      <c r="B203" t="b">
        <v>0</v>
      </c>
      <c r="C203" t="b">
        <v>0</v>
      </c>
      <c r="D203" s="1">
        <v>2881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f t="shared" si="11"/>
        <v>2881</v>
      </c>
      <c r="K203" s="1">
        <v>1246</v>
      </c>
      <c r="L203" s="1">
        <v>0</v>
      </c>
      <c r="M203" s="1">
        <v>0</v>
      </c>
      <c r="N203" s="1">
        <f t="shared" si="10"/>
        <v>1246</v>
      </c>
      <c r="O203" s="14">
        <v>609</v>
      </c>
      <c r="P203" s="17">
        <f t="shared" si="12"/>
        <v>4127</v>
      </c>
      <c r="Q203" s="1">
        <v>0</v>
      </c>
      <c r="R203" s="1">
        <v>0</v>
      </c>
      <c r="S203" s="20">
        <v>43191</v>
      </c>
      <c r="T203" s="1">
        <v>4736</v>
      </c>
      <c r="U203" s="9">
        <v>2881</v>
      </c>
      <c r="V203" s="9" t="s">
        <v>21</v>
      </c>
    </row>
    <row r="204" spans="1:22" x14ac:dyDescent="0.25">
      <c r="A204" s="10" t="s">
        <v>0</v>
      </c>
      <c r="B204" t="b">
        <v>0</v>
      </c>
      <c r="C204" t="b">
        <v>0</v>
      </c>
      <c r="D204" s="1">
        <v>4053</v>
      </c>
      <c r="E204" s="1">
        <v>0</v>
      </c>
      <c r="F204" s="1">
        <v>0</v>
      </c>
      <c r="G204" s="1">
        <v>660</v>
      </c>
      <c r="H204" s="1">
        <v>0</v>
      </c>
      <c r="I204" s="1">
        <v>0</v>
      </c>
      <c r="J204" s="1">
        <f t="shared" si="11"/>
        <v>4713</v>
      </c>
      <c r="K204" s="1">
        <v>2262</v>
      </c>
      <c r="L204" s="1">
        <v>0</v>
      </c>
      <c r="M204" s="1">
        <v>0</v>
      </c>
      <c r="N204" s="1">
        <f t="shared" si="10"/>
        <v>2262</v>
      </c>
      <c r="O204" s="14">
        <v>437</v>
      </c>
      <c r="P204" s="17">
        <f t="shared" si="12"/>
        <v>6975</v>
      </c>
      <c r="Q204" s="1">
        <v>0</v>
      </c>
      <c r="R204" s="1">
        <v>0</v>
      </c>
      <c r="S204" s="20">
        <v>43221</v>
      </c>
      <c r="T204" s="1">
        <v>7412</v>
      </c>
      <c r="U204" s="9">
        <v>4713</v>
      </c>
      <c r="V204" s="9" t="s">
        <v>21</v>
      </c>
    </row>
    <row r="205" spans="1:22" x14ac:dyDescent="0.25">
      <c r="A205" s="10" t="s">
        <v>0</v>
      </c>
      <c r="B205" t="b">
        <v>0</v>
      </c>
      <c r="C205" t="b">
        <v>0</v>
      </c>
      <c r="D205" s="1">
        <v>4856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f t="shared" si="11"/>
        <v>4856</v>
      </c>
      <c r="K205" s="1">
        <v>2652</v>
      </c>
      <c r="L205" s="1">
        <v>0</v>
      </c>
      <c r="M205" s="1">
        <v>0</v>
      </c>
      <c r="N205" s="1">
        <f t="shared" si="10"/>
        <v>2652</v>
      </c>
      <c r="O205" s="14">
        <v>298</v>
      </c>
      <c r="P205" s="17">
        <f t="shared" si="12"/>
        <v>7508</v>
      </c>
      <c r="Q205" s="1">
        <v>0</v>
      </c>
      <c r="R205" s="1">
        <v>0</v>
      </c>
      <c r="S205" s="20">
        <v>43252</v>
      </c>
      <c r="T205" s="1">
        <v>7806</v>
      </c>
      <c r="U205" s="9">
        <v>4856</v>
      </c>
      <c r="V205" s="9" t="s">
        <v>21</v>
      </c>
    </row>
    <row r="206" spans="1:22" x14ac:dyDescent="0.25">
      <c r="A206" s="10" t="s">
        <v>0</v>
      </c>
      <c r="B206" t="b">
        <v>0</v>
      </c>
      <c r="C206" t="b">
        <v>0</v>
      </c>
      <c r="D206" s="1">
        <v>4240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f t="shared" si="11"/>
        <v>4240</v>
      </c>
      <c r="K206" s="1">
        <v>2368</v>
      </c>
      <c r="L206" s="1">
        <v>0</v>
      </c>
      <c r="M206" s="1">
        <v>0</v>
      </c>
      <c r="N206" s="1">
        <f t="shared" si="10"/>
        <v>2368</v>
      </c>
      <c r="O206" s="14">
        <v>524</v>
      </c>
      <c r="P206" s="17">
        <f t="shared" si="12"/>
        <v>6608</v>
      </c>
      <c r="Q206" s="1">
        <v>0</v>
      </c>
      <c r="R206" s="1">
        <v>0</v>
      </c>
      <c r="S206" s="20">
        <v>43282</v>
      </c>
      <c r="T206" s="1">
        <v>7132</v>
      </c>
      <c r="U206" s="9">
        <v>4240</v>
      </c>
      <c r="V206" s="9" t="s">
        <v>21</v>
      </c>
    </row>
    <row r="207" spans="1:22" x14ac:dyDescent="0.25">
      <c r="A207" s="10" t="s">
        <v>0</v>
      </c>
      <c r="B207" t="b">
        <v>0</v>
      </c>
      <c r="C207" t="b">
        <v>0</v>
      </c>
      <c r="D207" s="1">
        <v>4153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f t="shared" si="11"/>
        <v>4153</v>
      </c>
      <c r="K207" s="1">
        <v>2873</v>
      </c>
      <c r="L207" s="1">
        <v>0</v>
      </c>
      <c r="M207" s="1">
        <v>0</v>
      </c>
      <c r="N207" s="1">
        <f t="shared" si="10"/>
        <v>2873</v>
      </c>
      <c r="O207" s="14">
        <v>482</v>
      </c>
      <c r="P207" s="17">
        <f t="shared" si="12"/>
        <v>7026</v>
      </c>
      <c r="Q207" s="1">
        <v>0</v>
      </c>
      <c r="R207" s="1">
        <v>0</v>
      </c>
      <c r="S207" s="20">
        <v>43313</v>
      </c>
      <c r="T207" s="1">
        <v>7508</v>
      </c>
      <c r="U207" s="9">
        <v>4153</v>
      </c>
      <c r="V207" s="9" t="s">
        <v>21</v>
      </c>
    </row>
    <row r="208" spans="1:22" x14ac:dyDescent="0.25">
      <c r="A208" s="10" t="s">
        <v>0</v>
      </c>
      <c r="B208" t="b">
        <v>0</v>
      </c>
      <c r="C208" t="b">
        <v>0</v>
      </c>
      <c r="D208" s="1">
        <v>4045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f t="shared" si="11"/>
        <v>4045</v>
      </c>
      <c r="K208" s="1">
        <v>1570</v>
      </c>
      <c r="L208" s="1">
        <v>0</v>
      </c>
      <c r="M208" s="1">
        <v>1157</v>
      </c>
      <c r="N208" s="1">
        <f t="shared" si="10"/>
        <v>2727</v>
      </c>
      <c r="O208" s="14">
        <v>581</v>
      </c>
      <c r="P208" s="17">
        <f t="shared" si="12"/>
        <v>6772</v>
      </c>
      <c r="Q208" s="1">
        <v>0</v>
      </c>
      <c r="R208" s="1">
        <v>0</v>
      </c>
      <c r="S208" s="20">
        <v>43344</v>
      </c>
      <c r="T208" s="1">
        <v>7353</v>
      </c>
      <c r="U208" s="9">
        <v>4045</v>
      </c>
      <c r="V208" s="9" t="s">
        <v>21</v>
      </c>
    </row>
    <row r="209" spans="1:22" x14ac:dyDescent="0.25">
      <c r="A209" s="10" t="s">
        <v>0</v>
      </c>
      <c r="B209" t="b">
        <v>0</v>
      </c>
      <c r="C209" t="b">
        <v>0</v>
      </c>
      <c r="D209" s="1">
        <v>3040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f t="shared" si="11"/>
        <v>3040</v>
      </c>
      <c r="K209" s="1">
        <v>1245</v>
      </c>
      <c r="L209" s="1">
        <v>0</v>
      </c>
      <c r="M209" s="1">
        <v>770</v>
      </c>
      <c r="N209" s="1">
        <f t="shared" si="10"/>
        <v>2015</v>
      </c>
      <c r="O209" s="14">
        <v>706</v>
      </c>
      <c r="P209" s="17">
        <f t="shared" si="12"/>
        <v>5055</v>
      </c>
      <c r="Q209" s="1">
        <v>0</v>
      </c>
      <c r="R209" s="1">
        <v>0</v>
      </c>
      <c r="S209" s="20">
        <v>43374</v>
      </c>
      <c r="T209" s="1">
        <v>5761</v>
      </c>
      <c r="U209" s="9">
        <v>3040</v>
      </c>
      <c r="V209" s="9" t="s">
        <v>21</v>
      </c>
    </row>
    <row r="210" spans="1:22" x14ac:dyDescent="0.25">
      <c r="A210" s="10" t="s">
        <v>0</v>
      </c>
      <c r="B210" t="b">
        <v>0</v>
      </c>
      <c r="C210" t="b">
        <v>0</v>
      </c>
      <c r="D210" s="1">
        <v>3025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f t="shared" si="11"/>
        <v>3025</v>
      </c>
      <c r="K210" s="1">
        <v>910</v>
      </c>
      <c r="L210" s="1">
        <v>0</v>
      </c>
      <c r="M210" s="1">
        <v>199</v>
      </c>
      <c r="N210" s="1">
        <f t="shared" si="10"/>
        <v>1109</v>
      </c>
      <c r="O210" s="14">
        <v>892</v>
      </c>
      <c r="P210" s="17">
        <f t="shared" si="12"/>
        <v>4134</v>
      </c>
      <c r="Q210" s="1">
        <v>0</v>
      </c>
      <c r="R210" s="1">
        <v>0</v>
      </c>
      <c r="S210" s="20">
        <v>43405</v>
      </c>
      <c r="T210" s="1">
        <v>5026</v>
      </c>
      <c r="U210" s="9">
        <v>3025</v>
      </c>
      <c r="V210" s="9" t="s">
        <v>21</v>
      </c>
    </row>
    <row r="211" spans="1:22" x14ac:dyDescent="0.25">
      <c r="A211" s="10" t="s">
        <v>0</v>
      </c>
      <c r="B211" t="b">
        <v>0</v>
      </c>
      <c r="C211" t="b">
        <v>0</v>
      </c>
      <c r="D211" s="1">
        <v>1578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f t="shared" si="11"/>
        <v>1578</v>
      </c>
      <c r="K211" s="1">
        <v>471</v>
      </c>
      <c r="L211" s="1">
        <v>0</v>
      </c>
      <c r="M211" s="1">
        <v>198</v>
      </c>
      <c r="N211" s="1">
        <f t="shared" si="10"/>
        <v>669</v>
      </c>
      <c r="O211" s="14">
        <v>444</v>
      </c>
      <c r="P211" s="17">
        <f t="shared" si="12"/>
        <v>2247</v>
      </c>
      <c r="Q211" s="1">
        <v>0</v>
      </c>
      <c r="R211" s="1">
        <v>0</v>
      </c>
      <c r="S211" s="20">
        <v>43435</v>
      </c>
      <c r="T211" s="1">
        <v>2691</v>
      </c>
      <c r="U211" s="9">
        <v>1578</v>
      </c>
      <c r="V211" s="9" t="s">
        <v>21</v>
      </c>
    </row>
    <row r="212" spans="1:22" x14ac:dyDescent="0.25">
      <c r="A212" s="10" t="s">
        <v>0</v>
      </c>
      <c r="B212" t="b">
        <v>0</v>
      </c>
      <c r="C212" t="b">
        <v>0</v>
      </c>
      <c r="D212" s="1">
        <v>305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f t="shared" si="11"/>
        <v>305</v>
      </c>
      <c r="K212" s="1">
        <v>197</v>
      </c>
      <c r="L212" s="1">
        <v>0</v>
      </c>
      <c r="M212" s="1">
        <v>89</v>
      </c>
      <c r="N212" s="1">
        <f t="shared" si="10"/>
        <v>286</v>
      </c>
      <c r="O212" s="14">
        <v>238</v>
      </c>
      <c r="P212" s="17">
        <f t="shared" si="12"/>
        <v>591</v>
      </c>
      <c r="Q212" s="1">
        <v>0</v>
      </c>
      <c r="R212" s="1">
        <v>0</v>
      </c>
      <c r="S212" s="20">
        <v>43466</v>
      </c>
      <c r="T212" s="1">
        <v>829</v>
      </c>
      <c r="U212" s="9">
        <v>305</v>
      </c>
      <c r="V212" s="9" t="s">
        <v>21</v>
      </c>
    </row>
    <row r="213" spans="1:22" x14ac:dyDescent="0.25">
      <c r="A213" s="10" t="s">
        <v>0</v>
      </c>
      <c r="B213" t="b">
        <v>0</v>
      </c>
      <c r="C213" t="b">
        <v>0</v>
      </c>
      <c r="D213" s="1">
        <v>148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f t="shared" si="11"/>
        <v>148</v>
      </c>
      <c r="K213" s="1">
        <v>202</v>
      </c>
      <c r="L213" s="1">
        <v>0</v>
      </c>
      <c r="M213" s="1">
        <v>90</v>
      </c>
      <c r="N213" s="1">
        <f t="shared" si="10"/>
        <v>292</v>
      </c>
      <c r="O213" s="14">
        <v>56</v>
      </c>
      <c r="P213" s="17">
        <f t="shared" si="12"/>
        <v>440</v>
      </c>
      <c r="Q213" s="1">
        <v>0</v>
      </c>
      <c r="R213" s="1">
        <v>0</v>
      </c>
      <c r="S213" s="20">
        <v>43497</v>
      </c>
      <c r="T213" s="1">
        <v>496</v>
      </c>
      <c r="U213" s="9">
        <v>148</v>
      </c>
      <c r="V213" s="9" t="s">
        <v>21</v>
      </c>
    </row>
    <row r="214" spans="1:22" x14ac:dyDescent="0.25">
      <c r="A214" s="10" t="s">
        <v>0</v>
      </c>
      <c r="B214" t="b">
        <v>0</v>
      </c>
      <c r="C214" t="b">
        <v>0</v>
      </c>
      <c r="D214" s="1">
        <v>1089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f t="shared" si="11"/>
        <v>1089</v>
      </c>
      <c r="K214" s="1">
        <v>690</v>
      </c>
      <c r="L214" s="1">
        <v>0</v>
      </c>
      <c r="M214" s="1">
        <v>531</v>
      </c>
      <c r="N214" s="1">
        <f t="shared" si="10"/>
        <v>1221</v>
      </c>
      <c r="O214" s="14">
        <v>289</v>
      </c>
      <c r="P214" s="17">
        <f t="shared" si="12"/>
        <v>2310</v>
      </c>
      <c r="Q214" s="1">
        <v>0</v>
      </c>
      <c r="R214" s="1">
        <v>0</v>
      </c>
      <c r="S214" s="20">
        <v>43525</v>
      </c>
      <c r="T214" s="1">
        <v>2599</v>
      </c>
      <c r="U214" s="9">
        <v>1089</v>
      </c>
      <c r="V214" s="9" t="s">
        <v>21</v>
      </c>
    </row>
    <row r="215" spans="1:22" x14ac:dyDescent="0.25">
      <c r="A215" s="10" t="s">
        <v>0</v>
      </c>
      <c r="B215" t="b">
        <v>0</v>
      </c>
      <c r="C215" t="b">
        <v>0</v>
      </c>
      <c r="D215" s="1">
        <v>3070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f t="shared" si="11"/>
        <v>3070</v>
      </c>
      <c r="K215" s="1">
        <v>715</v>
      </c>
      <c r="L215" s="1">
        <v>0</v>
      </c>
      <c r="M215" s="1">
        <v>143</v>
      </c>
      <c r="N215" s="1">
        <f t="shared" si="10"/>
        <v>858</v>
      </c>
      <c r="O215" s="14">
        <v>499</v>
      </c>
      <c r="P215" s="17">
        <f t="shared" si="12"/>
        <v>3928</v>
      </c>
      <c r="Q215" s="1">
        <v>0</v>
      </c>
      <c r="R215" s="1">
        <v>0</v>
      </c>
      <c r="S215" s="20">
        <v>43556</v>
      </c>
      <c r="T215" s="1">
        <v>4427</v>
      </c>
      <c r="U215" s="9">
        <v>3070</v>
      </c>
      <c r="V215" s="9" t="s">
        <v>21</v>
      </c>
    </row>
    <row r="216" spans="1:22" x14ac:dyDescent="0.25">
      <c r="A216" s="10" t="s">
        <v>0</v>
      </c>
      <c r="B216" t="b">
        <v>0</v>
      </c>
      <c r="C216" t="b">
        <v>0</v>
      </c>
      <c r="D216" s="1">
        <v>2133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f t="shared" si="11"/>
        <v>2133</v>
      </c>
      <c r="K216" s="1">
        <v>948</v>
      </c>
      <c r="L216" s="1">
        <v>0</v>
      </c>
      <c r="M216" s="1">
        <v>86</v>
      </c>
      <c r="N216" s="1">
        <f t="shared" si="10"/>
        <v>1034</v>
      </c>
      <c r="O216" s="14">
        <v>319</v>
      </c>
      <c r="P216" s="17">
        <f t="shared" si="12"/>
        <v>3167</v>
      </c>
      <c r="Q216" s="1">
        <v>0</v>
      </c>
      <c r="R216" s="1">
        <v>0</v>
      </c>
      <c r="S216" s="20">
        <v>43586</v>
      </c>
      <c r="T216" s="1">
        <v>3486</v>
      </c>
      <c r="U216" s="9">
        <v>2133</v>
      </c>
      <c r="V216" s="9" t="s">
        <v>21</v>
      </c>
    </row>
    <row r="217" spans="1:22" x14ac:dyDescent="0.25">
      <c r="A217" s="10" t="s">
        <v>0</v>
      </c>
      <c r="B217" t="b">
        <v>0</v>
      </c>
      <c r="C217" t="b">
        <v>0</v>
      </c>
      <c r="D217" s="1">
        <v>3160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f t="shared" si="11"/>
        <v>3160</v>
      </c>
      <c r="K217" s="1">
        <v>1775</v>
      </c>
      <c r="L217" s="1">
        <v>0</v>
      </c>
      <c r="M217" s="1">
        <v>358</v>
      </c>
      <c r="N217" s="1">
        <f t="shared" si="10"/>
        <v>2133</v>
      </c>
      <c r="O217" s="14">
        <v>265</v>
      </c>
      <c r="P217" s="17">
        <f t="shared" si="12"/>
        <v>5293</v>
      </c>
      <c r="Q217" s="1">
        <v>0</v>
      </c>
      <c r="R217" s="1">
        <v>0</v>
      </c>
      <c r="S217" s="20">
        <v>43617</v>
      </c>
      <c r="T217" s="1">
        <v>5558</v>
      </c>
      <c r="U217" s="9">
        <v>3160</v>
      </c>
      <c r="V217" s="9" t="s">
        <v>21</v>
      </c>
    </row>
    <row r="218" spans="1:22" x14ac:dyDescent="0.25">
      <c r="A218" s="10" t="s">
        <v>0</v>
      </c>
      <c r="B218" t="b">
        <v>0</v>
      </c>
      <c r="C218" t="b">
        <v>0</v>
      </c>
      <c r="D218" s="1">
        <v>3863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f t="shared" si="11"/>
        <v>3863</v>
      </c>
      <c r="K218" s="1">
        <v>950</v>
      </c>
      <c r="L218" s="1">
        <v>0</v>
      </c>
      <c r="M218" s="1">
        <v>187</v>
      </c>
      <c r="N218" s="1">
        <f t="shared" si="10"/>
        <v>1137</v>
      </c>
      <c r="O218" s="14">
        <v>313</v>
      </c>
      <c r="P218" s="17">
        <f t="shared" si="12"/>
        <v>5000</v>
      </c>
      <c r="Q218" s="1">
        <v>0</v>
      </c>
      <c r="R218" s="1">
        <v>0</v>
      </c>
      <c r="S218" s="20">
        <v>43647</v>
      </c>
      <c r="T218" s="1">
        <v>5313</v>
      </c>
      <c r="U218" s="9">
        <v>3863</v>
      </c>
      <c r="V218" s="9" t="s">
        <v>21</v>
      </c>
    </row>
    <row r="219" spans="1:22" x14ac:dyDescent="0.25">
      <c r="A219" s="10" t="s">
        <v>0</v>
      </c>
      <c r="B219" t="b">
        <v>0</v>
      </c>
      <c r="C219" t="b">
        <v>0</v>
      </c>
      <c r="D219" s="1">
        <v>4202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f t="shared" si="11"/>
        <v>4202</v>
      </c>
      <c r="K219" s="1">
        <v>1546</v>
      </c>
      <c r="L219" s="1">
        <v>0</v>
      </c>
      <c r="M219" s="1">
        <v>172</v>
      </c>
      <c r="N219" s="1">
        <f t="shared" si="10"/>
        <v>1718</v>
      </c>
      <c r="O219" s="14">
        <v>426</v>
      </c>
      <c r="P219" s="17">
        <f t="shared" si="12"/>
        <v>5920</v>
      </c>
      <c r="Q219" s="1">
        <v>0</v>
      </c>
      <c r="R219" s="1">
        <v>0</v>
      </c>
      <c r="S219" s="20">
        <v>43678</v>
      </c>
      <c r="T219" s="1">
        <v>6346</v>
      </c>
      <c r="U219" s="9">
        <v>4202</v>
      </c>
      <c r="V219" s="9" t="s">
        <v>21</v>
      </c>
    </row>
    <row r="220" spans="1:22" x14ac:dyDescent="0.25">
      <c r="A220" s="10" t="s">
        <v>0</v>
      </c>
      <c r="B220" t="b">
        <v>0</v>
      </c>
      <c r="C220" t="b">
        <v>0</v>
      </c>
      <c r="D220" s="1">
        <v>4138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f t="shared" si="11"/>
        <v>4138</v>
      </c>
      <c r="K220" s="1">
        <v>1159</v>
      </c>
      <c r="L220" s="1">
        <v>0</v>
      </c>
      <c r="M220" s="1">
        <v>229</v>
      </c>
      <c r="N220" s="1">
        <f t="shared" si="10"/>
        <v>1388</v>
      </c>
      <c r="O220" s="14">
        <v>582</v>
      </c>
      <c r="P220" s="17">
        <f t="shared" si="12"/>
        <v>5526</v>
      </c>
      <c r="Q220" s="1">
        <v>0</v>
      </c>
      <c r="R220" s="1">
        <v>0</v>
      </c>
      <c r="S220" s="20">
        <v>43709</v>
      </c>
      <c r="T220" s="1">
        <v>6108</v>
      </c>
      <c r="U220" s="9">
        <v>4138</v>
      </c>
      <c r="V220" s="9" t="s">
        <v>21</v>
      </c>
    </row>
    <row r="221" spans="1:22" x14ac:dyDescent="0.25">
      <c r="A221" s="10" t="s">
        <v>0</v>
      </c>
      <c r="B221" t="b">
        <v>0</v>
      </c>
      <c r="C221" t="b">
        <v>0</v>
      </c>
      <c r="D221" s="1">
        <v>2648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f t="shared" si="11"/>
        <v>2648</v>
      </c>
      <c r="K221" s="1">
        <v>660</v>
      </c>
      <c r="L221" s="1">
        <v>0</v>
      </c>
      <c r="M221" s="1">
        <v>30</v>
      </c>
      <c r="N221" s="1">
        <f t="shared" si="10"/>
        <v>690</v>
      </c>
      <c r="O221" s="14">
        <v>691</v>
      </c>
      <c r="P221" s="17">
        <f t="shared" si="12"/>
        <v>3338</v>
      </c>
      <c r="Q221" s="1">
        <v>0</v>
      </c>
      <c r="R221" s="1">
        <v>0</v>
      </c>
      <c r="S221" s="20">
        <v>43739</v>
      </c>
      <c r="T221" s="1">
        <v>4029</v>
      </c>
      <c r="U221" s="9">
        <v>2648</v>
      </c>
      <c r="V221" s="9" t="s">
        <v>21</v>
      </c>
    </row>
    <row r="222" spans="1:22" x14ac:dyDescent="0.25">
      <c r="A222" s="10" t="s">
        <v>0</v>
      </c>
      <c r="B222" t="b">
        <v>0</v>
      </c>
      <c r="C222" t="b">
        <v>0</v>
      </c>
      <c r="D222" s="1">
        <v>2140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f t="shared" si="11"/>
        <v>2140</v>
      </c>
      <c r="K222" s="1">
        <v>405</v>
      </c>
      <c r="L222" s="1">
        <v>0</v>
      </c>
      <c r="M222" s="1">
        <v>105</v>
      </c>
      <c r="N222" s="1">
        <f t="shared" ref="N222:N264" si="13">K222+L222+M222</f>
        <v>510</v>
      </c>
      <c r="O222" s="14">
        <v>686</v>
      </c>
      <c r="P222" s="17">
        <f t="shared" si="12"/>
        <v>2650</v>
      </c>
      <c r="Q222" s="1">
        <v>0</v>
      </c>
      <c r="R222" s="1">
        <v>0</v>
      </c>
      <c r="S222" s="20">
        <v>43770</v>
      </c>
      <c r="T222" s="1">
        <v>3336</v>
      </c>
      <c r="U222" s="9">
        <v>2140</v>
      </c>
      <c r="V222" s="9" t="s">
        <v>21</v>
      </c>
    </row>
    <row r="223" spans="1:22" x14ac:dyDescent="0.25">
      <c r="A223" s="10" t="s">
        <v>0</v>
      </c>
      <c r="B223" t="b">
        <v>0</v>
      </c>
      <c r="C223" t="b">
        <v>0</v>
      </c>
      <c r="D223" s="1">
        <v>792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f t="shared" si="11"/>
        <v>792</v>
      </c>
      <c r="K223" s="1">
        <v>327</v>
      </c>
      <c r="L223" s="1">
        <v>0</v>
      </c>
      <c r="M223" s="1">
        <v>0</v>
      </c>
      <c r="N223" s="1">
        <f t="shared" si="13"/>
        <v>327</v>
      </c>
      <c r="O223" s="14">
        <v>281</v>
      </c>
      <c r="P223" s="17">
        <f t="shared" si="12"/>
        <v>1119</v>
      </c>
      <c r="Q223" s="1">
        <v>0</v>
      </c>
      <c r="R223" s="1">
        <v>0</v>
      </c>
      <c r="S223" s="20">
        <v>43800</v>
      </c>
      <c r="T223" s="1">
        <v>1400</v>
      </c>
      <c r="U223" s="9">
        <v>792</v>
      </c>
      <c r="V223" s="9" t="s">
        <v>21</v>
      </c>
    </row>
    <row r="224" spans="1:22" x14ac:dyDescent="0.25">
      <c r="A224" s="10" t="s">
        <v>0</v>
      </c>
      <c r="B224" t="b">
        <v>0</v>
      </c>
      <c r="C224" t="b">
        <v>0</v>
      </c>
      <c r="D224" s="1">
        <v>1186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f t="shared" si="11"/>
        <v>1186</v>
      </c>
      <c r="K224" s="1">
        <v>325</v>
      </c>
      <c r="L224" s="1">
        <v>0</v>
      </c>
      <c r="M224" s="1">
        <v>0</v>
      </c>
      <c r="N224" s="1">
        <f t="shared" si="13"/>
        <v>325</v>
      </c>
      <c r="O224" s="14">
        <v>229</v>
      </c>
      <c r="P224" s="17">
        <f t="shared" si="12"/>
        <v>1511</v>
      </c>
      <c r="Q224" s="1">
        <v>0</v>
      </c>
      <c r="R224" s="1">
        <v>0</v>
      </c>
      <c r="S224" s="20">
        <v>43831</v>
      </c>
      <c r="T224" s="1">
        <v>1740</v>
      </c>
      <c r="U224" s="9">
        <v>1186</v>
      </c>
      <c r="V224" s="9" t="s">
        <v>21</v>
      </c>
    </row>
    <row r="225" spans="1:22" x14ac:dyDescent="0.25">
      <c r="A225" s="10" t="s">
        <v>0</v>
      </c>
      <c r="B225" t="b">
        <v>0</v>
      </c>
      <c r="C225" t="b">
        <v>0</v>
      </c>
      <c r="D225" s="1">
        <v>1338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f t="shared" si="11"/>
        <v>1338</v>
      </c>
      <c r="K225" s="1">
        <v>286</v>
      </c>
      <c r="L225" s="1">
        <v>0</v>
      </c>
      <c r="M225" s="1">
        <v>30</v>
      </c>
      <c r="N225" s="1">
        <f t="shared" si="13"/>
        <v>316</v>
      </c>
      <c r="O225" s="14">
        <v>359</v>
      </c>
      <c r="P225" s="17">
        <f t="shared" si="12"/>
        <v>1654</v>
      </c>
      <c r="Q225" s="1">
        <v>0</v>
      </c>
      <c r="R225" s="1">
        <v>0</v>
      </c>
      <c r="S225" s="20">
        <v>43862</v>
      </c>
      <c r="T225" s="1">
        <v>2013</v>
      </c>
      <c r="U225" s="9">
        <v>1338</v>
      </c>
      <c r="V225" s="9" t="s">
        <v>21</v>
      </c>
    </row>
    <row r="226" spans="1:22" x14ac:dyDescent="0.25">
      <c r="A226" s="10" t="s">
        <v>0</v>
      </c>
      <c r="B226" t="b">
        <v>0</v>
      </c>
      <c r="C226" t="b">
        <v>0</v>
      </c>
      <c r="D226" s="1">
        <v>1964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f t="shared" si="11"/>
        <v>1964</v>
      </c>
      <c r="K226" s="1">
        <v>339</v>
      </c>
      <c r="L226" s="1">
        <v>0</v>
      </c>
      <c r="M226" s="1">
        <v>0</v>
      </c>
      <c r="N226" s="1">
        <f t="shared" si="13"/>
        <v>339</v>
      </c>
      <c r="O226" s="14">
        <v>490</v>
      </c>
      <c r="P226" s="17">
        <f t="shared" si="12"/>
        <v>2303</v>
      </c>
      <c r="Q226" s="1">
        <v>0</v>
      </c>
      <c r="R226" s="1">
        <v>0</v>
      </c>
      <c r="S226" s="20">
        <v>43891</v>
      </c>
      <c r="T226" s="1">
        <v>2793</v>
      </c>
      <c r="U226" s="9">
        <v>1964</v>
      </c>
      <c r="V226" s="9" t="s">
        <v>21</v>
      </c>
    </row>
    <row r="227" spans="1:22" x14ac:dyDescent="0.25">
      <c r="A227" s="10" t="s">
        <v>0</v>
      </c>
      <c r="B227" t="b">
        <v>0</v>
      </c>
      <c r="C227" t="b">
        <v>0</v>
      </c>
      <c r="D227" s="1">
        <v>11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f t="shared" si="11"/>
        <v>11</v>
      </c>
      <c r="K227" s="1">
        <v>0</v>
      </c>
      <c r="L227" s="1">
        <v>0</v>
      </c>
      <c r="M227" s="1">
        <v>0</v>
      </c>
      <c r="N227" s="1">
        <f t="shared" si="13"/>
        <v>0</v>
      </c>
      <c r="O227" s="14">
        <v>2</v>
      </c>
      <c r="P227" s="17">
        <f t="shared" si="12"/>
        <v>11</v>
      </c>
      <c r="Q227" s="1">
        <v>0</v>
      </c>
      <c r="R227" s="1">
        <v>0</v>
      </c>
      <c r="S227" s="20">
        <v>43922</v>
      </c>
      <c r="T227" s="1">
        <v>13</v>
      </c>
      <c r="U227" s="9">
        <v>11</v>
      </c>
      <c r="V227" s="9" t="s">
        <v>21</v>
      </c>
    </row>
    <row r="228" spans="1:22" x14ac:dyDescent="0.25">
      <c r="A228" s="10" t="s">
        <v>0</v>
      </c>
      <c r="B228" t="b">
        <v>0</v>
      </c>
      <c r="C228" t="b">
        <v>0</v>
      </c>
      <c r="D228" s="1">
        <v>288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f t="shared" si="11"/>
        <v>288</v>
      </c>
      <c r="K228" s="1">
        <v>0</v>
      </c>
      <c r="L228" s="1">
        <v>0</v>
      </c>
      <c r="M228" s="1">
        <v>0</v>
      </c>
      <c r="N228" s="1">
        <f t="shared" si="13"/>
        <v>0</v>
      </c>
      <c r="O228" s="14">
        <v>12</v>
      </c>
      <c r="P228" s="17">
        <f t="shared" si="12"/>
        <v>288</v>
      </c>
      <c r="Q228" s="1">
        <v>0</v>
      </c>
      <c r="R228" s="1">
        <v>0</v>
      </c>
      <c r="S228" s="20">
        <v>43952</v>
      </c>
      <c r="T228" s="1">
        <v>300</v>
      </c>
      <c r="U228" s="9">
        <v>288</v>
      </c>
      <c r="V228" s="9" t="s">
        <v>21</v>
      </c>
    </row>
    <row r="229" spans="1:22" x14ac:dyDescent="0.25">
      <c r="A229" s="10" t="s">
        <v>0</v>
      </c>
      <c r="B229" t="b">
        <v>0</v>
      </c>
      <c r="C229" t="b">
        <v>0</v>
      </c>
      <c r="D229" s="1">
        <v>5690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f t="shared" si="11"/>
        <v>5690</v>
      </c>
      <c r="K229" s="1">
        <v>70</v>
      </c>
      <c r="L229" s="1">
        <v>0</v>
      </c>
      <c r="M229" s="1">
        <v>0</v>
      </c>
      <c r="N229" s="1">
        <f t="shared" si="13"/>
        <v>70</v>
      </c>
      <c r="O229" s="14">
        <v>285</v>
      </c>
      <c r="P229" s="17">
        <f t="shared" si="12"/>
        <v>5760</v>
      </c>
      <c r="Q229" s="1">
        <v>0</v>
      </c>
      <c r="R229" s="1">
        <v>0</v>
      </c>
      <c r="S229" s="20">
        <v>43983</v>
      </c>
      <c r="T229" s="1">
        <v>6045</v>
      </c>
      <c r="U229" s="9">
        <v>5690</v>
      </c>
      <c r="V229" s="9" t="s">
        <v>21</v>
      </c>
    </row>
    <row r="230" spans="1:22" x14ac:dyDescent="0.25">
      <c r="A230" s="10" t="s">
        <v>0</v>
      </c>
      <c r="B230" t="b">
        <v>0</v>
      </c>
      <c r="C230" t="b">
        <v>0</v>
      </c>
      <c r="D230" s="1">
        <v>5836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f t="shared" si="11"/>
        <v>5836</v>
      </c>
      <c r="K230" s="1">
        <v>526</v>
      </c>
      <c r="L230" s="1">
        <v>0</v>
      </c>
      <c r="M230" s="1">
        <v>0</v>
      </c>
      <c r="N230" s="1">
        <f t="shared" si="13"/>
        <v>526</v>
      </c>
      <c r="O230" s="14">
        <v>508</v>
      </c>
      <c r="P230" s="17">
        <f t="shared" si="12"/>
        <v>6362</v>
      </c>
      <c r="Q230" s="1">
        <v>0</v>
      </c>
      <c r="R230" s="1">
        <v>0</v>
      </c>
      <c r="S230" s="20">
        <v>44013</v>
      </c>
      <c r="T230" s="1">
        <v>6870</v>
      </c>
      <c r="U230" s="9">
        <v>5836</v>
      </c>
      <c r="V230" s="9" t="s">
        <v>21</v>
      </c>
    </row>
    <row r="231" spans="1:22" x14ac:dyDescent="0.25">
      <c r="A231" s="10" t="s">
        <v>0</v>
      </c>
      <c r="B231" t="b">
        <v>0</v>
      </c>
      <c r="C231" t="b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f t="shared" si="11"/>
        <v>0</v>
      </c>
      <c r="K231" s="1">
        <v>0</v>
      </c>
      <c r="L231" s="1">
        <v>0</v>
      </c>
      <c r="M231" s="1">
        <v>0</v>
      </c>
      <c r="N231" s="1">
        <f t="shared" si="13"/>
        <v>0</v>
      </c>
      <c r="O231" s="14">
        <v>0</v>
      </c>
      <c r="P231" s="17">
        <f t="shared" si="12"/>
        <v>0</v>
      </c>
      <c r="Q231" s="1">
        <v>0</v>
      </c>
      <c r="R231" s="1">
        <v>0</v>
      </c>
      <c r="S231" s="20">
        <v>44013</v>
      </c>
      <c r="T231" s="1">
        <v>0</v>
      </c>
      <c r="U231" s="9">
        <v>0</v>
      </c>
      <c r="V231" s="9" t="s">
        <v>21</v>
      </c>
    </row>
    <row r="232" spans="1:22" x14ac:dyDescent="0.25">
      <c r="A232" s="10" t="s">
        <v>0</v>
      </c>
      <c r="B232" t="b">
        <v>0</v>
      </c>
      <c r="C232" t="b">
        <v>0</v>
      </c>
      <c r="D232" s="1">
        <v>6595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f t="shared" si="11"/>
        <v>6595</v>
      </c>
      <c r="K232" s="1">
        <v>535</v>
      </c>
      <c r="L232" s="1">
        <v>0</v>
      </c>
      <c r="M232" s="1">
        <v>0</v>
      </c>
      <c r="N232" s="1">
        <f t="shared" si="13"/>
        <v>535</v>
      </c>
      <c r="O232" s="14">
        <v>751</v>
      </c>
      <c r="P232" s="17">
        <f t="shared" si="12"/>
        <v>7130</v>
      </c>
      <c r="Q232" s="1">
        <v>0</v>
      </c>
      <c r="R232" s="1">
        <v>0</v>
      </c>
      <c r="S232" s="20">
        <v>44044</v>
      </c>
      <c r="T232" s="1">
        <v>7881</v>
      </c>
      <c r="U232" s="9">
        <v>6595</v>
      </c>
      <c r="V232" s="9" t="s">
        <v>21</v>
      </c>
    </row>
    <row r="233" spans="1:22" x14ac:dyDescent="0.25">
      <c r="A233" s="10" t="s">
        <v>0</v>
      </c>
      <c r="B233" t="b">
        <v>0</v>
      </c>
      <c r="C233" t="b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f t="shared" si="11"/>
        <v>0</v>
      </c>
      <c r="K233" s="1">
        <v>0</v>
      </c>
      <c r="L233" s="1">
        <v>0</v>
      </c>
      <c r="M233" s="1">
        <v>0</v>
      </c>
      <c r="N233" s="1">
        <f t="shared" si="13"/>
        <v>0</v>
      </c>
      <c r="O233" s="14">
        <v>0</v>
      </c>
      <c r="P233" s="17">
        <f t="shared" si="12"/>
        <v>0</v>
      </c>
      <c r="Q233" s="1">
        <v>0</v>
      </c>
      <c r="R233" s="1">
        <v>0</v>
      </c>
      <c r="S233" s="20">
        <v>44044</v>
      </c>
      <c r="T233" s="1">
        <v>0</v>
      </c>
      <c r="U233" s="9">
        <v>0</v>
      </c>
      <c r="V233" s="9" t="s">
        <v>21</v>
      </c>
    </row>
    <row r="234" spans="1:22" x14ac:dyDescent="0.25">
      <c r="A234" s="10" t="s">
        <v>0</v>
      </c>
      <c r="B234" t="b">
        <v>0</v>
      </c>
      <c r="C234" t="b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f t="shared" si="11"/>
        <v>0</v>
      </c>
      <c r="K234" s="1">
        <v>0</v>
      </c>
      <c r="L234" s="1">
        <v>0</v>
      </c>
      <c r="M234" s="1">
        <v>0</v>
      </c>
      <c r="N234" s="1">
        <f t="shared" si="13"/>
        <v>0</v>
      </c>
      <c r="O234" s="14">
        <v>0</v>
      </c>
      <c r="P234" s="17">
        <f t="shared" si="12"/>
        <v>0</v>
      </c>
      <c r="Q234" s="1">
        <v>0</v>
      </c>
      <c r="R234" s="1">
        <v>0</v>
      </c>
      <c r="S234" s="20">
        <v>44075</v>
      </c>
      <c r="T234" s="1">
        <v>0</v>
      </c>
      <c r="U234" s="9">
        <v>0</v>
      </c>
      <c r="V234" s="9" t="s">
        <v>21</v>
      </c>
    </row>
    <row r="235" spans="1:22" x14ac:dyDescent="0.25">
      <c r="A235" s="10" t="s">
        <v>0</v>
      </c>
      <c r="B235" t="b">
        <v>0</v>
      </c>
      <c r="C235" t="b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f t="shared" si="11"/>
        <v>0</v>
      </c>
      <c r="K235" s="1">
        <v>0</v>
      </c>
      <c r="L235" s="1">
        <v>0</v>
      </c>
      <c r="M235" s="1">
        <v>0</v>
      </c>
      <c r="N235" s="1">
        <f t="shared" si="13"/>
        <v>0</v>
      </c>
      <c r="O235" s="14">
        <v>0</v>
      </c>
      <c r="P235" s="17">
        <f t="shared" si="12"/>
        <v>0</v>
      </c>
      <c r="Q235" s="1">
        <v>0</v>
      </c>
      <c r="R235" s="1">
        <v>0</v>
      </c>
      <c r="S235" s="20">
        <v>44105</v>
      </c>
      <c r="T235" s="1">
        <v>0</v>
      </c>
      <c r="U235" s="9">
        <v>0</v>
      </c>
      <c r="V235" s="9" t="s">
        <v>21</v>
      </c>
    </row>
    <row r="236" spans="1:22" x14ac:dyDescent="0.25">
      <c r="A236" s="10" t="s">
        <v>0</v>
      </c>
      <c r="B236" t="b">
        <v>0</v>
      </c>
      <c r="C236" t="b">
        <v>0</v>
      </c>
      <c r="D236" s="1">
        <v>4753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f t="shared" si="11"/>
        <v>4753</v>
      </c>
      <c r="K236" s="1">
        <v>594</v>
      </c>
      <c r="L236" s="1">
        <v>0</v>
      </c>
      <c r="M236" s="1">
        <v>0</v>
      </c>
      <c r="N236" s="1">
        <f t="shared" si="13"/>
        <v>594</v>
      </c>
      <c r="O236" s="14">
        <v>1502</v>
      </c>
      <c r="P236" s="17">
        <f t="shared" si="12"/>
        <v>5347</v>
      </c>
      <c r="Q236" s="1">
        <v>0</v>
      </c>
      <c r="R236" s="1">
        <v>0</v>
      </c>
      <c r="S236" s="20">
        <v>44136</v>
      </c>
      <c r="T236" s="1">
        <v>6849</v>
      </c>
      <c r="U236" s="9">
        <v>4753</v>
      </c>
      <c r="V236" s="9" t="s">
        <v>21</v>
      </c>
    </row>
    <row r="237" spans="1:22" x14ac:dyDescent="0.25">
      <c r="A237" s="10" t="s">
        <v>0</v>
      </c>
      <c r="B237" t="b">
        <v>0</v>
      </c>
      <c r="C237" t="b">
        <v>0</v>
      </c>
      <c r="D237" s="1">
        <v>2346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f t="shared" si="11"/>
        <v>2346</v>
      </c>
      <c r="K237" s="1">
        <v>78</v>
      </c>
      <c r="L237" s="1">
        <v>0</v>
      </c>
      <c r="M237" s="1">
        <v>0</v>
      </c>
      <c r="N237" s="1">
        <f t="shared" si="13"/>
        <v>78</v>
      </c>
      <c r="O237" s="14">
        <v>592</v>
      </c>
      <c r="P237" s="17">
        <f t="shared" si="12"/>
        <v>2424</v>
      </c>
      <c r="Q237" s="1">
        <v>0</v>
      </c>
      <c r="R237" s="1">
        <v>0</v>
      </c>
      <c r="S237" s="20">
        <v>44166</v>
      </c>
      <c r="T237" s="1">
        <v>3016</v>
      </c>
      <c r="U237" s="9">
        <v>2346</v>
      </c>
      <c r="V237" s="9" t="s">
        <v>21</v>
      </c>
    </row>
    <row r="238" spans="1:22" x14ac:dyDescent="0.25">
      <c r="A238" s="10" t="s">
        <v>18</v>
      </c>
      <c r="B238" t="b">
        <v>0</v>
      </c>
      <c r="C238" t="b">
        <v>0</v>
      </c>
      <c r="D238" s="1">
        <v>0</v>
      </c>
      <c r="E238" s="1">
        <v>0</v>
      </c>
      <c r="F238" s="1">
        <v>0</v>
      </c>
      <c r="G238" s="1">
        <v>964</v>
      </c>
      <c r="H238" s="1">
        <v>0</v>
      </c>
      <c r="I238" s="1">
        <v>0</v>
      </c>
      <c r="J238" s="1">
        <f>D238+E238+F238+G238+H238+I238</f>
        <v>964</v>
      </c>
      <c r="K238" s="1">
        <v>0</v>
      </c>
      <c r="L238" s="1">
        <v>0</v>
      </c>
      <c r="M238" s="1">
        <v>0</v>
      </c>
      <c r="N238" s="1">
        <f t="shared" si="13"/>
        <v>0</v>
      </c>
      <c r="O238" s="14">
        <f>J238</f>
        <v>964</v>
      </c>
      <c r="P238" s="17"/>
      <c r="Q238" s="1">
        <v>0</v>
      </c>
      <c r="R238" s="1">
        <v>0</v>
      </c>
      <c r="S238" s="20">
        <v>37073</v>
      </c>
      <c r="T238" s="1">
        <v>964</v>
      </c>
      <c r="U238" s="9">
        <v>964</v>
      </c>
      <c r="V238" s="9" t="s">
        <v>46</v>
      </c>
    </row>
    <row r="239" spans="1:22" x14ac:dyDescent="0.25">
      <c r="A239" s="10" t="s">
        <v>18</v>
      </c>
      <c r="B239" t="b">
        <v>0</v>
      </c>
      <c r="C239" t="b">
        <v>0</v>
      </c>
      <c r="D239" s="1">
        <v>0</v>
      </c>
      <c r="E239" s="1">
        <v>0</v>
      </c>
      <c r="F239" s="1">
        <v>0</v>
      </c>
      <c r="G239" s="1">
        <v>1067</v>
      </c>
      <c r="H239" s="1">
        <v>0</v>
      </c>
      <c r="I239" s="1">
        <v>0</v>
      </c>
      <c r="J239" s="1">
        <f t="shared" ref="J239:J302" si="14">D239+E239+F239+G239+H239+I239</f>
        <v>1067</v>
      </c>
      <c r="K239" s="1">
        <v>0</v>
      </c>
      <c r="L239" s="1">
        <v>0</v>
      </c>
      <c r="M239" s="1">
        <v>0</v>
      </c>
      <c r="N239" s="1">
        <f t="shared" si="13"/>
        <v>0</v>
      </c>
      <c r="O239" s="14">
        <f t="shared" ref="O239:O302" si="15">J239</f>
        <v>1067</v>
      </c>
      <c r="P239" s="17"/>
      <c r="Q239" s="1">
        <v>0</v>
      </c>
      <c r="R239" s="1">
        <v>0</v>
      </c>
      <c r="S239" s="20">
        <v>37104</v>
      </c>
      <c r="T239" s="1">
        <v>1067</v>
      </c>
      <c r="U239" s="9">
        <v>1067</v>
      </c>
      <c r="V239" s="9" t="s">
        <v>46</v>
      </c>
    </row>
    <row r="240" spans="1:22" x14ac:dyDescent="0.25">
      <c r="A240" s="10" t="s">
        <v>18</v>
      </c>
      <c r="B240" t="b">
        <v>0</v>
      </c>
      <c r="C240" t="b">
        <v>0</v>
      </c>
      <c r="D240" s="1">
        <v>0</v>
      </c>
      <c r="E240" s="1">
        <v>0</v>
      </c>
      <c r="F240" s="1">
        <v>0</v>
      </c>
      <c r="G240" s="1">
        <v>1127</v>
      </c>
      <c r="H240" s="1">
        <v>0</v>
      </c>
      <c r="I240" s="1">
        <v>0</v>
      </c>
      <c r="J240" s="1">
        <f t="shared" si="14"/>
        <v>1127</v>
      </c>
      <c r="K240" s="1">
        <v>0</v>
      </c>
      <c r="L240" s="1">
        <v>0</v>
      </c>
      <c r="M240" s="1">
        <v>0</v>
      </c>
      <c r="N240" s="1">
        <f t="shared" si="13"/>
        <v>0</v>
      </c>
      <c r="O240" s="14">
        <f t="shared" si="15"/>
        <v>1127</v>
      </c>
      <c r="P240" s="17"/>
      <c r="Q240" s="1">
        <v>0</v>
      </c>
      <c r="R240" s="1">
        <v>0</v>
      </c>
      <c r="S240" s="20">
        <v>37135</v>
      </c>
      <c r="T240" s="1">
        <v>1127</v>
      </c>
      <c r="U240" s="9">
        <v>1127</v>
      </c>
      <c r="V240" s="9" t="s">
        <v>46</v>
      </c>
    </row>
    <row r="241" spans="1:22" x14ac:dyDescent="0.25">
      <c r="A241" s="10" t="s">
        <v>18</v>
      </c>
      <c r="B241" t="b">
        <v>0</v>
      </c>
      <c r="C241" t="b">
        <v>0</v>
      </c>
      <c r="D241" s="1">
        <v>0</v>
      </c>
      <c r="E241" s="1">
        <v>0</v>
      </c>
      <c r="F241" s="1">
        <v>0</v>
      </c>
      <c r="G241" s="1">
        <v>864</v>
      </c>
      <c r="H241" s="1">
        <v>0</v>
      </c>
      <c r="I241" s="1">
        <v>0</v>
      </c>
      <c r="J241" s="1">
        <f t="shared" si="14"/>
        <v>864</v>
      </c>
      <c r="K241" s="1">
        <v>0</v>
      </c>
      <c r="L241" s="1">
        <v>0</v>
      </c>
      <c r="M241" s="1">
        <v>0</v>
      </c>
      <c r="N241" s="1">
        <f t="shared" si="13"/>
        <v>0</v>
      </c>
      <c r="O241" s="14">
        <f t="shared" si="15"/>
        <v>864</v>
      </c>
      <c r="P241" s="17"/>
      <c r="Q241" s="1">
        <v>0</v>
      </c>
      <c r="R241" s="1">
        <v>0</v>
      </c>
      <c r="S241" s="20">
        <v>37165</v>
      </c>
      <c r="T241" s="1">
        <v>864</v>
      </c>
      <c r="U241" s="9">
        <v>864</v>
      </c>
      <c r="V241" s="9" t="s">
        <v>46</v>
      </c>
    </row>
    <row r="242" spans="1:22" x14ac:dyDescent="0.25">
      <c r="A242" s="10" t="s">
        <v>18</v>
      </c>
      <c r="B242" t="b">
        <v>0</v>
      </c>
      <c r="C242" t="b">
        <v>0</v>
      </c>
      <c r="D242" s="1">
        <v>0</v>
      </c>
      <c r="E242" s="1">
        <v>0</v>
      </c>
      <c r="F242" s="1">
        <v>0</v>
      </c>
      <c r="G242" s="1">
        <v>1265</v>
      </c>
      <c r="H242" s="1">
        <v>0</v>
      </c>
      <c r="I242" s="1">
        <v>0</v>
      </c>
      <c r="J242" s="1">
        <f t="shared" si="14"/>
        <v>1265</v>
      </c>
      <c r="K242" s="1">
        <v>0</v>
      </c>
      <c r="L242" s="1">
        <v>0</v>
      </c>
      <c r="M242" s="1">
        <v>0</v>
      </c>
      <c r="N242" s="1">
        <f t="shared" si="13"/>
        <v>0</v>
      </c>
      <c r="O242" s="14">
        <f t="shared" si="15"/>
        <v>1265</v>
      </c>
      <c r="P242" s="17"/>
      <c r="Q242" s="1">
        <v>0</v>
      </c>
      <c r="R242" s="1">
        <v>0</v>
      </c>
      <c r="S242" s="20">
        <v>37196</v>
      </c>
      <c r="T242" s="1">
        <v>1265</v>
      </c>
      <c r="U242" s="9">
        <v>1265</v>
      </c>
      <c r="V242" s="9" t="s">
        <v>46</v>
      </c>
    </row>
    <row r="243" spans="1:22" x14ac:dyDescent="0.25">
      <c r="A243" s="10" t="s">
        <v>18</v>
      </c>
      <c r="B243" t="b">
        <v>0</v>
      </c>
      <c r="C243" t="b">
        <v>0</v>
      </c>
      <c r="D243" s="1">
        <v>0</v>
      </c>
      <c r="E243" s="1">
        <v>0</v>
      </c>
      <c r="F243" s="1">
        <v>0</v>
      </c>
      <c r="G243" s="1">
        <v>477</v>
      </c>
      <c r="H243" s="1">
        <v>0</v>
      </c>
      <c r="I243" s="1">
        <v>0</v>
      </c>
      <c r="J243" s="1">
        <f t="shared" si="14"/>
        <v>477</v>
      </c>
      <c r="K243" s="1">
        <v>0</v>
      </c>
      <c r="L243" s="1">
        <v>0</v>
      </c>
      <c r="M243" s="1">
        <v>0</v>
      </c>
      <c r="N243" s="1">
        <f t="shared" si="13"/>
        <v>0</v>
      </c>
      <c r="O243" s="14">
        <f t="shared" si="15"/>
        <v>477</v>
      </c>
      <c r="P243" s="17"/>
      <c r="Q243" s="1">
        <v>0</v>
      </c>
      <c r="R243" s="1">
        <v>0</v>
      </c>
      <c r="S243" s="20">
        <v>37226</v>
      </c>
      <c r="T243" s="1">
        <v>477</v>
      </c>
      <c r="U243" s="9">
        <v>477</v>
      </c>
      <c r="V243" s="9" t="s">
        <v>46</v>
      </c>
    </row>
    <row r="244" spans="1:22" x14ac:dyDescent="0.25">
      <c r="A244" s="10" t="s">
        <v>18</v>
      </c>
      <c r="B244" t="b">
        <v>0</v>
      </c>
      <c r="C244" t="b">
        <v>0</v>
      </c>
      <c r="D244" s="1">
        <v>0</v>
      </c>
      <c r="E244" s="1">
        <v>0</v>
      </c>
      <c r="F244" s="1">
        <v>0</v>
      </c>
      <c r="G244" s="1">
        <v>612</v>
      </c>
      <c r="H244" s="1">
        <v>0</v>
      </c>
      <c r="I244" s="1">
        <v>0</v>
      </c>
      <c r="J244" s="1">
        <f t="shared" si="14"/>
        <v>612</v>
      </c>
      <c r="K244" s="1">
        <v>0</v>
      </c>
      <c r="L244" s="1">
        <v>0</v>
      </c>
      <c r="M244" s="1">
        <v>0</v>
      </c>
      <c r="N244" s="1">
        <f t="shared" si="13"/>
        <v>0</v>
      </c>
      <c r="O244" s="14">
        <f t="shared" si="15"/>
        <v>612</v>
      </c>
      <c r="P244" s="17"/>
      <c r="Q244" s="1">
        <v>0</v>
      </c>
      <c r="R244" s="1">
        <v>0</v>
      </c>
      <c r="S244" s="20">
        <v>37257</v>
      </c>
      <c r="T244" s="1">
        <v>612</v>
      </c>
      <c r="U244" s="9">
        <v>612</v>
      </c>
      <c r="V244" s="9" t="s">
        <v>46</v>
      </c>
    </row>
    <row r="245" spans="1:22" x14ac:dyDescent="0.25">
      <c r="A245" s="10" t="s">
        <v>18</v>
      </c>
      <c r="B245" t="b">
        <v>0</v>
      </c>
      <c r="C245" t="b">
        <v>0</v>
      </c>
      <c r="D245" s="1">
        <v>0</v>
      </c>
      <c r="E245" s="1">
        <v>0</v>
      </c>
      <c r="F245" s="1">
        <v>0</v>
      </c>
      <c r="G245" s="1">
        <v>767</v>
      </c>
      <c r="H245" s="1">
        <v>0</v>
      </c>
      <c r="I245" s="1">
        <v>0</v>
      </c>
      <c r="J245" s="1">
        <f t="shared" si="14"/>
        <v>767</v>
      </c>
      <c r="K245" s="1">
        <v>0</v>
      </c>
      <c r="L245" s="1">
        <v>0</v>
      </c>
      <c r="M245" s="1">
        <v>0</v>
      </c>
      <c r="N245" s="1">
        <f t="shared" si="13"/>
        <v>0</v>
      </c>
      <c r="O245" s="14">
        <f t="shared" si="15"/>
        <v>767</v>
      </c>
      <c r="P245" s="17"/>
      <c r="Q245" s="1">
        <v>0</v>
      </c>
      <c r="R245" s="1">
        <v>0</v>
      </c>
      <c r="S245" s="20">
        <v>37288</v>
      </c>
      <c r="T245" s="1">
        <v>767</v>
      </c>
      <c r="U245" s="9">
        <v>767</v>
      </c>
      <c r="V245" s="9" t="s">
        <v>46</v>
      </c>
    </row>
    <row r="246" spans="1:22" x14ac:dyDescent="0.25">
      <c r="A246" s="10" t="s">
        <v>18</v>
      </c>
      <c r="B246" t="b">
        <v>0</v>
      </c>
      <c r="C246" t="b">
        <v>0</v>
      </c>
      <c r="D246" s="1">
        <v>0</v>
      </c>
      <c r="E246" s="1">
        <v>0</v>
      </c>
      <c r="F246" s="1">
        <v>0</v>
      </c>
      <c r="G246" s="1">
        <v>1013</v>
      </c>
      <c r="H246" s="1">
        <v>0</v>
      </c>
      <c r="I246" s="1">
        <v>0</v>
      </c>
      <c r="J246" s="1">
        <f t="shared" si="14"/>
        <v>1013</v>
      </c>
      <c r="K246" s="1">
        <v>0</v>
      </c>
      <c r="L246" s="1">
        <v>0</v>
      </c>
      <c r="M246" s="1">
        <v>0</v>
      </c>
      <c r="N246" s="1">
        <f t="shared" si="13"/>
        <v>0</v>
      </c>
      <c r="O246" s="14">
        <f t="shared" si="15"/>
        <v>1013</v>
      </c>
      <c r="P246" s="17"/>
      <c r="Q246" s="1">
        <v>0</v>
      </c>
      <c r="R246" s="1">
        <v>0</v>
      </c>
      <c r="S246" s="20">
        <v>37316</v>
      </c>
      <c r="T246" s="1">
        <v>1013</v>
      </c>
      <c r="U246" s="9">
        <v>1013</v>
      </c>
      <c r="V246" s="9" t="s">
        <v>46</v>
      </c>
    </row>
    <row r="247" spans="1:22" x14ac:dyDescent="0.25">
      <c r="A247" s="10" t="s">
        <v>18</v>
      </c>
      <c r="B247" t="b">
        <v>0</v>
      </c>
      <c r="C247" t="b">
        <v>0</v>
      </c>
      <c r="D247" s="1">
        <v>0</v>
      </c>
      <c r="E247" s="1">
        <v>0</v>
      </c>
      <c r="F247" s="1">
        <v>0</v>
      </c>
      <c r="G247" s="1">
        <v>0</v>
      </c>
      <c r="H247" s="1">
        <v>972</v>
      </c>
      <c r="I247" s="1">
        <v>0</v>
      </c>
      <c r="J247" s="1">
        <f t="shared" si="14"/>
        <v>972</v>
      </c>
      <c r="K247" s="1">
        <v>0</v>
      </c>
      <c r="L247" s="1">
        <v>0</v>
      </c>
      <c r="M247" s="1">
        <v>0</v>
      </c>
      <c r="N247" s="1">
        <f t="shared" si="13"/>
        <v>0</v>
      </c>
      <c r="O247" s="14">
        <f t="shared" si="15"/>
        <v>972</v>
      </c>
      <c r="P247" s="17"/>
      <c r="Q247" s="1">
        <v>0</v>
      </c>
      <c r="R247" s="1">
        <v>0</v>
      </c>
      <c r="S247" s="20">
        <v>37347</v>
      </c>
      <c r="T247" s="1">
        <v>972</v>
      </c>
      <c r="U247" s="9">
        <v>972</v>
      </c>
      <c r="V247" s="9" t="s">
        <v>46</v>
      </c>
    </row>
    <row r="248" spans="1:22" x14ac:dyDescent="0.25">
      <c r="A248" s="10" t="s">
        <v>18</v>
      </c>
      <c r="B248" t="b">
        <v>0</v>
      </c>
      <c r="C248" t="b">
        <v>0</v>
      </c>
      <c r="D248" s="1">
        <v>0</v>
      </c>
      <c r="E248" s="1">
        <v>0</v>
      </c>
      <c r="F248" s="1">
        <v>0</v>
      </c>
      <c r="G248" s="1">
        <v>1829</v>
      </c>
      <c r="H248" s="1">
        <v>0</v>
      </c>
      <c r="I248" s="1">
        <v>0</v>
      </c>
      <c r="J248" s="1">
        <f t="shared" si="14"/>
        <v>1829</v>
      </c>
      <c r="K248" s="1">
        <v>0</v>
      </c>
      <c r="L248" s="1">
        <v>0</v>
      </c>
      <c r="M248" s="1">
        <v>0</v>
      </c>
      <c r="N248" s="1">
        <f t="shared" si="13"/>
        <v>0</v>
      </c>
      <c r="O248" s="14">
        <f t="shared" si="15"/>
        <v>1829</v>
      </c>
      <c r="P248" s="17"/>
      <c r="Q248" s="1">
        <v>0</v>
      </c>
      <c r="R248" s="1">
        <v>0</v>
      </c>
      <c r="S248" s="20">
        <v>37377</v>
      </c>
      <c r="T248" s="1">
        <v>1829</v>
      </c>
      <c r="U248" s="9">
        <v>1829</v>
      </c>
      <c r="V248" s="9" t="s">
        <v>46</v>
      </c>
    </row>
    <row r="249" spans="1:22" x14ac:dyDescent="0.25">
      <c r="A249" s="10" t="s">
        <v>18</v>
      </c>
      <c r="B249" t="b">
        <v>0</v>
      </c>
      <c r="C249" t="b">
        <v>0</v>
      </c>
      <c r="D249" s="1">
        <v>0</v>
      </c>
      <c r="E249" s="1">
        <v>0</v>
      </c>
      <c r="F249" s="1">
        <v>0</v>
      </c>
      <c r="G249" s="1">
        <v>2241</v>
      </c>
      <c r="H249" s="1">
        <v>0</v>
      </c>
      <c r="I249" s="1">
        <v>0</v>
      </c>
      <c r="J249" s="1">
        <f t="shared" si="14"/>
        <v>2241</v>
      </c>
      <c r="K249" s="1">
        <v>0</v>
      </c>
      <c r="L249" s="1">
        <v>0</v>
      </c>
      <c r="M249" s="1">
        <v>0</v>
      </c>
      <c r="N249" s="1">
        <f t="shared" si="13"/>
        <v>0</v>
      </c>
      <c r="O249" s="14">
        <f t="shared" si="15"/>
        <v>2241</v>
      </c>
      <c r="P249" s="17"/>
      <c r="Q249" s="1">
        <v>0</v>
      </c>
      <c r="R249" s="1">
        <v>0</v>
      </c>
      <c r="S249" s="20">
        <v>37408</v>
      </c>
      <c r="T249" s="1">
        <v>2241</v>
      </c>
      <c r="U249" s="9">
        <v>2241</v>
      </c>
      <c r="V249" s="9" t="s">
        <v>46</v>
      </c>
    </row>
    <row r="250" spans="1:22" x14ac:dyDescent="0.25">
      <c r="A250" s="10" t="s">
        <v>18</v>
      </c>
      <c r="B250" t="b">
        <v>0</v>
      </c>
      <c r="C250" t="b">
        <v>0</v>
      </c>
      <c r="D250" s="1">
        <v>0</v>
      </c>
      <c r="E250" s="1">
        <v>0</v>
      </c>
      <c r="F250" s="1">
        <v>0</v>
      </c>
      <c r="G250" s="1">
        <v>1098</v>
      </c>
      <c r="H250" s="1">
        <v>0</v>
      </c>
      <c r="I250" s="1">
        <v>0</v>
      </c>
      <c r="J250" s="1">
        <f t="shared" si="14"/>
        <v>1098</v>
      </c>
      <c r="K250" s="1">
        <v>0</v>
      </c>
      <c r="L250" s="1">
        <v>0</v>
      </c>
      <c r="M250" s="1">
        <v>0</v>
      </c>
      <c r="N250" s="1">
        <f t="shared" si="13"/>
        <v>0</v>
      </c>
      <c r="O250" s="14">
        <f t="shared" si="15"/>
        <v>1098</v>
      </c>
      <c r="P250" s="17"/>
      <c r="Q250" s="1">
        <v>0</v>
      </c>
      <c r="R250" s="1">
        <v>0</v>
      </c>
      <c r="S250" s="20">
        <v>37438</v>
      </c>
      <c r="T250" s="1">
        <v>1098</v>
      </c>
      <c r="U250" s="9">
        <v>1098</v>
      </c>
      <c r="V250" s="9" t="s">
        <v>46</v>
      </c>
    </row>
    <row r="251" spans="1:22" x14ac:dyDescent="0.25">
      <c r="A251" s="10" t="s">
        <v>18</v>
      </c>
      <c r="B251" t="b">
        <v>0</v>
      </c>
      <c r="C251" t="b">
        <v>0</v>
      </c>
      <c r="D251" s="1">
        <v>0</v>
      </c>
      <c r="E251" s="1">
        <v>0</v>
      </c>
      <c r="F251" s="1">
        <v>0</v>
      </c>
      <c r="G251" s="1">
        <v>1230</v>
      </c>
      <c r="H251" s="1">
        <v>0</v>
      </c>
      <c r="I251" s="1">
        <v>0</v>
      </c>
      <c r="J251" s="1">
        <f t="shared" si="14"/>
        <v>1230</v>
      </c>
      <c r="K251" s="1">
        <v>0</v>
      </c>
      <c r="L251" s="1">
        <v>0</v>
      </c>
      <c r="M251" s="1">
        <v>0</v>
      </c>
      <c r="N251" s="1">
        <f t="shared" si="13"/>
        <v>0</v>
      </c>
      <c r="O251" s="14">
        <f t="shared" si="15"/>
        <v>1230</v>
      </c>
      <c r="P251" s="17"/>
      <c r="Q251" s="1">
        <v>0</v>
      </c>
      <c r="R251" s="1">
        <v>0</v>
      </c>
      <c r="S251" s="20">
        <v>37469</v>
      </c>
      <c r="T251" s="1">
        <v>1230</v>
      </c>
      <c r="U251" s="9">
        <v>1230</v>
      </c>
      <c r="V251" s="9" t="s">
        <v>46</v>
      </c>
    </row>
    <row r="252" spans="1:22" x14ac:dyDescent="0.25">
      <c r="A252" s="10" t="s">
        <v>18</v>
      </c>
      <c r="B252" t="b">
        <v>0</v>
      </c>
      <c r="C252" t="b">
        <v>0</v>
      </c>
      <c r="D252" s="1">
        <v>0</v>
      </c>
      <c r="E252" s="1">
        <v>0</v>
      </c>
      <c r="F252" s="1">
        <v>0</v>
      </c>
      <c r="G252" s="1">
        <v>1325</v>
      </c>
      <c r="H252" s="1">
        <v>0</v>
      </c>
      <c r="I252" s="1">
        <v>0</v>
      </c>
      <c r="J252" s="1">
        <f t="shared" si="14"/>
        <v>1325</v>
      </c>
      <c r="K252" s="1">
        <v>0</v>
      </c>
      <c r="L252" s="1">
        <v>0</v>
      </c>
      <c r="M252" s="1">
        <v>0</v>
      </c>
      <c r="N252" s="1">
        <f t="shared" si="13"/>
        <v>0</v>
      </c>
      <c r="O252" s="14">
        <f t="shared" si="15"/>
        <v>1325</v>
      </c>
      <c r="P252" s="17"/>
      <c r="Q252" s="1">
        <v>0</v>
      </c>
      <c r="R252" s="1">
        <v>0</v>
      </c>
      <c r="S252" s="20">
        <v>37500</v>
      </c>
      <c r="T252" s="1">
        <v>1325</v>
      </c>
      <c r="U252" s="9">
        <v>1325</v>
      </c>
      <c r="V252" s="9" t="s">
        <v>46</v>
      </c>
    </row>
    <row r="253" spans="1:22" x14ac:dyDescent="0.25">
      <c r="A253" s="10" t="s">
        <v>18</v>
      </c>
      <c r="B253" t="b">
        <v>0</v>
      </c>
      <c r="C253" t="b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f t="shared" si="14"/>
        <v>0</v>
      </c>
      <c r="K253" s="1">
        <v>0</v>
      </c>
      <c r="L253" s="1">
        <v>0</v>
      </c>
      <c r="M253" s="1">
        <v>0</v>
      </c>
      <c r="N253" s="1">
        <f t="shared" si="13"/>
        <v>0</v>
      </c>
      <c r="O253" s="14">
        <f t="shared" si="15"/>
        <v>0</v>
      </c>
      <c r="P253" s="17"/>
      <c r="Q253" s="1">
        <v>0</v>
      </c>
      <c r="R253" s="1">
        <v>0</v>
      </c>
      <c r="S253" s="20">
        <v>37530</v>
      </c>
      <c r="T253" s="1">
        <v>0</v>
      </c>
      <c r="U253" s="9">
        <v>0</v>
      </c>
      <c r="V253" s="9" t="s">
        <v>46</v>
      </c>
    </row>
    <row r="254" spans="1:22" x14ac:dyDescent="0.25">
      <c r="A254" s="10" t="s">
        <v>18</v>
      </c>
      <c r="B254" t="b">
        <v>0</v>
      </c>
      <c r="C254" t="b">
        <v>0</v>
      </c>
      <c r="D254" s="1">
        <v>0</v>
      </c>
      <c r="E254" s="1">
        <v>0</v>
      </c>
      <c r="F254" s="1">
        <v>0</v>
      </c>
      <c r="G254" s="1">
        <v>1272</v>
      </c>
      <c r="H254" s="1">
        <v>0</v>
      </c>
      <c r="I254" s="1">
        <v>0</v>
      </c>
      <c r="J254" s="1">
        <f t="shared" si="14"/>
        <v>1272</v>
      </c>
      <c r="K254" s="1">
        <v>0</v>
      </c>
      <c r="L254" s="1">
        <v>0</v>
      </c>
      <c r="M254" s="1">
        <v>0</v>
      </c>
      <c r="N254" s="1">
        <f t="shared" si="13"/>
        <v>0</v>
      </c>
      <c r="O254" s="14">
        <f t="shared" si="15"/>
        <v>1272</v>
      </c>
      <c r="P254" s="17"/>
      <c r="Q254" s="1">
        <v>0</v>
      </c>
      <c r="R254" s="1">
        <v>0</v>
      </c>
      <c r="S254" s="20">
        <v>37561</v>
      </c>
      <c r="T254" s="1">
        <v>1272</v>
      </c>
      <c r="U254" s="9">
        <v>1272</v>
      </c>
      <c r="V254" s="9" t="s">
        <v>46</v>
      </c>
    </row>
    <row r="255" spans="1:22" x14ac:dyDescent="0.25">
      <c r="A255" s="10" t="s">
        <v>18</v>
      </c>
      <c r="B255" t="b">
        <v>0</v>
      </c>
      <c r="C255" t="b">
        <v>0</v>
      </c>
      <c r="D255" s="1">
        <v>0</v>
      </c>
      <c r="E255" s="1">
        <v>0</v>
      </c>
      <c r="F255" s="1">
        <v>0</v>
      </c>
      <c r="G255" s="1">
        <v>525</v>
      </c>
      <c r="H255" s="1">
        <v>0</v>
      </c>
      <c r="I255" s="1">
        <v>0</v>
      </c>
      <c r="J255" s="1">
        <f t="shared" si="14"/>
        <v>525</v>
      </c>
      <c r="K255" s="1">
        <v>0</v>
      </c>
      <c r="L255" s="1">
        <v>0</v>
      </c>
      <c r="M255" s="1">
        <v>0</v>
      </c>
      <c r="N255" s="1">
        <f t="shared" si="13"/>
        <v>0</v>
      </c>
      <c r="O255" s="14">
        <f t="shared" si="15"/>
        <v>525</v>
      </c>
      <c r="P255" s="17"/>
      <c r="Q255" s="1">
        <v>0</v>
      </c>
      <c r="R255" s="1">
        <v>0</v>
      </c>
      <c r="S255" s="20">
        <v>37591</v>
      </c>
      <c r="T255" s="1">
        <v>525</v>
      </c>
      <c r="U255" s="9">
        <v>525</v>
      </c>
      <c r="V255" s="9" t="s">
        <v>46</v>
      </c>
    </row>
    <row r="256" spans="1:22" x14ac:dyDescent="0.25">
      <c r="A256" s="10" t="s">
        <v>18</v>
      </c>
      <c r="B256" t="b">
        <v>0</v>
      </c>
      <c r="C256" t="b">
        <v>0</v>
      </c>
      <c r="D256" s="1">
        <v>0</v>
      </c>
      <c r="E256" s="1">
        <v>0</v>
      </c>
      <c r="F256" s="1">
        <v>0</v>
      </c>
      <c r="G256" s="1">
        <v>2872</v>
      </c>
      <c r="H256" s="1">
        <v>0</v>
      </c>
      <c r="I256" s="1">
        <v>0</v>
      </c>
      <c r="J256" s="1">
        <f t="shared" si="14"/>
        <v>2872</v>
      </c>
      <c r="K256" s="1">
        <v>0</v>
      </c>
      <c r="L256" s="1">
        <v>0</v>
      </c>
      <c r="M256" s="1">
        <v>0</v>
      </c>
      <c r="N256" s="1">
        <f t="shared" si="13"/>
        <v>0</v>
      </c>
      <c r="O256" s="14">
        <f t="shared" si="15"/>
        <v>2872</v>
      </c>
      <c r="P256" s="17"/>
      <c r="Q256" s="1">
        <v>0</v>
      </c>
      <c r="R256" s="1">
        <v>0</v>
      </c>
      <c r="S256" s="20">
        <v>37622</v>
      </c>
      <c r="T256" s="1">
        <v>2872</v>
      </c>
      <c r="U256" s="9">
        <v>2872</v>
      </c>
      <c r="V256" s="9" t="s">
        <v>21</v>
      </c>
    </row>
    <row r="257" spans="1:22" x14ac:dyDescent="0.25">
      <c r="A257" s="10" t="s">
        <v>18</v>
      </c>
      <c r="B257" t="b">
        <v>0</v>
      </c>
      <c r="C257" t="b">
        <v>0</v>
      </c>
      <c r="D257" s="1">
        <v>0</v>
      </c>
      <c r="E257" s="1">
        <v>0</v>
      </c>
      <c r="F257" s="1">
        <v>0</v>
      </c>
      <c r="G257" s="1">
        <v>1930</v>
      </c>
      <c r="H257" s="1">
        <v>0</v>
      </c>
      <c r="I257" s="1">
        <v>0</v>
      </c>
      <c r="J257" s="1">
        <f t="shared" si="14"/>
        <v>1930</v>
      </c>
      <c r="K257" s="1">
        <v>0</v>
      </c>
      <c r="L257" s="1">
        <v>0</v>
      </c>
      <c r="M257" s="1">
        <v>0</v>
      </c>
      <c r="N257" s="1">
        <f t="shared" si="13"/>
        <v>0</v>
      </c>
      <c r="O257" s="14">
        <f t="shared" si="15"/>
        <v>1930</v>
      </c>
      <c r="P257" s="17"/>
      <c r="Q257" s="1">
        <v>0</v>
      </c>
      <c r="R257" s="1">
        <v>0</v>
      </c>
      <c r="S257" s="20">
        <v>37653</v>
      </c>
      <c r="T257" s="1">
        <v>1930</v>
      </c>
      <c r="U257" s="9">
        <v>1930</v>
      </c>
      <c r="V257" s="9" t="s">
        <v>21</v>
      </c>
    </row>
    <row r="258" spans="1:22" x14ac:dyDescent="0.25">
      <c r="A258" s="10" t="s">
        <v>18</v>
      </c>
      <c r="B258" t="b">
        <v>0</v>
      </c>
      <c r="C258" t="b">
        <v>0</v>
      </c>
      <c r="D258" s="1">
        <v>0</v>
      </c>
      <c r="E258" s="1">
        <v>0</v>
      </c>
      <c r="F258" s="1">
        <v>0</v>
      </c>
      <c r="G258" s="1">
        <v>1149</v>
      </c>
      <c r="H258" s="1">
        <v>0</v>
      </c>
      <c r="I258" s="1">
        <v>0</v>
      </c>
      <c r="J258" s="1">
        <f t="shared" si="14"/>
        <v>1149</v>
      </c>
      <c r="K258" s="1">
        <v>0</v>
      </c>
      <c r="L258" s="1">
        <v>0</v>
      </c>
      <c r="M258" s="1">
        <v>0</v>
      </c>
      <c r="N258" s="1">
        <f t="shared" si="13"/>
        <v>0</v>
      </c>
      <c r="O258" s="14">
        <f t="shared" si="15"/>
        <v>1149</v>
      </c>
      <c r="P258" s="17"/>
      <c r="Q258" s="1">
        <v>0</v>
      </c>
      <c r="R258" s="1">
        <v>0</v>
      </c>
      <c r="S258" s="20">
        <v>37681</v>
      </c>
      <c r="T258" s="1">
        <v>1149</v>
      </c>
      <c r="U258" s="9">
        <v>1149</v>
      </c>
      <c r="V258" s="9" t="s">
        <v>21</v>
      </c>
    </row>
    <row r="259" spans="1:22" x14ac:dyDescent="0.25">
      <c r="A259" s="10" t="s">
        <v>18</v>
      </c>
      <c r="B259" t="b">
        <v>0</v>
      </c>
      <c r="C259" t="b">
        <v>0</v>
      </c>
      <c r="D259" s="1">
        <v>0</v>
      </c>
      <c r="E259" s="1">
        <v>0</v>
      </c>
      <c r="F259" s="1">
        <v>0</v>
      </c>
      <c r="G259" s="1">
        <v>1003</v>
      </c>
      <c r="H259" s="1">
        <v>0</v>
      </c>
      <c r="I259" s="1">
        <v>0</v>
      </c>
      <c r="J259" s="1">
        <f t="shared" si="14"/>
        <v>1003</v>
      </c>
      <c r="K259" s="1">
        <v>0</v>
      </c>
      <c r="L259" s="1">
        <v>0</v>
      </c>
      <c r="M259" s="1">
        <v>0</v>
      </c>
      <c r="N259" s="1">
        <f t="shared" si="13"/>
        <v>0</v>
      </c>
      <c r="O259" s="14">
        <f t="shared" si="15"/>
        <v>1003</v>
      </c>
      <c r="P259" s="17"/>
      <c r="Q259" s="1">
        <v>0</v>
      </c>
      <c r="R259" s="1">
        <v>0</v>
      </c>
      <c r="S259" s="20">
        <v>37712</v>
      </c>
      <c r="T259" s="1">
        <v>1003</v>
      </c>
      <c r="U259" s="9">
        <v>1003</v>
      </c>
      <c r="V259" s="9" t="s">
        <v>21</v>
      </c>
    </row>
    <row r="260" spans="1:22" x14ac:dyDescent="0.25">
      <c r="A260" s="10" t="s">
        <v>18</v>
      </c>
      <c r="B260" t="b">
        <v>0</v>
      </c>
      <c r="C260" t="b">
        <v>0</v>
      </c>
      <c r="D260" s="1">
        <v>0</v>
      </c>
      <c r="E260" s="1">
        <v>0</v>
      </c>
      <c r="F260" s="1">
        <v>0</v>
      </c>
      <c r="G260" s="1">
        <v>1812</v>
      </c>
      <c r="H260" s="1">
        <v>0</v>
      </c>
      <c r="I260" s="1">
        <v>0</v>
      </c>
      <c r="J260" s="1">
        <f t="shared" si="14"/>
        <v>1812</v>
      </c>
      <c r="K260" s="1">
        <v>0</v>
      </c>
      <c r="L260" s="1">
        <v>0</v>
      </c>
      <c r="M260" s="1">
        <v>0</v>
      </c>
      <c r="N260" s="1">
        <f t="shared" si="13"/>
        <v>0</v>
      </c>
      <c r="O260" s="14">
        <f t="shared" si="15"/>
        <v>1812</v>
      </c>
      <c r="P260" s="17"/>
      <c r="Q260" s="1">
        <v>0</v>
      </c>
      <c r="R260" s="1">
        <v>0</v>
      </c>
      <c r="S260" s="20">
        <v>37742</v>
      </c>
      <c r="T260" s="1">
        <v>1812</v>
      </c>
      <c r="U260" s="9">
        <v>1812</v>
      </c>
      <c r="V260" s="9" t="s">
        <v>21</v>
      </c>
    </row>
    <row r="261" spans="1:22" x14ac:dyDescent="0.25">
      <c r="A261" s="10" t="s">
        <v>18</v>
      </c>
      <c r="B261" t="b">
        <v>0</v>
      </c>
      <c r="C261" t="b">
        <v>0</v>
      </c>
      <c r="D261" s="1">
        <v>0</v>
      </c>
      <c r="E261" s="1">
        <v>0</v>
      </c>
      <c r="F261" s="1">
        <v>0</v>
      </c>
      <c r="G261" s="1">
        <v>2092</v>
      </c>
      <c r="H261" s="1">
        <v>0</v>
      </c>
      <c r="I261" s="1">
        <v>0</v>
      </c>
      <c r="J261" s="1">
        <f t="shared" si="14"/>
        <v>2092</v>
      </c>
      <c r="K261" s="1">
        <v>0</v>
      </c>
      <c r="L261" s="1">
        <v>0</v>
      </c>
      <c r="M261" s="1">
        <v>0</v>
      </c>
      <c r="N261" s="1">
        <f t="shared" si="13"/>
        <v>0</v>
      </c>
      <c r="O261" s="14">
        <f t="shared" si="15"/>
        <v>2092</v>
      </c>
      <c r="P261" s="17"/>
      <c r="Q261" s="1">
        <v>0</v>
      </c>
      <c r="R261" s="1">
        <v>0</v>
      </c>
      <c r="S261" s="20">
        <v>37773</v>
      </c>
      <c r="T261" s="1">
        <v>2092</v>
      </c>
      <c r="U261" s="9">
        <v>2092</v>
      </c>
      <c r="V261" s="9" t="s">
        <v>21</v>
      </c>
    </row>
    <row r="262" spans="1:22" x14ac:dyDescent="0.25">
      <c r="A262" s="10" t="s">
        <v>18</v>
      </c>
      <c r="B262" t="b">
        <v>0</v>
      </c>
      <c r="C262" t="b">
        <v>0</v>
      </c>
      <c r="D262" s="1">
        <v>0</v>
      </c>
      <c r="E262" s="1">
        <v>0</v>
      </c>
      <c r="F262" s="1">
        <v>0</v>
      </c>
      <c r="G262" s="1">
        <v>1212</v>
      </c>
      <c r="H262" s="1">
        <v>0</v>
      </c>
      <c r="I262" s="1">
        <v>0</v>
      </c>
      <c r="J262" s="1">
        <f t="shared" si="14"/>
        <v>1212</v>
      </c>
      <c r="K262" s="1">
        <v>0</v>
      </c>
      <c r="L262" s="1">
        <v>0</v>
      </c>
      <c r="M262" s="1">
        <v>0</v>
      </c>
      <c r="N262" s="1">
        <f t="shared" si="13"/>
        <v>0</v>
      </c>
      <c r="O262" s="14">
        <f t="shared" si="15"/>
        <v>1212</v>
      </c>
      <c r="P262" s="17"/>
      <c r="Q262" s="1">
        <v>0</v>
      </c>
      <c r="R262" s="1">
        <v>0</v>
      </c>
      <c r="S262" s="20">
        <v>37803</v>
      </c>
      <c r="T262" s="1">
        <v>1212</v>
      </c>
      <c r="U262" s="9">
        <v>1212</v>
      </c>
      <c r="V262" s="9" t="s">
        <v>21</v>
      </c>
    </row>
    <row r="263" spans="1:22" x14ac:dyDescent="0.25">
      <c r="A263" s="10" t="s">
        <v>18</v>
      </c>
      <c r="B263" t="b">
        <v>0</v>
      </c>
      <c r="C263" t="b">
        <v>0</v>
      </c>
      <c r="D263" s="1">
        <v>0</v>
      </c>
      <c r="E263" s="1">
        <v>0</v>
      </c>
      <c r="F263" s="1">
        <v>0</v>
      </c>
      <c r="G263" s="1">
        <v>1335</v>
      </c>
      <c r="H263" s="1">
        <v>0</v>
      </c>
      <c r="I263" s="1">
        <v>0</v>
      </c>
      <c r="J263" s="1">
        <f t="shared" si="14"/>
        <v>1335</v>
      </c>
      <c r="K263" s="1">
        <v>0</v>
      </c>
      <c r="L263" s="1">
        <v>0</v>
      </c>
      <c r="M263" s="1">
        <v>0</v>
      </c>
      <c r="N263" s="1">
        <f t="shared" si="13"/>
        <v>0</v>
      </c>
      <c r="O263" s="14">
        <f t="shared" si="15"/>
        <v>1335</v>
      </c>
      <c r="P263" s="17"/>
      <c r="Q263" s="1">
        <v>0</v>
      </c>
      <c r="R263" s="1">
        <v>0</v>
      </c>
      <c r="S263" s="20">
        <v>37834</v>
      </c>
      <c r="T263" s="1">
        <v>1335</v>
      </c>
      <c r="U263" s="9">
        <v>1335</v>
      </c>
      <c r="V263" s="9" t="s">
        <v>21</v>
      </c>
    </row>
    <row r="264" spans="1:22" x14ac:dyDescent="0.25">
      <c r="A264" s="10" t="s">
        <v>18</v>
      </c>
      <c r="B264" t="b">
        <v>0</v>
      </c>
      <c r="C264" t="b">
        <v>0</v>
      </c>
      <c r="D264" s="1">
        <v>0</v>
      </c>
      <c r="E264" s="1">
        <v>0</v>
      </c>
      <c r="F264" s="1">
        <v>0</v>
      </c>
      <c r="G264" s="1">
        <v>1350</v>
      </c>
      <c r="H264" s="1">
        <v>0</v>
      </c>
      <c r="I264" s="1">
        <v>0</v>
      </c>
      <c r="J264" s="1">
        <f t="shared" si="14"/>
        <v>1350</v>
      </c>
      <c r="K264" s="1">
        <v>0</v>
      </c>
      <c r="L264" s="1">
        <v>0</v>
      </c>
      <c r="M264" s="1">
        <v>0</v>
      </c>
      <c r="N264" s="1">
        <f t="shared" si="13"/>
        <v>0</v>
      </c>
      <c r="O264" s="14">
        <f t="shared" si="15"/>
        <v>1350</v>
      </c>
      <c r="P264" s="17"/>
      <c r="Q264" s="1">
        <v>0</v>
      </c>
      <c r="R264" s="1">
        <v>0</v>
      </c>
      <c r="S264" s="20">
        <v>37865</v>
      </c>
      <c r="T264" s="1">
        <v>1350</v>
      </c>
      <c r="U264" s="9">
        <v>1350</v>
      </c>
      <c r="V264" s="9" t="s">
        <v>21</v>
      </c>
    </row>
    <row r="265" spans="1:22" x14ac:dyDescent="0.25">
      <c r="A265" s="10" t="s">
        <v>18</v>
      </c>
      <c r="B265" t="b">
        <v>0</v>
      </c>
      <c r="C265" t="b">
        <v>0</v>
      </c>
      <c r="D265" s="1">
        <v>0</v>
      </c>
      <c r="E265" s="1">
        <v>0</v>
      </c>
      <c r="F265" s="1">
        <v>0</v>
      </c>
      <c r="G265" s="1">
        <v>1524</v>
      </c>
      <c r="H265" s="1">
        <v>0</v>
      </c>
      <c r="I265" s="1">
        <v>0</v>
      </c>
      <c r="J265" s="1">
        <f t="shared" si="14"/>
        <v>1524</v>
      </c>
      <c r="K265" s="1">
        <v>0</v>
      </c>
      <c r="L265" s="1">
        <v>0</v>
      </c>
      <c r="M265" s="1">
        <v>0</v>
      </c>
      <c r="N265" s="1">
        <f>K265+L265+M265</f>
        <v>0</v>
      </c>
      <c r="O265" s="14">
        <f t="shared" si="15"/>
        <v>1524</v>
      </c>
      <c r="P265" s="17"/>
      <c r="Q265" s="1">
        <v>0</v>
      </c>
      <c r="R265" s="1">
        <v>0</v>
      </c>
      <c r="S265" s="20">
        <v>37895</v>
      </c>
      <c r="T265" s="1">
        <v>1524</v>
      </c>
      <c r="U265" s="9">
        <v>1524</v>
      </c>
      <c r="V265" s="9" t="s">
        <v>21</v>
      </c>
    </row>
    <row r="266" spans="1:22" x14ac:dyDescent="0.25">
      <c r="A266" s="10" t="s">
        <v>18</v>
      </c>
      <c r="B266" t="b">
        <v>0</v>
      </c>
      <c r="C266" t="b">
        <v>0</v>
      </c>
      <c r="D266" s="1">
        <v>0</v>
      </c>
      <c r="E266" s="1">
        <v>0</v>
      </c>
      <c r="F266" s="1">
        <v>0</v>
      </c>
      <c r="G266" s="1">
        <v>1272</v>
      </c>
      <c r="H266" s="1">
        <v>0</v>
      </c>
      <c r="I266" s="1">
        <v>0</v>
      </c>
      <c r="J266" s="1">
        <f t="shared" si="14"/>
        <v>1272</v>
      </c>
      <c r="K266" s="1">
        <v>0</v>
      </c>
      <c r="L266" s="1">
        <v>0</v>
      </c>
      <c r="M266" s="1">
        <v>0</v>
      </c>
      <c r="N266" s="1">
        <f t="shared" ref="N266:N329" si="16">K266+L266+M266</f>
        <v>0</v>
      </c>
      <c r="O266" s="14">
        <f t="shared" si="15"/>
        <v>1272</v>
      </c>
      <c r="P266" s="17"/>
      <c r="Q266" s="1">
        <v>0</v>
      </c>
      <c r="R266" s="1">
        <v>0</v>
      </c>
      <c r="S266" s="20">
        <v>37926</v>
      </c>
      <c r="T266" s="1">
        <v>1272</v>
      </c>
      <c r="U266" s="9">
        <v>1272</v>
      </c>
      <c r="V266" s="9" t="s">
        <v>21</v>
      </c>
    </row>
    <row r="267" spans="1:22" x14ac:dyDescent="0.25">
      <c r="A267" s="10" t="s">
        <v>18</v>
      </c>
      <c r="B267" t="b">
        <v>0</v>
      </c>
      <c r="C267" t="b">
        <v>0</v>
      </c>
      <c r="D267" s="1">
        <v>0</v>
      </c>
      <c r="E267" s="1">
        <v>0</v>
      </c>
      <c r="F267" s="1">
        <v>0</v>
      </c>
      <c r="G267" s="1">
        <v>1106</v>
      </c>
      <c r="H267" s="1">
        <v>0</v>
      </c>
      <c r="I267" s="1">
        <v>0</v>
      </c>
      <c r="J267" s="1">
        <f t="shared" si="14"/>
        <v>1106</v>
      </c>
      <c r="K267" s="1">
        <v>0</v>
      </c>
      <c r="L267" s="1">
        <v>0</v>
      </c>
      <c r="M267" s="1">
        <v>0</v>
      </c>
      <c r="N267" s="1">
        <f t="shared" si="16"/>
        <v>0</v>
      </c>
      <c r="O267" s="14">
        <f t="shared" si="15"/>
        <v>1106</v>
      </c>
      <c r="P267" s="17"/>
      <c r="Q267" s="1">
        <v>0</v>
      </c>
      <c r="R267" s="1">
        <v>0</v>
      </c>
      <c r="S267" s="20">
        <v>37956</v>
      </c>
      <c r="T267" s="1">
        <v>1106</v>
      </c>
      <c r="U267" s="9">
        <v>1106</v>
      </c>
      <c r="V267" s="9" t="s">
        <v>21</v>
      </c>
    </row>
    <row r="268" spans="1:22" x14ac:dyDescent="0.25">
      <c r="A268" s="10" t="s">
        <v>18</v>
      </c>
      <c r="B268" t="b">
        <v>0</v>
      </c>
      <c r="C268" t="b">
        <v>0</v>
      </c>
      <c r="D268" s="1">
        <v>0</v>
      </c>
      <c r="E268" s="1">
        <v>0</v>
      </c>
      <c r="F268" s="1">
        <v>0</v>
      </c>
      <c r="G268" s="1">
        <v>797</v>
      </c>
      <c r="H268" s="1">
        <v>0</v>
      </c>
      <c r="I268" s="1">
        <v>0</v>
      </c>
      <c r="J268" s="1">
        <f t="shared" si="14"/>
        <v>797</v>
      </c>
      <c r="K268" s="1">
        <v>0</v>
      </c>
      <c r="L268" s="1">
        <v>0</v>
      </c>
      <c r="M268" s="1">
        <v>0</v>
      </c>
      <c r="N268" s="1">
        <f t="shared" si="16"/>
        <v>0</v>
      </c>
      <c r="O268" s="14">
        <f t="shared" si="15"/>
        <v>797</v>
      </c>
      <c r="P268" s="17"/>
      <c r="Q268" s="1">
        <v>0</v>
      </c>
      <c r="R268" s="1">
        <v>0</v>
      </c>
      <c r="S268" s="20">
        <v>37987</v>
      </c>
      <c r="T268" s="1">
        <v>797</v>
      </c>
      <c r="U268" s="9">
        <v>797</v>
      </c>
      <c r="V268" s="9" t="s">
        <v>41</v>
      </c>
    </row>
    <row r="269" spans="1:22" x14ac:dyDescent="0.25">
      <c r="A269" s="10" t="s">
        <v>18</v>
      </c>
      <c r="B269" t="b">
        <v>0</v>
      </c>
      <c r="C269" t="b">
        <v>0</v>
      </c>
      <c r="D269" s="1">
        <v>0</v>
      </c>
      <c r="E269" s="1">
        <v>0</v>
      </c>
      <c r="F269" s="1">
        <v>0</v>
      </c>
      <c r="G269" s="1">
        <v>2473</v>
      </c>
      <c r="H269" s="1">
        <v>0</v>
      </c>
      <c r="I269" s="1">
        <v>0</v>
      </c>
      <c r="J269" s="1">
        <f t="shared" si="14"/>
        <v>2473</v>
      </c>
      <c r="K269" s="1">
        <v>0</v>
      </c>
      <c r="L269" s="1">
        <v>0</v>
      </c>
      <c r="M269" s="1">
        <v>0</v>
      </c>
      <c r="N269" s="1">
        <f t="shared" si="16"/>
        <v>0</v>
      </c>
      <c r="O269" s="14">
        <f t="shared" si="15"/>
        <v>2473</v>
      </c>
      <c r="P269" s="17"/>
      <c r="Q269" s="1">
        <v>0</v>
      </c>
      <c r="R269" s="1">
        <v>0</v>
      </c>
      <c r="S269" s="20">
        <v>38018</v>
      </c>
      <c r="T269" s="1">
        <v>2473</v>
      </c>
      <c r="U269" s="9">
        <v>2473</v>
      </c>
      <c r="V269" s="9" t="s">
        <v>41</v>
      </c>
    </row>
    <row r="270" spans="1:22" x14ac:dyDescent="0.25">
      <c r="A270" s="10" t="s">
        <v>18</v>
      </c>
      <c r="B270" t="b">
        <v>0</v>
      </c>
      <c r="C270" t="b">
        <v>0</v>
      </c>
      <c r="D270" s="1">
        <v>0</v>
      </c>
      <c r="E270" s="1">
        <v>0</v>
      </c>
      <c r="F270" s="1">
        <v>0</v>
      </c>
      <c r="G270" s="1">
        <v>1256</v>
      </c>
      <c r="H270" s="1">
        <v>0</v>
      </c>
      <c r="I270" s="1">
        <v>0</v>
      </c>
      <c r="J270" s="1">
        <f t="shared" si="14"/>
        <v>1256</v>
      </c>
      <c r="K270" s="1">
        <v>0</v>
      </c>
      <c r="L270" s="1">
        <v>0</v>
      </c>
      <c r="M270" s="1">
        <v>0</v>
      </c>
      <c r="N270" s="1">
        <f t="shared" si="16"/>
        <v>0</v>
      </c>
      <c r="O270" s="14">
        <f t="shared" si="15"/>
        <v>1256</v>
      </c>
      <c r="P270" s="17"/>
      <c r="Q270" s="1">
        <v>0</v>
      </c>
      <c r="R270" s="1">
        <v>0</v>
      </c>
      <c r="S270" s="20">
        <v>38047</v>
      </c>
      <c r="T270" s="1">
        <v>1256</v>
      </c>
      <c r="U270" s="9">
        <v>1256</v>
      </c>
      <c r="V270" s="9" t="s">
        <v>41</v>
      </c>
    </row>
    <row r="271" spans="1:22" x14ac:dyDescent="0.25">
      <c r="A271" s="10" t="s">
        <v>18</v>
      </c>
      <c r="B271" t="b">
        <v>0</v>
      </c>
      <c r="C271" t="b">
        <v>0</v>
      </c>
      <c r="D271" s="1">
        <v>0</v>
      </c>
      <c r="E271" s="1">
        <v>0</v>
      </c>
      <c r="F271" s="1">
        <v>0</v>
      </c>
      <c r="G271" s="1">
        <v>1343</v>
      </c>
      <c r="H271" s="1">
        <v>0</v>
      </c>
      <c r="I271" s="1">
        <v>0</v>
      </c>
      <c r="J271" s="1">
        <f t="shared" si="14"/>
        <v>1343</v>
      </c>
      <c r="K271" s="1">
        <v>0</v>
      </c>
      <c r="L271" s="1">
        <v>0</v>
      </c>
      <c r="M271" s="1">
        <v>0</v>
      </c>
      <c r="N271" s="1">
        <f t="shared" si="16"/>
        <v>0</v>
      </c>
      <c r="O271" s="14">
        <f t="shared" si="15"/>
        <v>1343</v>
      </c>
      <c r="P271" s="17"/>
      <c r="Q271" s="1">
        <v>0</v>
      </c>
      <c r="R271" s="1">
        <v>0</v>
      </c>
      <c r="S271" s="20">
        <v>38078</v>
      </c>
      <c r="T271" s="1">
        <v>1343</v>
      </c>
      <c r="U271" s="9">
        <v>1343</v>
      </c>
      <c r="V271" s="9" t="s">
        <v>41</v>
      </c>
    </row>
    <row r="272" spans="1:22" x14ac:dyDescent="0.25">
      <c r="A272" s="10" t="s">
        <v>18</v>
      </c>
      <c r="B272" t="b">
        <v>0</v>
      </c>
      <c r="C272" t="b">
        <v>0</v>
      </c>
      <c r="D272" s="1">
        <v>0</v>
      </c>
      <c r="E272" s="1">
        <v>0</v>
      </c>
      <c r="F272" s="1">
        <v>0</v>
      </c>
      <c r="G272" s="1">
        <v>1832</v>
      </c>
      <c r="H272" s="1">
        <v>0</v>
      </c>
      <c r="I272" s="1">
        <v>0</v>
      </c>
      <c r="J272" s="1">
        <f t="shared" si="14"/>
        <v>1832</v>
      </c>
      <c r="K272" s="1">
        <v>0</v>
      </c>
      <c r="L272" s="1">
        <v>0</v>
      </c>
      <c r="M272" s="1">
        <v>0</v>
      </c>
      <c r="N272" s="1">
        <f t="shared" si="16"/>
        <v>0</v>
      </c>
      <c r="O272" s="14">
        <f t="shared" si="15"/>
        <v>1832</v>
      </c>
      <c r="P272" s="17"/>
      <c r="Q272" s="1">
        <v>0</v>
      </c>
      <c r="R272" s="1">
        <v>0</v>
      </c>
      <c r="S272" s="20">
        <v>38108</v>
      </c>
      <c r="T272" s="1">
        <v>1832</v>
      </c>
      <c r="U272" s="9">
        <v>1832</v>
      </c>
      <c r="V272" s="9" t="s">
        <v>41</v>
      </c>
    </row>
    <row r="273" spans="1:22" x14ac:dyDescent="0.25">
      <c r="A273" s="10" t="s">
        <v>18</v>
      </c>
      <c r="B273" t="b">
        <v>0</v>
      </c>
      <c r="C273" t="b">
        <v>0</v>
      </c>
      <c r="D273" s="1">
        <v>0</v>
      </c>
      <c r="E273" s="1">
        <v>0</v>
      </c>
      <c r="F273" s="1">
        <v>0</v>
      </c>
      <c r="G273" s="1">
        <v>1892</v>
      </c>
      <c r="H273" s="1">
        <v>0</v>
      </c>
      <c r="I273" s="1">
        <v>0</v>
      </c>
      <c r="J273" s="1">
        <f t="shared" si="14"/>
        <v>1892</v>
      </c>
      <c r="K273" s="1">
        <v>0</v>
      </c>
      <c r="L273" s="1">
        <v>0</v>
      </c>
      <c r="M273" s="1">
        <v>0</v>
      </c>
      <c r="N273" s="1">
        <f t="shared" si="16"/>
        <v>0</v>
      </c>
      <c r="O273" s="14">
        <f t="shared" si="15"/>
        <v>1892</v>
      </c>
      <c r="P273" s="17"/>
      <c r="Q273" s="1">
        <v>0</v>
      </c>
      <c r="R273" s="1">
        <v>0</v>
      </c>
      <c r="S273" s="20">
        <v>38139</v>
      </c>
      <c r="T273" s="1">
        <v>1892</v>
      </c>
      <c r="U273" s="9">
        <v>1892</v>
      </c>
      <c r="V273" s="9" t="s">
        <v>41</v>
      </c>
    </row>
    <row r="274" spans="1:22" x14ac:dyDescent="0.25">
      <c r="A274" s="10" t="s">
        <v>18</v>
      </c>
      <c r="B274" t="b">
        <v>0</v>
      </c>
      <c r="C274" t="b">
        <v>0</v>
      </c>
      <c r="D274" s="1">
        <v>0</v>
      </c>
      <c r="E274" s="1">
        <v>0</v>
      </c>
      <c r="F274" s="1">
        <v>0</v>
      </c>
      <c r="G274" s="1">
        <v>1215</v>
      </c>
      <c r="H274" s="1">
        <v>0</v>
      </c>
      <c r="I274" s="1">
        <v>0</v>
      </c>
      <c r="J274" s="1">
        <f t="shared" si="14"/>
        <v>1215</v>
      </c>
      <c r="K274" s="1">
        <v>0</v>
      </c>
      <c r="L274" s="1">
        <v>0</v>
      </c>
      <c r="M274" s="1">
        <v>0</v>
      </c>
      <c r="N274" s="1">
        <f t="shared" si="16"/>
        <v>0</v>
      </c>
      <c r="O274" s="14">
        <f t="shared" si="15"/>
        <v>1215</v>
      </c>
      <c r="P274" s="17"/>
      <c r="Q274" s="1">
        <v>0</v>
      </c>
      <c r="R274" s="1">
        <v>0</v>
      </c>
      <c r="S274" s="20">
        <v>38169</v>
      </c>
      <c r="T274" s="1">
        <v>1215</v>
      </c>
      <c r="U274" s="9">
        <v>1215</v>
      </c>
      <c r="V274" s="9" t="s">
        <v>41</v>
      </c>
    </row>
    <row r="275" spans="1:22" x14ac:dyDescent="0.25">
      <c r="A275" s="10" t="s">
        <v>18</v>
      </c>
      <c r="B275" t="b">
        <v>0</v>
      </c>
      <c r="C275" t="b">
        <v>0</v>
      </c>
      <c r="D275" s="1">
        <v>0</v>
      </c>
      <c r="E275" s="1">
        <v>0</v>
      </c>
      <c r="F275" s="1">
        <v>0</v>
      </c>
      <c r="G275" s="1">
        <v>1338</v>
      </c>
      <c r="H275" s="1">
        <v>0</v>
      </c>
      <c r="I275" s="1">
        <v>0</v>
      </c>
      <c r="J275" s="1">
        <f t="shared" si="14"/>
        <v>1338</v>
      </c>
      <c r="K275" s="1">
        <v>0</v>
      </c>
      <c r="L275" s="1">
        <v>0</v>
      </c>
      <c r="M275" s="1">
        <v>0</v>
      </c>
      <c r="N275" s="1">
        <f t="shared" si="16"/>
        <v>0</v>
      </c>
      <c r="O275" s="14">
        <f t="shared" si="15"/>
        <v>1338</v>
      </c>
      <c r="P275" s="17"/>
      <c r="Q275" s="1">
        <v>0</v>
      </c>
      <c r="R275" s="1">
        <v>0</v>
      </c>
      <c r="S275" s="20">
        <v>38200</v>
      </c>
      <c r="T275" s="1">
        <v>1338</v>
      </c>
      <c r="U275" s="9">
        <v>1338</v>
      </c>
      <c r="V275" s="9" t="s">
        <v>41</v>
      </c>
    </row>
    <row r="276" spans="1:22" x14ac:dyDescent="0.25">
      <c r="A276" s="10" t="s">
        <v>18</v>
      </c>
      <c r="B276" t="b">
        <v>0</v>
      </c>
      <c r="C276" t="b">
        <v>0</v>
      </c>
      <c r="D276" s="1">
        <v>0</v>
      </c>
      <c r="E276" s="1">
        <v>0</v>
      </c>
      <c r="F276" s="1">
        <v>0</v>
      </c>
      <c r="G276" s="1">
        <v>1352</v>
      </c>
      <c r="H276" s="1">
        <v>0</v>
      </c>
      <c r="I276" s="1">
        <v>0</v>
      </c>
      <c r="J276" s="1">
        <f t="shared" si="14"/>
        <v>1352</v>
      </c>
      <c r="K276" s="1">
        <v>0</v>
      </c>
      <c r="L276" s="1">
        <v>0</v>
      </c>
      <c r="M276" s="1">
        <v>0</v>
      </c>
      <c r="N276" s="1">
        <f t="shared" si="16"/>
        <v>0</v>
      </c>
      <c r="O276" s="14">
        <f t="shared" si="15"/>
        <v>1352</v>
      </c>
      <c r="P276" s="17"/>
      <c r="Q276" s="1">
        <v>0</v>
      </c>
      <c r="R276" s="1">
        <v>0</v>
      </c>
      <c r="S276" s="20">
        <v>38231</v>
      </c>
      <c r="T276" s="1">
        <v>1352</v>
      </c>
      <c r="U276" s="9">
        <v>1352</v>
      </c>
      <c r="V276" s="9" t="s">
        <v>41</v>
      </c>
    </row>
    <row r="277" spans="1:22" x14ac:dyDescent="0.25">
      <c r="A277" s="10" t="s">
        <v>18</v>
      </c>
      <c r="B277" t="b">
        <v>0</v>
      </c>
      <c r="C277" t="b">
        <v>0</v>
      </c>
      <c r="D277" s="1">
        <v>0</v>
      </c>
      <c r="E277" s="1">
        <v>0</v>
      </c>
      <c r="F277" s="1">
        <v>0</v>
      </c>
      <c r="G277" s="1">
        <v>1638</v>
      </c>
      <c r="H277" s="1">
        <v>0</v>
      </c>
      <c r="I277" s="1">
        <v>0</v>
      </c>
      <c r="J277" s="1">
        <f t="shared" si="14"/>
        <v>1638</v>
      </c>
      <c r="K277" s="1">
        <v>0</v>
      </c>
      <c r="L277" s="1">
        <v>0</v>
      </c>
      <c r="M277" s="1">
        <v>0</v>
      </c>
      <c r="N277" s="1">
        <f t="shared" si="16"/>
        <v>0</v>
      </c>
      <c r="O277" s="14">
        <f t="shared" si="15"/>
        <v>1638</v>
      </c>
      <c r="P277" s="17"/>
      <c r="Q277" s="1">
        <v>0</v>
      </c>
      <c r="R277" s="1">
        <v>0</v>
      </c>
      <c r="S277" s="20">
        <v>38261</v>
      </c>
      <c r="T277" s="1">
        <v>1638</v>
      </c>
      <c r="U277" s="9">
        <v>1638</v>
      </c>
      <c r="V277" s="9" t="s">
        <v>41</v>
      </c>
    </row>
    <row r="278" spans="1:22" x14ac:dyDescent="0.25">
      <c r="A278" s="10" t="s">
        <v>18</v>
      </c>
      <c r="B278" t="b">
        <v>0</v>
      </c>
      <c r="C278" t="b">
        <v>0</v>
      </c>
      <c r="D278" s="1">
        <v>0</v>
      </c>
      <c r="E278" s="1">
        <v>0</v>
      </c>
      <c r="F278" s="1">
        <v>0</v>
      </c>
      <c r="G278" s="1">
        <v>1372</v>
      </c>
      <c r="H278" s="1">
        <v>0</v>
      </c>
      <c r="I278" s="1">
        <v>0</v>
      </c>
      <c r="J278" s="1">
        <f t="shared" si="14"/>
        <v>1372</v>
      </c>
      <c r="K278" s="1">
        <v>0</v>
      </c>
      <c r="L278" s="1">
        <v>0</v>
      </c>
      <c r="M278" s="1">
        <v>0</v>
      </c>
      <c r="N278" s="1">
        <f t="shared" si="16"/>
        <v>0</v>
      </c>
      <c r="O278" s="14">
        <f t="shared" si="15"/>
        <v>1372</v>
      </c>
      <c r="P278" s="17"/>
      <c r="Q278" s="1">
        <v>0</v>
      </c>
      <c r="R278" s="1">
        <v>0</v>
      </c>
      <c r="S278" s="20">
        <v>38292</v>
      </c>
      <c r="T278" s="1">
        <v>1372</v>
      </c>
      <c r="U278" s="9">
        <v>1372</v>
      </c>
      <c r="V278" s="9" t="s">
        <v>41</v>
      </c>
    </row>
    <row r="279" spans="1:22" x14ac:dyDescent="0.25">
      <c r="A279" s="10" t="s">
        <v>18</v>
      </c>
      <c r="B279" t="b">
        <v>0</v>
      </c>
      <c r="C279" t="b">
        <v>0</v>
      </c>
      <c r="D279" s="1">
        <v>0</v>
      </c>
      <c r="E279" s="1">
        <v>0</v>
      </c>
      <c r="F279" s="1">
        <v>0</v>
      </c>
      <c r="G279" s="1">
        <v>1081</v>
      </c>
      <c r="H279" s="1">
        <v>0</v>
      </c>
      <c r="I279" s="1">
        <v>0</v>
      </c>
      <c r="J279" s="1">
        <f t="shared" si="14"/>
        <v>1081</v>
      </c>
      <c r="K279" s="1">
        <v>0</v>
      </c>
      <c r="L279" s="1">
        <v>0</v>
      </c>
      <c r="M279" s="1">
        <v>0</v>
      </c>
      <c r="N279" s="1">
        <f t="shared" si="16"/>
        <v>0</v>
      </c>
      <c r="O279" s="14">
        <f t="shared" si="15"/>
        <v>1081</v>
      </c>
      <c r="P279" s="17"/>
      <c r="Q279" s="1">
        <v>0</v>
      </c>
      <c r="R279" s="1">
        <v>0</v>
      </c>
      <c r="S279" s="20">
        <v>38322</v>
      </c>
      <c r="T279" s="1">
        <v>1081</v>
      </c>
      <c r="U279" s="9">
        <v>1081</v>
      </c>
      <c r="V279" s="9" t="s">
        <v>41</v>
      </c>
    </row>
    <row r="280" spans="1:22" x14ac:dyDescent="0.25">
      <c r="A280" s="10" t="s">
        <v>18</v>
      </c>
      <c r="B280" t="b">
        <v>0</v>
      </c>
      <c r="C280" t="b">
        <v>0</v>
      </c>
      <c r="D280" s="1">
        <v>0</v>
      </c>
      <c r="E280" s="1">
        <v>0</v>
      </c>
      <c r="F280" s="1">
        <v>0</v>
      </c>
      <c r="G280" s="1">
        <v>281</v>
      </c>
      <c r="H280" s="1">
        <v>0</v>
      </c>
      <c r="I280" s="1">
        <v>0</v>
      </c>
      <c r="J280" s="1">
        <f t="shared" si="14"/>
        <v>281</v>
      </c>
      <c r="K280" s="1">
        <v>0</v>
      </c>
      <c r="L280" s="1">
        <v>0</v>
      </c>
      <c r="M280" s="1">
        <v>0</v>
      </c>
      <c r="N280" s="1">
        <f t="shared" si="16"/>
        <v>0</v>
      </c>
      <c r="O280" s="14">
        <f t="shared" si="15"/>
        <v>281</v>
      </c>
      <c r="P280" s="17"/>
      <c r="Q280" s="1">
        <v>0</v>
      </c>
      <c r="R280" s="1">
        <v>0</v>
      </c>
      <c r="S280" s="20">
        <v>38353</v>
      </c>
      <c r="T280" s="1">
        <v>281</v>
      </c>
      <c r="U280" s="9">
        <v>281</v>
      </c>
      <c r="V280" s="9" t="s">
        <v>21</v>
      </c>
    </row>
    <row r="281" spans="1:22" x14ac:dyDescent="0.25">
      <c r="A281" s="10" t="s">
        <v>18</v>
      </c>
      <c r="B281" t="b">
        <v>0</v>
      </c>
      <c r="C281" t="b">
        <v>0</v>
      </c>
      <c r="D281" s="1">
        <v>0</v>
      </c>
      <c r="E281" s="1">
        <v>0</v>
      </c>
      <c r="F281" s="1">
        <v>0</v>
      </c>
      <c r="G281" s="1">
        <v>436</v>
      </c>
      <c r="H281" s="1">
        <v>0</v>
      </c>
      <c r="I281" s="1">
        <v>0</v>
      </c>
      <c r="J281" s="1">
        <f t="shared" si="14"/>
        <v>436</v>
      </c>
      <c r="K281" s="1">
        <v>0</v>
      </c>
      <c r="L281" s="1">
        <v>0</v>
      </c>
      <c r="M281" s="1">
        <v>0</v>
      </c>
      <c r="N281" s="1">
        <f t="shared" si="16"/>
        <v>0</v>
      </c>
      <c r="O281" s="14">
        <f t="shared" si="15"/>
        <v>436</v>
      </c>
      <c r="P281" s="17"/>
      <c r="Q281" s="1">
        <v>0</v>
      </c>
      <c r="R281" s="1">
        <v>0</v>
      </c>
      <c r="S281" s="20">
        <v>38384</v>
      </c>
      <c r="T281" s="1">
        <v>436</v>
      </c>
      <c r="U281" s="9">
        <v>436</v>
      </c>
      <c r="V281" s="9" t="s">
        <v>21</v>
      </c>
    </row>
    <row r="282" spans="1:22" x14ac:dyDescent="0.25">
      <c r="A282" s="10" t="s">
        <v>18</v>
      </c>
      <c r="B282" t="b">
        <v>0</v>
      </c>
      <c r="C282" t="b">
        <v>0</v>
      </c>
      <c r="D282" s="1">
        <v>0</v>
      </c>
      <c r="E282" s="1">
        <v>0</v>
      </c>
      <c r="F282" s="1">
        <v>0</v>
      </c>
      <c r="G282" s="1">
        <v>1223</v>
      </c>
      <c r="H282" s="1">
        <v>0</v>
      </c>
      <c r="I282" s="1">
        <v>0</v>
      </c>
      <c r="J282" s="1">
        <f t="shared" si="14"/>
        <v>1223</v>
      </c>
      <c r="K282" s="1">
        <v>0</v>
      </c>
      <c r="L282" s="1">
        <v>0</v>
      </c>
      <c r="M282" s="1">
        <v>0</v>
      </c>
      <c r="N282" s="1">
        <f t="shared" si="16"/>
        <v>0</v>
      </c>
      <c r="O282" s="14">
        <f t="shared" si="15"/>
        <v>1223</v>
      </c>
      <c r="P282" s="17"/>
      <c r="Q282" s="1">
        <v>0</v>
      </c>
      <c r="R282" s="1">
        <v>0</v>
      </c>
      <c r="S282" s="20">
        <v>38412</v>
      </c>
      <c r="T282" s="1">
        <v>1223</v>
      </c>
      <c r="U282" s="9">
        <v>1223</v>
      </c>
      <c r="V282" s="9" t="s">
        <v>21</v>
      </c>
    </row>
    <row r="283" spans="1:22" x14ac:dyDescent="0.25">
      <c r="A283" s="10" t="s">
        <v>18</v>
      </c>
      <c r="B283" t="b">
        <v>0</v>
      </c>
      <c r="C283" t="b">
        <v>0</v>
      </c>
      <c r="D283" s="1">
        <v>0</v>
      </c>
      <c r="E283" s="1">
        <v>0</v>
      </c>
      <c r="F283" s="1">
        <v>0</v>
      </c>
      <c r="G283" s="1">
        <v>1422</v>
      </c>
      <c r="H283" s="1">
        <v>0</v>
      </c>
      <c r="I283" s="1">
        <v>0</v>
      </c>
      <c r="J283" s="1">
        <f t="shared" si="14"/>
        <v>1422</v>
      </c>
      <c r="K283" s="1">
        <v>0</v>
      </c>
      <c r="L283" s="1">
        <v>0</v>
      </c>
      <c r="M283" s="1">
        <v>0</v>
      </c>
      <c r="N283" s="1">
        <f t="shared" si="16"/>
        <v>0</v>
      </c>
      <c r="O283" s="14">
        <f t="shared" si="15"/>
        <v>1422</v>
      </c>
      <c r="P283" s="17"/>
      <c r="Q283" s="1">
        <v>0</v>
      </c>
      <c r="R283" s="1">
        <v>0</v>
      </c>
      <c r="S283" s="20">
        <v>38443</v>
      </c>
      <c r="T283" s="1">
        <v>1422</v>
      </c>
      <c r="U283" s="9">
        <v>1422</v>
      </c>
      <c r="V283" s="9" t="s">
        <v>21</v>
      </c>
    </row>
    <row r="284" spans="1:22" x14ac:dyDescent="0.25">
      <c r="A284" s="10" t="s">
        <v>18</v>
      </c>
      <c r="B284" t="b">
        <v>0</v>
      </c>
      <c r="C284" t="b">
        <v>0</v>
      </c>
      <c r="D284" s="1">
        <v>0</v>
      </c>
      <c r="E284" s="1">
        <v>0</v>
      </c>
      <c r="F284" s="1">
        <v>0</v>
      </c>
      <c r="G284" s="1">
        <v>2008</v>
      </c>
      <c r="H284" s="1">
        <v>0</v>
      </c>
      <c r="I284" s="1">
        <v>0</v>
      </c>
      <c r="J284" s="1">
        <f t="shared" si="14"/>
        <v>2008</v>
      </c>
      <c r="K284" s="1">
        <v>0</v>
      </c>
      <c r="L284" s="1">
        <v>0</v>
      </c>
      <c r="M284" s="1">
        <v>0</v>
      </c>
      <c r="N284" s="1">
        <f t="shared" si="16"/>
        <v>0</v>
      </c>
      <c r="O284" s="14">
        <f t="shared" si="15"/>
        <v>2008</v>
      </c>
      <c r="P284" s="17"/>
      <c r="Q284" s="1">
        <v>0</v>
      </c>
      <c r="R284" s="1">
        <v>0</v>
      </c>
      <c r="S284" s="20">
        <v>38473</v>
      </c>
      <c r="T284" s="1">
        <v>2008</v>
      </c>
      <c r="U284" s="9">
        <v>2008</v>
      </c>
      <c r="V284" s="9" t="s">
        <v>21</v>
      </c>
    </row>
    <row r="285" spans="1:22" x14ac:dyDescent="0.25">
      <c r="A285" s="10" t="s">
        <v>18</v>
      </c>
      <c r="B285" t="b">
        <v>0</v>
      </c>
      <c r="C285" t="b">
        <v>0</v>
      </c>
      <c r="D285" s="1">
        <v>0</v>
      </c>
      <c r="E285" s="1">
        <v>0</v>
      </c>
      <c r="F285" s="1">
        <v>0</v>
      </c>
      <c r="G285" s="1">
        <v>1422</v>
      </c>
      <c r="H285" s="1">
        <v>0</v>
      </c>
      <c r="I285" s="1">
        <v>0</v>
      </c>
      <c r="J285" s="1">
        <f t="shared" si="14"/>
        <v>1422</v>
      </c>
      <c r="K285" s="1">
        <v>0</v>
      </c>
      <c r="L285" s="1">
        <v>0</v>
      </c>
      <c r="M285" s="1">
        <v>0</v>
      </c>
      <c r="N285" s="1">
        <f t="shared" si="16"/>
        <v>0</v>
      </c>
      <c r="O285" s="14">
        <f t="shared" si="15"/>
        <v>1422</v>
      </c>
      <c r="P285" s="17"/>
      <c r="Q285" s="1">
        <v>0</v>
      </c>
      <c r="R285" s="1">
        <v>0</v>
      </c>
      <c r="S285" s="20">
        <v>38504</v>
      </c>
      <c r="T285" s="1">
        <v>1422</v>
      </c>
      <c r="U285" s="9">
        <v>1422</v>
      </c>
      <c r="V285" s="9" t="s">
        <v>21</v>
      </c>
    </row>
    <row r="286" spans="1:22" x14ac:dyDescent="0.25">
      <c r="A286" s="10" t="s">
        <v>18</v>
      </c>
      <c r="B286" t="b">
        <v>0</v>
      </c>
      <c r="C286" t="b">
        <v>0</v>
      </c>
      <c r="D286" s="1">
        <v>0</v>
      </c>
      <c r="E286" s="1">
        <v>0</v>
      </c>
      <c r="F286" s="1">
        <v>0</v>
      </c>
      <c r="G286" s="1">
        <v>1403</v>
      </c>
      <c r="H286" s="1">
        <v>0</v>
      </c>
      <c r="I286" s="1">
        <v>0</v>
      </c>
      <c r="J286" s="1">
        <f t="shared" si="14"/>
        <v>1403</v>
      </c>
      <c r="K286" s="1">
        <v>0</v>
      </c>
      <c r="L286" s="1">
        <v>0</v>
      </c>
      <c r="M286" s="1">
        <v>0</v>
      </c>
      <c r="N286" s="1">
        <f t="shared" si="16"/>
        <v>0</v>
      </c>
      <c r="O286" s="14">
        <f t="shared" si="15"/>
        <v>1403</v>
      </c>
      <c r="P286" s="17"/>
      <c r="Q286" s="1">
        <v>0</v>
      </c>
      <c r="R286" s="1">
        <v>0</v>
      </c>
      <c r="S286" s="20">
        <v>38534</v>
      </c>
      <c r="T286" s="1">
        <v>1403</v>
      </c>
      <c r="U286" s="9">
        <v>1403</v>
      </c>
      <c r="V286" s="9" t="s">
        <v>21</v>
      </c>
    </row>
    <row r="287" spans="1:22" x14ac:dyDescent="0.25">
      <c r="A287" s="10" t="s">
        <v>18</v>
      </c>
      <c r="B287" t="b">
        <v>0</v>
      </c>
      <c r="C287" t="b">
        <v>0</v>
      </c>
      <c r="D287" s="1">
        <v>0</v>
      </c>
      <c r="E287" s="1">
        <v>0</v>
      </c>
      <c r="F287" s="1">
        <v>0</v>
      </c>
      <c r="G287" s="1">
        <v>1506</v>
      </c>
      <c r="H287" s="1">
        <v>0</v>
      </c>
      <c r="I287" s="1">
        <v>0</v>
      </c>
      <c r="J287" s="1">
        <f t="shared" si="14"/>
        <v>1506</v>
      </c>
      <c r="K287" s="1">
        <v>0</v>
      </c>
      <c r="L287" s="1">
        <v>0</v>
      </c>
      <c r="M287" s="1">
        <v>0</v>
      </c>
      <c r="N287" s="1">
        <f t="shared" si="16"/>
        <v>0</v>
      </c>
      <c r="O287" s="14">
        <f t="shared" si="15"/>
        <v>1506</v>
      </c>
      <c r="P287" s="17"/>
      <c r="Q287" s="1">
        <v>0</v>
      </c>
      <c r="R287" s="1">
        <v>0</v>
      </c>
      <c r="S287" s="20">
        <v>38565</v>
      </c>
      <c r="T287" s="1">
        <v>1506</v>
      </c>
      <c r="U287" s="9">
        <v>1506</v>
      </c>
      <c r="V287" s="9" t="s">
        <v>21</v>
      </c>
    </row>
    <row r="288" spans="1:22" x14ac:dyDescent="0.25">
      <c r="A288" s="10" t="s">
        <v>18</v>
      </c>
      <c r="B288" t="b">
        <v>0</v>
      </c>
      <c r="C288" t="b">
        <v>0</v>
      </c>
      <c r="D288" s="1">
        <v>0</v>
      </c>
      <c r="E288" s="1">
        <v>0</v>
      </c>
      <c r="F288" s="1">
        <v>0</v>
      </c>
      <c r="G288" s="1">
        <v>1499</v>
      </c>
      <c r="H288" s="1">
        <v>0</v>
      </c>
      <c r="I288" s="1">
        <v>0</v>
      </c>
      <c r="J288" s="1">
        <f t="shared" si="14"/>
        <v>1499</v>
      </c>
      <c r="K288" s="1">
        <v>0</v>
      </c>
      <c r="L288" s="1">
        <v>0</v>
      </c>
      <c r="M288" s="1">
        <v>0</v>
      </c>
      <c r="N288" s="1">
        <f t="shared" si="16"/>
        <v>0</v>
      </c>
      <c r="O288" s="14">
        <f t="shared" si="15"/>
        <v>1499</v>
      </c>
      <c r="P288" s="17"/>
      <c r="Q288" s="1">
        <v>0</v>
      </c>
      <c r="R288" s="1">
        <v>0</v>
      </c>
      <c r="S288" s="20">
        <v>38596</v>
      </c>
      <c r="T288" s="1">
        <v>1499</v>
      </c>
      <c r="U288" s="9">
        <v>1499</v>
      </c>
      <c r="V288" s="9" t="s">
        <v>21</v>
      </c>
    </row>
    <row r="289" spans="1:22" x14ac:dyDescent="0.25">
      <c r="A289" s="10" t="s">
        <v>18</v>
      </c>
      <c r="B289" t="b">
        <v>0</v>
      </c>
      <c r="C289" t="b">
        <v>0</v>
      </c>
      <c r="D289" s="1">
        <v>0</v>
      </c>
      <c r="E289" s="1">
        <v>0</v>
      </c>
      <c r="F289" s="1">
        <v>0</v>
      </c>
      <c r="G289" s="1">
        <v>2136</v>
      </c>
      <c r="H289" s="1">
        <v>0</v>
      </c>
      <c r="I289" s="1">
        <v>0</v>
      </c>
      <c r="J289" s="1">
        <f t="shared" si="14"/>
        <v>2136</v>
      </c>
      <c r="K289" s="1">
        <v>0</v>
      </c>
      <c r="L289" s="1">
        <v>0</v>
      </c>
      <c r="M289" s="1">
        <v>0</v>
      </c>
      <c r="N289" s="1">
        <f t="shared" si="16"/>
        <v>0</v>
      </c>
      <c r="O289" s="14">
        <f t="shared" si="15"/>
        <v>2136</v>
      </c>
      <c r="P289" s="17"/>
      <c r="Q289" s="1">
        <v>0</v>
      </c>
      <c r="R289" s="1">
        <v>0</v>
      </c>
      <c r="S289" s="20">
        <v>38626</v>
      </c>
      <c r="T289" s="1">
        <v>2136</v>
      </c>
      <c r="U289" s="9">
        <v>2136</v>
      </c>
      <c r="V289" s="9" t="s">
        <v>21</v>
      </c>
    </row>
    <row r="290" spans="1:22" x14ac:dyDescent="0.25">
      <c r="A290" s="10" t="s">
        <v>18</v>
      </c>
      <c r="B290" t="b">
        <v>0</v>
      </c>
      <c r="C290" t="b">
        <v>0</v>
      </c>
      <c r="D290" s="1">
        <v>0</v>
      </c>
      <c r="E290" s="1">
        <v>0</v>
      </c>
      <c r="F290" s="1">
        <v>0</v>
      </c>
      <c r="G290" s="1">
        <v>1081</v>
      </c>
      <c r="H290" s="1">
        <v>0</v>
      </c>
      <c r="I290" s="1">
        <v>0</v>
      </c>
      <c r="J290" s="1">
        <f t="shared" si="14"/>
        <v>1081</v>
      </c>
      <c r="K290" s="1">
        <v>0</v>
      </c>
      <c r="L290" s="1">
        <v>0</v>
      </c>
      <c r="M290" s="1">
        <v>0</v>
      </c>
      <c r="N290" s="1">
        <f t="shared" si="16"/>
        <v>0</v>
      </c>
      <c r="O290" s="14">
        <f t="shared" si="15"/>
        <v>1081</v>
      </c>
      <c r="P290" s="17"/>
      <c r="Q290" s="1">
        <v>0</v>
      </c>
      <c r="R290" s="1">
        <v>0</v>
      </c>
      <c r="S290" s="20">
        <v>38657</v>
      </c>
      <c r="T290" s="1">
        <v>1081</v>
      </c>
      <c r="U290" s="9">
        <v>1081</v>
      </c>
      <c r="V290" s="9" t="s">
        <v>21</v>
      </c>
    </row>
    <row r="291" spans="1:22" x14ac:dyDescent="0.25">
      <c r="A291" s="10" t="s">
        <v>18</v>
      </c>
      <c r="B291" t="b">
        <v>0</v>
      </c>
      <c r="C291" t="b">
        <v>0</v>
      </c>
      <c r="D291" s="1">
        <v>0</v>
      </c>
      <c r="E291" s="1">
        <v>0</v>
      </c>
      <c r="F291" s="1">
        <v>0</v>
      </c>
      <c r="G291" s="1">
        <v>1081</v>
      </c>
      <c r="H291" s="1">
        <v>0</v>
      </c>
      <c r="I291" s="1">
        <v>0</v>
      </c>
      <c r="J291" s="1">
        <f t="shared" si="14"/>
        <v>1081</v>
      </c>
      <c r="K291" s="1">
        <v>0</v>
      </c>
      <c r="L291" s="1">
        <v>0</v>
      </c>
      <c r="M291" s="1">
        <v>0</v>
      </c>
      <c r="N291" s="1">
        <f t="shared" si="16"/>
        <v>0</v>
      </c>
      <c r="O291" s="14">
        <f t="shared" si="15"/>
        <v>1081</v>
      </c>
      <c r="P291" s="17"/>
      <c r="Q291" s="1">
        <v>0</v>
      </c>
      <c r="R291" s="1">
        <v>0</v>
      </c>
      <c r="S291" s="20">
        <v>38687</v>
      </c>
      <c r="T291" s="1">
        <v>1081</v>
      </c>
      <c r="U291" s="9">
        <v>1081</v>
      </c>
      <c r="V291" s="9" t="s">
        <v>21</v>
      </c>
    </row>
    <row r="292" spans="1:22" x14ac:dyDescent="0.25">
      <c r="A292" s="10" t="s">
        <v>18</v>
      </c>
      <c r="B292" t="b">
        <v>0</v>
      </c>
      <c r="C292" t="b">
        <v>0</v>
      </c>
      <c r="D292" s="1">
        <v>0</v>
      </c>
      <c r="E292" s="1">
        <v>0</v>
      </c>
      <c r="F292" s="1">
        <v>0</v>
      </c>
      <c r="G292" s="1">
        <v>1081</v>
      </c>
      <c r="H292" s="1">
        <v>0</v>
      </c>
      <c r="I292" s="1">
        <v>0</v>
      </c>
      <c r="J292" s="1">
        <f t="shared" si="14"/>
        <v>1081</v>
      </c>
      <c r="K292" s="1">
        <v>0</v>
      </c>
      <c r="L292" s="1">
        <v>0</v>
      </c>
      <c r="M292" s="1">
        <v>0</v>
      </c>
      <c r="N292" s="1">
        <f t="shared" si="16"/>
        <v>0</v>
      </c>
      <c r="O292" s="14">
        <f t="shared" si="15"/>
        <v>1081</v>
      </c>
      <c r="P292" s="17"/>
      <c r="Q292" s="1">
        <v>0</v>
      </c>
      <c r="R292" s="1">
        <v>0</v>
      </c>
      <c r="S292" s="20">
        <v>38718</v>
      </c>
      <c r="T292" s="1">
        <v>1081</v>
      </c>
      <c r="U292" s="9">
        <v>1081</v>
      </c>
      <c r="V292" s="9" t="s">
        <v>21</v>
      </c>
    </row>
    <row r="293" spans="1:22" x14ac:dyDescent="0.25">
      <c r="A293" s="10" t="s">
        <v>18</v>
      </c>
      <c r="B293" t="b">
        <v>0</v>
      </c>
      <c r="C293" t="b">
        <v>0</v>
      </c>
      <c r="D293" s="1">
        <v>0</v>
      </c>
      <c r="E293" s="1">
        <v>0</v>
      </c>
      <c r="F293" s="1">
        <v>0</v>
      </c>
      <c r="G293" s="1">
        <v>1081</v>
      </c>
      <c r="H293" s="1">
        <v>0</v>
      </c>
      <c r="I293" s="1">
        <v>0</v>
      </c>
      <c r="J293" s="1">
        <f t="shared" si="14"/>
        <v>1081</v>
      </c>
      <c r="K293" s="1">
        <v>0</v>
      </c>
      <c r="L293" s="1">
        <v>0</v>
      </c>
      <c r="M293" s="1">
        <v>0</v>
      </c>
      <c r="N293" s="1">
        <f t="shared" si="16"/>
        <v>0</v>
      </c>
      <c r="O293" s="14">
        <f t="shared" si="15"/>
        <v>1081</v>
      </c>
      <c r="P293" s="17"/>
      <c r="Q293" s="1">
        <v>0</v>
      </c>
      <c r="R293" s="1">
        <v>0</v>
      </c>
      <c r="S293" s="20">
        <v>38749</v>
      </c>
      <c r="T293" s="1">
        <v>1081</v>
      </c>
      <c r="U293" s="9">
        <v>1081</v>
      </c>
      <c r="V293" s="9" t="s">
        <v>21</v>
      </c>
    </row>
    <row r="294" spans="1:22" x14ac:dyDescent="0.25">
      <c r="A294" s="10" t="s">
        <v>18</v>
      </c>
      <c r="B294" t="b">
        <v>0</v>
      </c>
      <c r="C294" t="b">
        <v>0</v>
      </c>
      <c r="D294" s="1">
        <v>0</v>
      </c>
      <c r="E294" s="1">
        <v>0</v>
      </c>
      <c r="F294" s="1">
        <v>0</v>
      </c>
      <c r="G294" s="1">
        <v>1081</v>
      </c>
      <c r="H294" s="1">
        <v>0</v>
      </c>
      <c r="I294" s="1">
        <v>0</v>
      </c>
      <c r="J294" s="1">
        <f t="shared" si="14"/>
        <v>1081</v>
      </c>
      <c r="K294" s="1">
        <v>0</v>
      </c>
      <c r="L294" s="1">
        <v>0</v>
      </c>
      <c r="M294" s="1">
        <v>0</v>
      </c>
      <c r="N294" s="1">
        <f t="shared" si="16"/>
        <v>0</v>
      </c>
      <c r="O294" s="14">
        <f t="shared" si="15"/>
        <v>1081</v>
      </c>
      <c r="P294" s="17"/>
      <c r="Q294" s="1">
        <v>0</v>
      </c>
      <c r="R294" s="1">
        <v>0</v>
      </c>
      <c r="S294" s="20">
        <v>38777</v>
      </c>
      <c r="T294" s="1">
        <v>1081</v>
      </c>
      <c r="U294" s="9">
        <v>1081</v>
      </c>
      <c r="V294" s="9" t="s">
        <v>21</v>
      </c>
    </row>
    <row r="295" spans="1:22" x14ac:dyDescent="0.25">
      <c r="A295" s="10" t="s">
        <v>18</v>
      </c>
      <c r="B295" t="b">
        <v>0</v>
      </c>
      <c r="C295" t="b">
        <v>0</v>
      </c>
      <c r="D295" s="1">
        <v>0</v>
      </c>
      <c r="E295" s="1">
        <v>0</v>
      </c>
      <c r="F295" s="1">
        <v>0</v>
      </c>
      <c r="G295" s="1">
        <v>1081</v>
      </c>
      <c r="H295" s="1">
        <v>0</v>
      </c>
      <c r="I295" s="1">
        <v>0</v>
      </c>
      <c r="J295" s="1">
        <f t="shared" si="14"/>
        <v>1081</v>
      </c>
      <c r="K295" s="1">
        <v>0</v>
      </c>
      <c r="L295" s="1">
        <v>0</v>
      </c>
      <c r="M295" s="1">
        <v>0</v>
      </c>
      <c r="N295" s="1">
        <f t="shared" si="16"/>
        <v>0</v>
      </c>
      <c r="O295" s="14">
        <f t="shared" si="15"/>
        <v>1081</v>
      </c>
      <c r="P295" s="17"/>
      <c r="Q295" s="1">
        <v>0</v>
      </c>
      <c r="R295" s="1">
        <v>0</v>
      </c>
      <c r="S295" s="20">
        <v>38808</v>
      </c>
      <c r="T295" s="1">
        <v>1081</v>
      </c>
      <c r="U295" s="9">
        <v>1081</v>
      </c>
      <c r="V295" s="9" t="s">
        <v>21</v>
      </c>
    </row>
    <row r="296" spans="1:22" x14ac:dyDescent="0.25">
      <c r="A296" s="10" t="s">
        <v>18</v>
      </c>
      <c r="B296" t="b">
        <v>0</v>
      </c>
      <c r="C296" t="b">
        <v>0</v>
      </c>
      <c r="D296" s="1">
        <v>0</v>
      </c>
      <c r="E296" s="1">
        <v>0</v>
      </c>
      <c r="F296" s="1">
        <v>0</v>
      </c>
      <c r="G296" s="1">
        <v>2068</v>
      </c>
      <c r="H296" s="1">
        <v>0</v>
      </c>
      <c r="I296" s="1">
        <v>0</v>
      </c>
      <c r="J296" s="1">
        <f t="shared" si="14"/>
        <v>2068</v>
      </c>
      <c r="K296" s="1">
        <v>0</v>
      </c>
      <c r="L296" s="1">
        <v>0</v>
      </c>
      <c r="M296" s="1">
        <v>0</v>
      </c>
      <c r="N296" s="1">
        <f t="shared" si="16"/>
        <v>0</v>
      </c>
      <c r="O296" s="14">
        <f t="shared" si="15"/>
        <v>2068</v>
      </c>
      <c r="P296" s="17"/>
      <c r="Q296" s="1">
        <v>0</v>
      </c>
      <c r="R296" s="1">
        <v>0</v>
      </c>
      <c r="S296" s="20">
        <v>38838</v>
      </c>
      <c r="T296" s="1">
        <v>2068</v>
      </c>
      <c r="U296" s="9">
        <v>2068</v>
      </c>
      <c r="V296" s="9" t="s">
        <v>21</v>
      </c>
    </row>
    <row r="297" spans="1:22" x14ac:dyDescent="0.25">
      <c r="A297" s="10" t="s">
        <v>18</v>
      </c>
      <c r="B297" t="b">
        <v>0</v>
      </c>
      <c r="C297" t="b">
        <v>0</v>
      </c>
      <c r="D297" s="1">
        <v>0</v>
      </c>
      <c r="E297" s="1">
        <v>0</v>
      </c>
      <c r="F297" s="1">
        <v>0</v>
      </c>
      <c r="G297" s="1">
        <v>1573</v>
      </c>
      <c r="H297" s="1">
        <v>0</v>
      </c>
      <c r="I297" s="1">
        <v>0</v>
      </c>
      <c r="J297" s="1">
        <f t="shared" si="14"/>
        <v>1573</v>
      </c>
      <c r="K297" s="1">
        <v>0</v>
      </c>
      <c r="L297" s="1">
        <v>0</v>
      </c>
      <c r="M297" s="1">
        <v>0</v>
      </c>
      <c r="N297" s="1">
        <f t="shared" si="16"/>
        <v>0</v>
      </c>
      <c r="O297" s="14">
        <f t="shared" si="15"/>
        <v>1573</v>
      </c>
      <c r="P297" s="17"/>
      <c r="Q297" s="1">
        <v>0</v>
      </c>
      <c r="R297" s="1">
        <v>0</v>
      </c>
      <c r="S297" s="20">
        <v>38869</v>
      </c>
      <c r="T297" s="1">
        <v>1573</v>
      </c>
      <c r="U297" s="9">
        <v>1573</v>
      </c>
      <c r="V297" s="9" t="s">
        <v>21</v>
      </c>
    </row>
    <row r="298" spans="1:22" x14ac:dyDescent="0.25">
      <c r="A298" s="10" t="s">
        <v>18</v>
      </c>
      <c r="B298" t="b">
        <v>0</v>
      </c>
      <c r="C298" t="b">
        <v>0</v>
      </c>
      <c r="D298" s="1">
        <v>0</v>
      </c>
      <c r="E298" s="1">
        <v>0</v>
      </c>
      <c r="F298" s="1">
        <v>0</v>
      </c>
      <c r="G298" s="1">
        <v>1468</v>
      </c>
      <c r="H298" s="1">
        <v>0</v>
      </c>
      <c r="I298" s="1">
        <v>0</v>
      </c>
      <c r="J298" s="1">
        <f t="shared" si="14"/>
        <v>1468</v>
      </c>
      <c r="K298" s="1">
        <v>0</v>
      </c>
      <c r="L298" s="1">
        <v>0</v>
      </c>
      <c r="M298" s="1">
        <v>0</v>
      </c>
      <c r="N298" s="1">
        <f t="shared" si="16"/>
        <v>0</v>
      </c>
      <c r="O298" s="14">
        <f t="shared" si="15"/>
        <v>1468</v>
      </c>
      <c r="P298" s="17"/>
      <c r="Q298" s="1">
        <v>0</v>
      </c>
      <c r="R298" s="1">
        <v>0</v>
      </c>
      <c r="S298" s="20">
        <v>38899</v>
      </c>
      <c r="T298" s="1">
        <v>1468</v>
      </c>
      <c r="U298" s="9">
        <v>1468</v>
      </c>
      <c r="V298" s="9" t="s">
        <v>21</v>
      </c>
    </row>
    <row r="299" spans="1:22" x14ac:dyDescent="0.25">
      <c r="A299" s="10" t="s">
        <v>18</v>
      </c>
      <c r="B299" t="b">
        <v>0</v>
      </c>
      <c r="C299" t="b">
        <v>0</v>
      </c>
      <c r="D299" s="1">
        <v>0</v>
      </c>
      <c r="E299" s="1">
        <v>0</v>
      </c>
      <c r="F299" s="1">
        <v>0</v>
      </c>
      <c r="G299" s="1">
        <v>1581</v>
      </c>
      <c r="H299" s="1">
        <v>0</v>
      </c>
      <c r="I299" s="1">
        <v>0</v>
      </c>
      <c r="J299" s="1">
        <f t="shared" si="14"/>
        <v>1581</v>
      </c>
      <c r="K299" s="1">
        <v>0</v>
      </c>
      <c r="L299" s="1">
        <v>0</v>
      </c>
      <c r="M299" s="1">
        <v>0</v>
      </c>
      <c r="N299" s="1">
        <f t="shared" si="16"/>
        <v>0</v>
      </c>
      <c r="O299" s="14">
        <f t="shared" si="15"/>
        <v>1581</v>
      </c>
      <c r="P299" s="17"/>
      <c r="Q299" s="1">
        <v>0</v>
      </c>
      <c r="R299" s="1">
        <v>0</v>
      </c>
      <c r="S299" s="20">
        <v>38930</v>
      </c>
      <c r="T299" s="1">
        <v>1581</v>
      </c>
      <c r="U299" s="9">
        <v>1581</v>
      </c>
      <c r="V299" s="9" t="s">
        <v>21</v>
      </c>
    </row>
    <row r="300" spans="1:22" x14ac:dyDescent="0.25">
      <c r="A300" s="10" t="s">
        <v>18</v>
      </c>
      <c r="B300" t="b">
        <v>0</v>
      </c>
      <c r="C300" t="b">
        <v>0</v>
      </c>
      <c r="D300" s="1">
        <v>0</v>
      </c>
      <c r="E300" s="1">
        <v>0</v>
      </c>
      <c r="F300" s="1">
        <v>0</v>
      </c>
      <c r="G300" s="1">
        <v>1641</v>
      </c>
      <c r="H300" s="1">
        <v>0</v>
      </c>
      <c r="I300" s="1">
        <v>0</v>
      </c>
      <c r="J300" s="1">
        <f t="shared" si="14"/>
        <v>1641</v>
      </c>
      <c r="K300" s="1">
        <v>0</v>
      </c>
      <c r="L300" s="1">
        <v>0</v>
      </c>
      <c r="M300" s="1">
        <v>0</v>
      </c>
      <c r="N300" s="1">
        <f t="shared" si="16"/>
        <v>0</v>
      </c>
      <c r="O300" s="14">
        <f t="shared" si="15"/>
        <v>1641</v>
      </c>
      <c r="P300" s="17"/>
      <c r="Q300" s="1">
        <v>0</v>
      </c>
      <c r="R300" s="1">
        <v>0</v>
      </c>
      <c r="S300" s="20">
        <v>38961</v>
      </c>
      <c r="T300" s="1">
        <v>1641</v>
      </c>
      <c r="U300" s="9">
        <v>1641</v>
      </c>
      <c r="V300" s="9" t="s">
        <v>21</v>
      </c>
    </row>
    <row r="301" spans="1:22" x14ac:dyDescent="0.25">
      <c r="A301" s="10" t="s">
        <v>18</v>
      </c>
      <c r="B301" t="b">
        <v>0</v>
      </c>
      <c r="C301" t="b">
        <v>0</v>
      </c>
      <c r="D301" s="1">
        <v>0</v>
      </c>
      <c r="E301" s="1">
        <v>0</v>
      </c>
      <c r="F301" s="1">
        <v>0</v>
      </c>
      <c r="G301" s="1">
        <v>1081</v>
      </c>
      <c r="H301" s="1">
        <v>0</v>
      </c>
      <c r="I301" s="1">
        <v>0</v>
      </c>
      <c r="J301" s="1">
        <f t="shared" si="14"/>
        <v>1081</v>
      </c>
      <c r="K301" s="1">
        <v>0</v>
      </c>
      <c r="L301" s="1">
        <v>0</v>
      </c>
      <c r="M301" s="1">
        <v>0</v>
      </c>
      <c r="N301" s="1">
        <f t="shared" si="16"/>
        <v>0</v>
      </c>
      <c r="O301" s="14">
        <f t="shared" si="15"/>
        <v>1081</v>
      </c>
      <c r="P301" s="17"/>
      <c r="Q301" s="1">
        <v>0</v>
      </c>
      <c r="R301" s="1">
        <v>0</v>
      </c>
      <c r="S301" s="20">
        <v>38991</v>
      </c>
      <c r="T301" s="1">
        <v>1081</v>
      </c>
      <c r="U301" s="9">
        <v>1081</v>
      </c>
      <c r="V301" s="9" t="s">
        <v>21</v>
      </c>
    </row>
    <row r="302" spans="1:22" x14ac:dyDescent="0.25">
      <c r="A302" s="10" t="s">
        <v>18</v>
      </c>
      <c r="B302" t="b">
        <v>0</v>
      </c>
      <c r="C302" t="b">
        <v>0</v>
      </c>
      <c r="D302" s="1">
        <v>0</v>
      </c>
      <c r="E302" s="1">
        <v>0</v>
      </c>
      <c r="F302" s="1">
        <v>0</v>
      </c>
      <c r="G302" s="1">
        <v>1081</v>
      </c>
      <c r="H302" s="1">
        <v>0</v>
      </c>
      <c r="I302" s="1">
        <v>0</v>
      </c>
      <c r="J302" s="1">
        <f t="shared" si="14"/>
        <v>1081</v>
      </c>
      <c r="K302" s="1">
        <v>0</v>
      </c>
      <c r="L302" s="1">
        <v>0</v>
      </c>
      <c r="M302" s="1">
        <v>0</v>
      </c>
      <c r="N302" s="1">
        <f t="shared" si="16"/>
        <v>0</v>
      </c>
      <c r="O302" s="14">
        <f t="shared" si="15"/>
        <v>1081</v>
      </c>
      <c r="P302" s="17"/>
      <c r="Q302" s="1">
        <v>0</v>
      </c>
      <c r="R302" s="1">
        <v>0</v>
      </c>
      <c r="S302" s="20">
        <v>39022</v>
      </c>
      <c r="T302" s="1">
        <v>1081</v>
      </c>
      <c r="U302" s="9">
        <v>1081</v>
      </c>
      <c r="V302" s="9" t="s">
        <v>21</v>
      </c>
    </row>
    <row r="303" spans="1:22" x14ac:dyDescent="0.25">
      <c r="A303" s="10" t="s">
        <v>18</v>
      </c>
      <c r="B303" t="b">
        <v>0</v>
      </c>
      <c r="C303" t="b">
        <v>0</v>
      </c>
      <c r="D303" s="1">
        <v>0</v>
      </c>
      <c r="E303" s="1">
        <v>0</v>
      </c>
      <c r="F303" s="1">
        <v>0</v>
      </c>
      <c r="G303" s="1">
        <v>1081</v>
      </c>
      <c r="H303" s="1">
        <v>0</v>
      </c>
      <c r="I303" s="1">
        <v>0</v>
      </c>
      <c r="J303" s="1">
        <f t="shared" ref="J303:J366" si="17">D303+E303+F303+G303+H303+I303</f>
        <v>1081</v>
      </c>
      <c r="K303" s="1">
        <v>0</v>
      </c>
      <c r="L303" s="1">
        <v>0</v>
      </c>
      <c r="M303" s="1">
        <v>0</v>
      </c>
      <c r="N303" s="1">
        <f t="shared" si="16"/>
        <v>0</v>
      </c>
      <c r="O303" s="14">
        <f t="shared" ref="O303:O366" si="18">J303</f>
        <v>1081</v>
      </c>
      <c r="P303" s="17"/>
      <c r="Q303" s="1">
        <v>0</v>
      </c>
      <c r="R303" s="1">
        <v>0</v>
      </c>
      <c r="S303" s="20">
        <v>39052</v>
      </c>
      <c r="T303" s="1">
        <v>1081</v>
      </c>
      <c r="U303" s="9">
        <v>1081</v>
      </c>
      <c r="V303" s="9" t="s">
        <v>21</v>
      </c>
    </row>
    <row r="304" spans="1:22" x14ac:dyDescent="0.25">
      <c r="A304" s="10" t="s">
        <v>18</v>
      </c>
      <c r="B304" t="b">
        <v>0</v>
      </c>
      <c r="C304" t="b">
        <v>0</v>
      </c>
      <c r="D304" s="1">
        <v>0</v>
      </c>
      <c r="E304" s="1">
        <v>0</v>
      </c>
      <c r="F304" s="1">
        <v>0</v>
      </c>
      <c r="G304" s="1">
        <v>1081</v>
      </c>
      <c r="H304" s="1">
        <v>0</v>
      </c>
      <c r="I304" s="1">
        <v>0</v>
      </c>
      <c r="J304" s="1">
        <f t="shared" si="17"/>
        <v>1081</v>
      </c>
      <c r="K304" s="1">
        <v>0</v>
      </c>
      <c r="L304" s="1">
        <v>0</v>
      </c>
      <c r="M304" s="1">
        <v>0</v>
      </c>
      <c r="N304" s="1">
        <f t="shared" si="16"/>
        <v>0</v>
      </c>
      <c r="O304" s="14">
        <f t="shared" si="18"/>
        <v>1081</v>
      </c>
      <c r="P304" s="17"/>
      <c r="Q304" s="1">
        <v>0</v>
      </c>
      <c r="R304" s="1">
        <v>0</v>
      </c>
      <c r="S304" s="20">
        <v>39083</v>
      </c>
      <c r="T304" s="1">
        <v>1081</v>
      </c>
      <c r="U304" s="9">
        <v>1081</v>
      </c>
      <c r="V304" s="9" t="s">
        <v>41</v>
      </c>
    </row>
    <row r="305" spans="1:22" x14ac:dyDescent="0.25">
      <c r="A305" s="10" t="s">
        <v>18</v>
      </c>
      <c r="B305" t="b">
        <v>0</v>
      </c>
      <c r="C305" t="b">
        <v>0</v>
      </c>
      <c r="D305" s="1">
        <v>0</v>
      </c>
      <c r="E305" s="1">
        <v>0</v>
      </c>
      <c r="F305" s="1">
        <v>0</v>
      </c>
      <c r="G305" s="1">
        <v>1081</v>
      </c>
      <c r="H305" s="1">
        <v>0</v>
      </c>
      <c r="I305" s="1">
        <v>0</v>
      </c>
      <c r="J305" s="1">
        <f t="shared" si="17"/>
        <v>1081</v>
      </c>
      <c r="K305" s="1">
        <v>0</v>
      </c>
      <c r="L305" s="1">
        <v>0</v>
      </c>
      <c r="M305" s="1">
        <v>0</v>
      </c>
      <c r="N305" s="1">
        <f t="shared" si="16"/>
        <v>0</v>
      </c>
      <c r="O305" s="14">
        <f t="shared" si="18"/>
        <v>1081</v>
      </c>
      <c r="P305" s="17"/>
      <c r="Q305" s="1">
        <v>0</v>
      </c>
      <c r="R305" s="1">
        <v>0</v>
      </c>
      <c r="S305" s="20">
        <v>39114</v>
      </c>
      <c r="T305" s="1">
        <v>1081</v>
      </c>
      <c r="U305" s="9">
        <v>1081</v>
      </c>
      <c r="V305" s="9" t="s">
        <v>41</v>
      </c>
    </row>
    <row r="306" spans="1:22" x14ac:dyDescent="0.25">
      <c r="A306" s="10" t="s">
        <v>18</v>
      </c>
      <c r="B306" t="b">
        <v>0</v>
      </c>
      <c r="C306" t="b">
        <v>0</v>
      </c>
      <c r="D306" s="1">
        <v>0</v>
      </c>
      <c r="E306" s="1">
        <v>0</v>
      </c>
      <c r="F306" s="1">
        <v>0</v>
      </c>
      <c r="G306" s="1">
        <v>1347</v>
      </c>
      <c r="H306" s="1">
        <v>0</v>
      </c>
      <c r="I306" s="1">
        <v>0</v>
      </c>
      <c r="J306" s="1">
        <f t="shared" si="17"/>
        <v>1347</v>
      </c>
      <c r="K306" s="1">
        <v>0</v>
      </c>
      <c r="L306" s="1">
        <v>0</v>
      </c>
      <c r="M306" s="1">
        <v>0</v>
      </c>
      <c r="N306" s="1">
        <f t="shared" si="16"/>
        <v>0</v>
      </c>
      <c r="O306" s="14">
        <f t="shared" si="18"/>
        <v>1347</v>
      </c>
      <c r="P306" s="17"/>
      <c r="Q306" s="1">
        <v>0</v>
      </c>
      <c r="R306" s="1">
        <v>0</v>
      </c>
      <c r="S306" s="20">
        <v>39142</v>
      </c>
      <c r="T306" s="1">
        <v>1347</v>
      </c>
      <c r="U306" s="9">
        <v>1347</v>
      </c>
      <c r="V306" s="9" t="s">
        <v>41</v>
      </c>
    </row>
    <row r="307" spans="1:22" x14ac:dyDescent="0.25">
      <c r="A307" s="10" t="s">
        <v>18</v>
      </c>
      <c r="B307" t="b">
        <v>0</v>
      </c>
      <c r="C307" t="b">
        <v>0</v>
      </c>
      <c r="D307" s="1">
        <v>0</v>
      </c>
      <c r="E307" s="1">
        <v>0</v>
      </c>
      <c r="F307" s="1">
        <v>0</v>
      </c>
      <c r="G307" s="1">
        <v>1253</v>
      </c>
      <c r="H307" s="1">
        <v>0</v>
      </c>
      <c r="I307" s="1">
        <v>0</v>
      </c>
      <c r="J307" s="1">
        <f t="shared" si="17"/>
        <v>1253</v>
      </c>
      <c r="K307" s="1">
        <v>0</v>
      </c>
      <c r="L307" s="1">
        <v>0</v>
      </c>
      <c r="M307" s="1">
        <v>0</v>
      </c>
      <c r="N307" s="1">
        <f t="shared" si="16"/>
        <v>0</v>
      </c>
      <c r="O307" s="14">
        <f t="shared" si="18"/>
        <v>1253</v>
      </c>
      <c r="P307" s="17"/>
      <c r="Q307" s="1">
        <v>0</v>
      </c>
      <c r="R307" s="1">
        <v>0</v>
      </c>
      <c r="S307" s="20">
        <v>39173</v>
      </c>
      <c r="T307" s="1">
        <v>1253</v>
      </c>
      <c r="U307" s="9">
        <v>1253</v>
      </c>
      <c r="V307" s="9" t="s">
        <v>41</v>
      </c>
    </row>
    <row r="308" spans="1:22" x14ac:dyDescent="0.25">
      <c r="A308" s="10" t="s">
        <v>18</v>
      </c>
      <c r="B308" t="b">
        <v>0</v>
      </c>
      <c r="C308" t="b">
        <v>0</v>
      </c>
      <c r="D308" s="1">
        <v>0</v>
      </c>
      <c r="E308" s="1">
        <v>0</v>
      </c>
      <c r="F308" s="1">
        <v>0</v>
      </c>
      <c r="G308" s="1">
        <v>2138</v>
      </c>
      <c r="H308" s="1">
        <v>0</v>
      </c>
      <c r="I308" s="1">
        <v>0</v>
      </c>
      <c r="J308" s="1">
        <f t="shared" si="17"/>
        <v>2138</v>
      </c>
      <c r="K308" s="1">
        <v>0</v>
      </c>
      <c r="L308" s="1">
        <v>0</v>
      </c>
      <c r="M308" s="1">
        <v>0</v>
      </c>
      <c r="N308" s="1">
        <f t="shared" si="16"/>
        <v>0</v>
      </c>
      <c r="O308" s="14">
        <f t="shared" si="18"/>
        <v>2138</v>
      </c>
      <c r="P308" s="17"/>
      <c r="Q308" s="1">
        <v>0</v>
      </c>
      <c r="R308" s="1">
        <v>0</v>
      </c>
      <c r="S308" s="20">
        <v>39203</v>
      </c>
      <c r="T308" s="1">
        <v>2138</v>
      </c>
      <c r="U308" s="9">
        <v>2138</v>
      </c>
      <c r="V308" s="9" t="s">
        <v>41</v>
      </c>
    </row>
    <row r="309" spans="1:22" x14ac:dyDescent="0.25">
      <c r="A309" s="10" t="s">
        <v>18</v>
      </c>
      <c r="B309" t="b">
        <v>0</v>
      </c>
      <c r="C309" t="b">
        <v>0</v>
      </c>
      <c r="D309" s="1">
        <v>0</v>
      </c>
      <c r="E309" s="1">
        <v>0</v>
      </c>
      <c r="F309" s="1">
        <v>0</v>
      </c>
      <c r="G309" s="1">
        <v>1646</v>
      </c>
      <c r="H309" s="1">
        <v>0</v>
      </c>
      <c r="I309" s="1">
        <v>0</v>
      </c>
      <c r="J309" s="1">
        <f t="shared" si="17"/>
        <v>1646</v>
      </c>
      <c r="K309" s="1">
        <v>0</v>
      </c>
      <c r="L309" s="1">
        <v>0</v>
      </c>
      <c r="M309" s="1">
        <v>0</v>
      </c>
      <c r="N309" s="1">
        <f t="shared" si="16"/>
        <v>0</v>
      </c>
      <c r="O309" s="14">
        <f t="shared" si="18"/>
        <v>1646</v>
      </c>
      <c r="P309" s="17"/>
      <c r="Q309" s="1">
        <v>0</v>
      </c>
      <c r="R309" s="1">
        <v>0</v>
      </c>
      <c r="S309" s="20">
        <v>39234</v>
      </c>
      <c r="T309" s="1">
        <v>1646</v>
      </c>
      <c r="U309" s="9">
        <v>1646</v>
      </c>
      <c r="V309" s="9" t="s">
        <v>41</v>
      </c>
    </row>
    <row r="310" spans="1:22" x14ac:dyDescent="0.25">
      <c r="A310" s="10" t="s">
        <v>18</v>
      </c>
      <c r="B310" t="b">
        <v>0</v>
      </c>
      <c r="C310" t="b">
        <v>0</v>
      </c>
      <c r="D310" s="1">
        <v>0</v>
      </c>
      <c r="E310" s="1">
        <v>0</v>
      </c>
      <c r="F310" s="1">
        <v>0</v>
      </c>
      <c r="G310" s="1">
        <v>1998</v>
      </c>
      <c r="H310" s="1">
        <v>0</v>
      </c>
      <c r="I310" s="1">
        <v>0</v>
      </c>
      <c r="J310" s="1">
        <f t="shared" si="17"/>
        <v>1998</v>
      </c>
      <c r="K310" s="1">
        <v>0</v>
      </c>
      <c r="L310" s="1">
        <v>0</v>
      </c>
      <c r="M310" s="1">
        <v>0</v>
      </c>
      <c r="N310" s="1">
        <f t="shared" si="16"/>
        <v>0</v>
      </c>
      <c r="O310" s="14">
        <f t="shared" si="18"/>
        <v>1998</v>
      </c>
      <c r="P310" s="17"/>
      <c r="Q310" s="1">
        <v>0</v>
      </c>
      <c r="R310" s="1">
        <v>0</v>
      </c>
      <c r="S310" s="20">
        <v>39264</v>
      </c>
      <c r="T310" s="1">
        <v>1998</v>
      </c>
      <c r="U310" s="9">
        <v>1998</v>
      </c>
      <c r="V310" s="9" t="s">
        <v>41</v>
      </c>
    </row>
    <row r="311" spans="1:22" x14ac:dyDescent="0.25">
      <c r="A311" s="10" t="s">
        <v>18</v>
      </c>
      <c r="B311" t="b">
        <v>0</v>
      </c>
      <c r="C311" t="b">
        <v>0</v>
      </c>
      <c r="D311" s="1">
        <v>0</v>
      </c>
      <c r="E311" s="1">
        <v>0</v>
      </c>
      <c r="F311" s="1">
        <v>0</v>
      </c>
      <c r="G311" s="1">
        <v>1653</v>
      </c>
      <c r="H311" s="1">
        <v>0</v>
      </c>
      <c r="I311" s="1">
        <v>0</v>
      </c>
      <c r="J311" s="1">
        <f t="shared" si="17"/>
        <v>1653</v>
      </c>
      <c r="K311" s="1">
        <v>0</v>
      </c>
      <c r="L311" s="1">
        <v>0</v>
      </c>
      <c r="M311" s="1">
        <v>0</v>
      </c>
      <c r="N311" s="1">
        <f t="shared" si="16"/>
        <v>0</v>
      </c>
      <c r="O311" s="14">
        <f t="shared" si="18"/>
        <v>1653</v>
      </c>
      <c r="P311" s="17"/>
      <c r="Q311" s="1">
        <v>0</v>
      </c>
      <c r="R311" s="1">
        <v>0</v>
      </c>
      <c r="S311" s="20">
        <v>39295</v>
      </c>
      <c r="T311" s="1">
        <v>1653</v>
      </c>
      <c r="U311" s="9">
        <v>1653</v>
      </c>
      <c r="V311" s="9" t="s">
        <v>41</v>
      </c>
    </row>
    <row r="312" spans="1:22" x14ac:dyDescent="0.25">
      <c r="A312" s="10" t="s">
        <v>18</v>
      </c>
      <c r="B312" t="b">
        <v>0</v>
      </c>
      <c r="C312" t="b">
        <v>0</v>
      </c>
      <c r="D312" s="1">
        <v>0</v>
      </c>
      <c r="E312" s="1">
        <v>0</v>
      </c>
      <c r="F312" s="1">
        <v>0</v>
      </c>
      <c r="G312" s="1">
        <v>1833</v>
      </c>
      <c r="H312" s="1">
        <v>0</v>
      </c>
      <c r="I312" s="1">
        <v>0</v>
      </c>
      <c r="J312" s="1">
        <f t="shared" si="17"/>
        <v>1833</v>
      </c>
      <c r="K312" s="1">
        <v>0</v>
      </c>
      <c r="L312" s="1">
        <v>0</v>
      </c>
      <c r="M312" s="1">
        <v>0</v>
      </c>
      <c r="N312" s="1">
        <f t="shared" si="16"/>
        <v>0</v>
      </c>
      <c r="O312" s="14">
        <f t="shared" si="18"/>
        <v>1833</v>
      </c>
      <c r="P312" s="17"/>
      <c r="Q312" s="1">
        <v>0</v>
      </c>
      <c r="R312" s="1">
        <v>0</v>
      </c>
      <c r="S312" s="20">
        <v>39326</v>
      </c>
      <c r="T312" s="1">
        <v>1833</v>
      </c>
      <c r="U312" s="9">
        <v>1833</v>
      </c>
      <c r="V312" s="9" t="s">
        <v>41</v>
      </c>
    </row>
    <row r="313" spans="1:22" x14ac:dyDescent="0.25">
      <c r="A313" s="10" t="s">
        <v>18</v>
      </c>
      <c r="B313" t="b">
        <v>0</v>
      </c>
      <c r="C313" t="b">
        <v>0</v>
      </c>
      <c r="D313" s="1">
        <v>0</v>
      </c>
      <c r="E313" s="1">
        <v>0</v>
      </c>
      <c r="F313" s="1">
        <v>0</v>
      </c>
      <c r="G313" s="1">
        <v>1570</v>
      </c>
      <c r="H313" s="1">
        <v>727</v>
      </c>
      <c r="I313" s="1">
        <v>0</v>
      </c>
      <c r="J313" s="1">
        <f t="shared" si="17"/>
        <v>2297</v>
      </c>
      <c r="K313" s="1">
        <v>0</v>
      </c>
      <c r="L313" s="1">
        <v>0</v>
      </c>
      <c r="M313" s="1">
        <v>0</v>
      </c>
      <c r="N313" s="1">
        <f t="shared" si="16"/>
        <v>0</v>
      </c>
      <c r="O313" s="14">
        <f t="shared" si="18"/>
        <v>2297</v>
      </c>
      <c r="P313" s="17"/>
      <c r="Q313" s="1">
        <v>0</v>
      </c>
      <c r="R313" s="1">
        <v>0</v>
      </c>
      <c r="S313" s="20">
        <v>39356</v>
      </c>
      <c r="T313" s="1">
        <v>2297</v>
      </c>
      <c r="U313" s="9">
        <v>2297</v>
      </c>
      <c r="V313" s="9" t="s">
        <v>41</v>
      </c>
    </row>
    <row r="314" spans="1:22" x14ac:dyDescent="0.25">
      <c r="A314" s="10" t="s">
        <v>18</v>
      </c>
      <c r="B314" t="b">
        <v>0</v>
      </c>
      <c r="C314" t="b">
        <v>0</v>
      </c>
      <c r="D314" s="1">
        <v>0</v>
      </c>
      <c r="E314" s="1">
        <v>0</v>
      </c>
      <c r="F314" s="1">
        <v>0</v>
      </c>
      <c r="G314" s="1">
        <v>2075</v>
      </c>
      <c r="H314" s="1">
        <v>0</v>
      </c>
      <c r="I314" s="1">
        <v>0</v>
      </c>
      <c r="J314" s="1">
        <f t="shared" si="17"/>
        <v>2075</v>
      </c>
      <c r="K314" s="1">
        <v>0</v>
      </c>
      <c r="L314" s="1">
        <v>0</v>
      </c>
      <c r="M314" s="1">
        <v>0</v>
      </c>
      <c r="N314" s="1">
        <f t="shared" si="16"/>
        <v>0</v>
      </c>
      <c r="O314" s="14">
        <f t="shared" si="18"/>
        <v>2075</v>
      </c>
      <c r="P314" s="17"/>
      <c r="Q314" s="1">
        <v>0</v>
      </c>
      <c r="R314" s="1">
        <v>0</v>
      </c>
      <c r="S314" s="20">
        <v>39387</v>
      </c>
      <c r="T314" s="1">
        <v>2075</v>
      </c>
      <c r="U314" s="9">
        <v>2075</v>
      </c>
      <c r="V314" s="9" t="s">
        <v>41</v>
      </c>
    </row>
    <row r="315" spans="1:22" x14ac:dyDescent="0.25">
      <c r="A315" s="10" t="s">
        <v>18</v>
      </c>
      <c r="B315" t="b">
        <v>0</v>
      </c>
      <c r="C315" t="b">
        <v>0</v>
      </c>
      <c r="D315" s="1">
        <v>0</v>
      </c>
      <c r="E315" s="1">
        <v>0</v>
      </c>
      <c r="F315" s="1">
        <v>0</v>
      </c>
      <c r="G315" s="1">
        <v>1680</v>
      </c>
      <c r="H315" s="1">
        <v>0</v>
      </c>
      <c r="I315" s="1">
        <v>0</v>
      </c>
      <c r="J315" s="1">
        <f t="shared" si="17"/>
        <v>1680</v>
      </c>
      <c r="K315" s="1">
        <v>0</v>
      </c>
      <c r="L315" s="1">
        <v>0</v>
      </c>
      <c r="M315" s="1">
        <v>0</v>
      </c>
      <c r="N315" s="1">
        <f t="shared" si="16"/>
        <v>0</v>
      </c>
      <c r="O315" s="14">
        <f t="shared" si="18"/>
        <v>1680</v>
      </c>
      <c r="P315" s="17"/>
      <c r="Q315" s="1">
        <v>0</v>
      </c>
      <c r="R315" s="1">
        <v>0</v>
      </c>
      <c r="S315" s="20">
        <v>39417</v>
      </c>
      <c r="T315" s="1">
        <v>1680</v>
      </c>
      <c r="U315" s="9">
        <v>1680</v>
      </c>
      <c r="V315" s="9" t="s">
        <v>41</v>
      </c>
    </row>
    <row r="316" spans="1:22" x14ac:dyDescent="0.25">
      <c r="A316" s="10" t="s">
        <v>18</v>
      </c>
      <c r="B316" t="b">
        <v>0</v>
      </c>
      <c r="C316" t="b">
        <v>0</v>
      </c>
      <c r="D316" s="1">
        <v>0</v>
      </c>
      <c r="E316" s="1">
        <v>0</v>
      </c>
      <c r="F316" s="1">
        <v>0</v>
      </c>
      <c r="G316" s="1">
        <v>1001</v>
      </c>
      <c r="H316" s="1">
        <v>0</v>
      </c>
      <c r="I316" s="1">
        <v>0</v>
      </c>
      <c r="J316" s="1">
        <f t="shared" si="17"/>
        <v>1001</v>
      </c>
      <c r="K316" s="1">
        <v>0</v>
      </c>
      <c r="L316" s="1">
        <v>0</v>
      </c>
      <c r="M316" s="1">
        <v>0</v>
      </c>
      <c r="N316" s="1">
        <f t="shared" si="16"/>
        <v>0</v>
      </c>
      <c r="O316" s="14">
        <f t="shared" si="18"/>
        <v>1001</v>
      </c>
      <c r="P316" s="17"/>
      <c r="Q316" s="1">
        <v>0</v>
      </c>
      <c r="R316" s="1">
        <v>0</v>
      </c>
      <c r="S316" s="20">
        <v>39448</v>
      </c>
      <c r="T316" s="1">
        <v>1001</v>
      </c>
      <c r="U316" s="9">
        <v>1001</v>
      </c>
      <c r="V316" s="9" t="s">
        <v>46</v>
      </c>
    </row>
    <row r="317" spans="1:22" x14ac:dyDescent="0.25">
      <c r="A317" s="10" t="s">
        <v>18</v>
      </c>
      <c r="B317" t="b">
        <v>0</v>
      </c>
      <c r="C317" t="b">
        <v>0</v>
      </c>
      <c r="D317" s="1">
        <v>0</v>
      </c>
      <c r="E317" s="1">
        <v>0</v>
      </c>
      <c r="F317" s="1">
        <v>0</v>
      </c>
      <c r="G317" s="1">
        <v>1042</v>
      </c>
      <c r="H317" s="1">
        <v>0</v>
      </c>
      <c r="I317" s="1">
        <v>0</v>
      </c>
      <c r="J317" s="1">
        <f t="shared" si="17"/>
        <v>1042</v>
      </c>
      <c r="K317" s="1">
        <v>0</v>
      </c>
      <c r="L317" s="1">
        <v>0</v>
      </c>
      <c r="M317" s="1">
        <v>0</v>
      </c>
      <c r="N317" s="1">
        <f t="shared" si="16"/>
        <v>0</v>
      </c>
      <c r="O317" s="14">
        <f t="shared" si="18"/>
        <v>1042</v>
      </c>
      <c r="P317" s="17"/>
      <c r="Q317" s="1">
        <v>0</v>
      </c>
      <c r="R317" s="1">
        <v>0</v>
      </c>
      <c r="S317" s="20">
        <v>39479</v>
      </c>
      <c r="T317" s="1">
        <v>1042</v>
      </c>
      <c r="U317" s="9">
        <v>1042</v>
      </c>
      <c r="V317" s="9" t="s">
        <v>46</v>
      </c>
    </row>
    <row r="318" spans="1:22" x14ac:dyDescent="0.25">
      <c r="A318" s="10" t="s">
        <v>18</v>
      </c>
      <c r="B318" t="b">
        <v>0</v>
      </c>
      <c r="C318" t="b">
        <v>0</v>
      </c>
      <c r="D318" s="1">
        <v>0</v>
      </c>
      <c r="E318" s="1">
        <v>0</v>
      </c>
      <c r="F318" s="1">
        <v>0</v>
      </c>
      <c r="G318" s="1">
        <v>1427</v>
      </c>
      <c r="H318" s="1">
        <v>0</v>
      </c>
      <c r="I318" s="1">
        <v>0</v>
      </c>
      <c r="J318" s="1">
        <f t="shared" si="17"/>
        <v>1427</v>
      </c>
      <c r="K318" s="1">
        <v>0</v>
      </c>
      <c r="L318" s="1">
        <v>0</v>
      </c>
      <c r="M318" s="1">
        <v>0</v>
      </c>
      <c r="N318" s="1">
        <f t="shared" si="16"/>
        <v>0</v>
      </c>
      <c r="O318" s="14">
        <f t="shared" si="18"/>
        <v>1427</v>
      </c>
      <c r="P318" s="17"/>
      <c r="Q318" s="1">
        <v>0</v>
      </c>
      <c r="R318" s="1">
        <v>0</v>
      </c>
      <c r="S318" s="20">
        <v>39508</v>
      </c>
      <c r="T318" s="1">
        <v>1427</v>
      </c>
      <c r="U318" s="9">
        <v>1427</v>
      </c>
      <c r="V318" s="9" t="s">
        <v>46</v>
      </c>
    </row>
    <row r="319" spans="1:22" x14ac:dyDescent="0.25">
      <c r="A319" s="10" t="s">
        <v>18</v>
      </c>
      <c r="B319" t="b">
        <v>0</v>
      </c>
      <c r="C319" t="b">
        <v>0</v>
      </c>
      <c r="D319" s="1">
        <v>0</v>
      </c>
      <c r="E319" s="1">
        <v>0</v>
      </c>
      <c r="F319" s="1">
        <v>0</v>
      </c>
      <c r="G319" s="1">
        <v>1332</v>
      </c>
      <c r="H319" s="1">
        <v>0</v>
      </c>
      <c r="I319" s="1">
        <v>0</v>
      </c>
      <c r="J319" s="1">
        <f t="shared" si="17"/>
        <v>1332</v>
      </c>
      <c r="K319" s="1">
        <v>0</v>
      </c>
      <c r="L319" s="1">
        <v>0</v>
      </c>
      <c r="M319" s="1">
        <v>0</v>
      </c>
      <c r="N319" s="1">
        <f t="shared" si="16"/>
        <v>0</v>
      </c>
      <c r="O319" s="14">
        <f t="shared" si="18"/>
        <v>1332</v>
      </c>
      <c r="P319" s="17"/>
      <c r="Q319" s="1">
        <v>0</v>
      </c>
      <c r="R319" s="1">
        <v>0</v>
      </c>
      <c r="S319" s="20">
        <v>39539</v>
      </c>
      <c r="T319" s="1">
        <v>1332</v>
      </c>
      <c r="U319" s="9">
        <v>1332</v>
      </c>
      <c r="V319" s="9" t="s">
        <v>46</v>
      </c>
    </row>
    <row r="320" spans="1:22" x14ac:dyDescent="0.25">
      <c r="A320" s="10" t="s">
        <v>18</v>
      </c>
      <c r="B320" t="b">
        <v>0</v>
      </c>
      <c r="C320" t="b">
        <v>0</v>
      </c>
      <c r="D320" s="1">
        <v>0</v>
      </c>
      <c r="E320" s="1">
        <v>0</v>
      </c>
      <c r="F320" s="1">
        <v>0</v>
      </c>
      <c r="G320" s="1">
        <v>2338</v>
      </c>
      <c r="H320" s="1">
        <v>0</v>
      </c>
      <c r="I320" s="1">
        <v>0</v>
      </c>
      <c r="J320" s="1">
        <f t="shared" si="17"/>
        <v>2338</v>
      </c>
      <c r="K320" s="1">
        <v>0</v>
      </c>
      <c r="L320" s="1">
        <v>0</v>
      </c>
      <c r="M320" s="1">
        <v>0</v>
      </c>
      <c r="N320" s="1">
        <f t="shared" si="16"/>
        <v>0</v>
      </c>
      <c r="O320" s="14">
        <f t="shared" si="18"/>
        <v>2338</v>
      </c>
      <c r="P320" s="17"/>
      <c r="Q320" s="1">
        <v>0</v>
      </c>
      <c r="R320" s="1">
        <v>0</v>
      </c>
      <c r="S320" s="20">
        <v>39569</v>
      </c>
      <c r="T320" s="1">
        <v>2338</v>
      </c>
      <c r="U320" s="9">
        <v>2338</v>
      </c>
      <c r="V320" s="9" t="s">
        <v>46</v>
      </c>
    </row>
    <row r="321" spans="1:22" x14ac:dyDescent="0.25">
      <c r="A321" s="10" t="s">
        <v>18</v>
      </c>
      <c r="B321" t="b">
        <v>0</v>
      </c>
      <c r="C321" t="b">
        <v>0</v>
      </c>
      <c r="D321" s="1">
        <v>0</v>
      </c>
      <c r="E321" s="1">
        <v>0</v>
      </c>
      <c r="F321" s="1">
        <v>0</v>
      </c>
      <c r="G321" s="1">
        <v>1850</v>
      </c>
      <c r="H321" s="1">
        <v>743</v>
      </c>
      <c r="I321" s="1">
        <v>0</v>
      </c>
      <c r="J321" s="1">
        <f t="shared" si="17"/>
        <v>2593</v>
      </c>
      <c r="K321" s="1">
        <v>0</v>
      </c>
      <c r="L321" s="1">
        <v>0</v>
      </c>
      <c r="M321" s="1">
        <v>0</v>
      </c>
      <c r="N321" s="1">
        <f t="shared" si="16"/>
        <v>0</v>
      </c>
      <c r="O321" s="14">
        <f t="shared" si="18"/>
        <v>2593</v>
      </c>
      <c r="P321" s="17"/>
      <c r="Q321" s="1">
        <v>0</v>
      </c>
      <c r="R321" s="1">
        <v>0</v>
      </c>
      <c r="S321" s="20">
        <v>39600</v>
      </c>
      <c r="T321" s="1">
        <v>2593</v>
      </c>
      <c r="U321" s="9">
        <v>2593</v>
      </c>
      <c r="V321" s="9" t="s">
        <v>46</v>
      </c>
    </row>
    <row r="322" spans="1:22" x14ac:dyDescent="0.25">
      <c r="A322" s="10" t="s">
        <v>18</v>
      </c>
      <c r="B322" t="b">
        <v>0</v>
      </c>
      <c r="C322" t="b">
        <v>0</v>
      </c>
      <c r="D322" s="1">
        <v>0</v>
      </c>
      <c r="E322" s="1">
        <v>0</v>
      </c>
      <c r="F322" s="1">
        <v>0</v>
      </c>
      <c r="G322" s="1">
        <v>2022</v>
      </c>
      <c r="H322" s="1">
        <v>0</v>
      </c>
      <c r="I322" s="1">
        <v>0</v>
      </c>
      <c r="J322" s="1">
        <f t="shared" si="17"/>
        <v>2022</v>
      </c>
      <c r="K322" s="1">
        <v>0</v>
      </c>
      <c r="L322" s="1">
        <v>0</v>
      </c>
      <c r="M322" s="1">
        <v>0</v>
      </c>
      <c r="N322" s="1">
        <f t="shared" si="16"/>
        <v>0</v>
      </c>
      <c r="O322" s="14">
        <f t="shared" si="18"/>
        <v>2022</v>
      </c>
      <c r="P322" s="17"/>
      <c r="Q322" s="1">
        <v>0</v>
      </c>
      <c r="R322" s="1">
        <v>0</v>
      </c>
      <c r="S322" s="20">
        <v>39630</v>
      </c>
      <c r="T322" s="1">
        <v>2022</v>
      </c>
      <c r="U322" s="9">
        <v>2022</v>
      </c>
      <c r="V322" s="9" t="s">
        <v>46</v>
      </c>
    </row>
    <row r="323" spans="1:22" x14ac:dyDescent="0.25">
      <c r="A323" s="10" t="s">
        <v>18</v>
      </c>
      <c r="B323" t="b">
        <v>0</v>
      </c>
      <c r="C323" t="b">
        <v>0</v>
      </c>
      <c r="D323" s="1">
        <v>0</v>
      </c>
      <c r="E323" s="1">
        <v>0</v>
      </c>
      <c r="F323" s="1">
        <v>0</v>
      </c>
      <c r="G323" s="1">
        <v>1771</v>
      </c>
      <c r="H323" s="1">
        <v>0</v>
      </c>
      <c r="I323" s="1">
        <v>0</v>
      </c>
      <c r="J323" s="1">
        <f t="shared" si="17"/>
        <v>1771</v>
      </c>
      <c r="K323" s="1">
        <v>0</v>
      </c>
      <c r="L323" s="1">
        <v>0</v>
      </c>
      <c r="M323" s="1">
        <v>0</v>
      </c>
      <c r="N323" s="1">
        <f t="shared" si="16"/>
        <v>0</v>
      </c>
      <c r="O323" s="14">
        <f t="shared" si="18"/>
        <v>1771</v>
      </c>
      <c r="P323" s="17"/>
      <c r="Q323" s="1">
        <v>0</v>
      </c>
      <c r="R323" s="1">
        <v>0</v>
      </c>
      <c r="S323" s="20">
        <v>39661</v>
      </c>
      <c r="T323" s="1">
        <v>1771</v>
      </c>
      <c r="U323" s="9">
        <v>1771</v>
      </c>
      <c r="V323" s="9" t="s">
        <v>46</v>
      </c>
    </row>
    <row r="324" spans="1:22" x14ac:dyDescent="0.25">
      <c r="A324" s="10" t="s">
        <v>18</v>
      </c>
      <c r="B324" t="b">
        <v>0</v>
      </c>
      <c r="C324" t="b">
        <v>0</v>
      </c>
      <c r="D324" s="1">
        <v>0</v>
      </c>
      <c r="E324" s="1">
        <v>0</v>
      </c>
      <c r="F324" s="1">
        <v>0</v>
      </c>
      <c r="G324" s="1">
        <v>1795</v>
      </c>
      <c r="H324" s="1">
        <v>0</v>
      </c>
      <c r="I324" s="1">
        <v>0</v>
      </c>
      <c r="J324" s="1">
        <f t="shared" si="17"/>
        <v>1795</v>
      </c>
      <c r="K324" s="1">
        <v>0</v>
      </c>
      <c r="L324" s="1">
        <v>0</v>
      </c>
      <c r="M324" s="1">
        <v>0</v>
      </c>
      <c r="N324" s="1">
        <f t="shared" si="16"/>
        <v>0</v>
      </c>
      <c r="O324" s="14">
        <f t="shared" si="18"/>
        <v>1795</v>
      </c>
      <c r="P324" s="17"/>
      <c r="Q324" s="1">
        <v>0</v>
      </c>
      <c r="R324" s="1">
        <v>0</v>
      </c>
      <c r="S324" s="20">
        <v>39692</v>
      </c>
      <c r="T324" s="1">
        <v>1795</v>
      </c>
      <c r="U324" s="9">
        <v>1795</v>
      </c>
      <c r="V324" s="9" t="s">
        <v>46</v>
      </c>
    </row>
    <row r="325" spans="1:22" x14ac:dyDescent="0.25">
      <c r="A325" s="10" t="s">
        <v>18</v>
      </c>
      <c r="B325" t="b">
        <v>0</v>
      </c>
      <c r="C325" t="b">
        <v>0</v>
      </c>
      <c r="D325" s="1">
        <v>0</v>
      </c>
      <c r="E325" s="1">
        <v>0</v>
      </c>
      <c r="F325" s="1">
        <v>0</v>
      </c>
      <c r="G325" s="1">
        <v>1823</v>
      </c>
      <c r="H325" s="1">
        <v>0</v>
      </c>
      <c r="I325" s="1">
        <v>0</v>
      </c>
      <c r="J325" s="1">
        <f t="shared" si="17"/>
        <v>1823</v>
      </c>
      <c r="K325" s="1">
        <v>0</v>
      </c>
      <c r="L325" s="1">
        <v>0</v>
      </c>
      <c r="M325" s="1">
        <v>0</v>
      </c>
      <c r="N325" s="1">
        <f t="shared" si="16"/>
        <v>0</v>
      </c>
      <c r="O325" s="14">
        <f t="shared" si="18"/>
        <v>1823</v>
      </c>
      <c r="P325" s="17"/>
      <c r="Q325" s="1">
        <v>0</v>
      </c>
      <c r="R325" s="1">
        <v>0</v>
      </c>
      <c r="S325" s="20">
        <v>39722</v>
      </c>
      <c r="T325" s="1">
        <v>1823</v>
      </c>
      <c r="U325" s="9">
        <v>1823</v>
      </c>
      <c r="V325" s="9" t="s">
        <v>46</v>
      </c>
    </row>
    <row r="326" spans="1:22" x14ac:dyDescent="0.25">
      <c r="A326" s="10" t="s">
        <v>18</v>
      </c>
      <c r="B326" t="b">
        <v>0</v>
      </c>
      <c r="C326" t="b">
        <v>0</v>
      </c>
      <c r="D326" s="1">
        <v>0</v>
      </c>
      <c r="E326" s="1">
        <v>0</v>
      </c>
      <c r="F326" s="1">
        <v>0</v>
      </c>
      <c r="G326" s="1">
        <v>2015</v>
      </c>
      <c r="H326" s="1">
        <v>0</v>
      </c>
      <c r="I326" s="1">
        <v>0</v>
      </c>
      <c r="J326" s="1">
        <f t="shared" si="17"/>
        <v>2015</v>
      </c>
      <c r="K326" s="1">
        <v>0</v>
      </c>
      <c r="L326" s="1">
        <v>0</v>
      </c>
      <c r="M326" s="1">
        <v>0</v>
      </c>
      <c r="N326" s="1">
        <f t="shared" si="16"/>
        <v>0</v>
      </c>
      <c r="O326" s="14">
        <f t="shared" si="18"/>
        <v>2015</v>
      </c>
      <c r="P326" s="17"/>
      <c r="Q326" s="1">
        <v>0</v>
      </c>
      <c r="R326" s="1">
        <v>0</v>
      </c>
      <c r="S326" s="20">
        <v>39753</v>
      </c>
      <c r="T326" s="1">
        <v>2015</v>
      </c>
      <c r="U326" s="9">
        <v>2015</v>
      </c>
      <c r="V326" s="9" t="s">
        <v>46</v>
      </c>
    </row>
    <row r="327" spans="1:22" x14ac:dyDescent="0.25">
      <c r="A327" s="10" t="s">
        <v>18</v>
      </c>
      <c r="B327" t="b">
        <v>0</v>
      </c>
      <c r="C327" t="b">
        <v>0</v>
      </c>
      <c r="D327" s="1">
        <v>0</v>
      </c>
      <c r="E327" s="1">
        <v>0</v>
      </c>
      <c r="F327" s="1">
        <v>0</v>
      </c>
      <c r="G327" s="1">
        <v>1800</v>
      </c>
      <c r="H327" s="1">
        <v>0</v>
      </c>
      <c r="I327" s="1">
        <v>0</v>
      </c>
      <c r="J327" s="1">
        <f t="shared" si="17"/>
        <v>1800</v>
      </c>
      <c r="K327" s="1">
        <v>0</v>
      </c>
      <c r="L327" s="1">
        <v>0</v>
      </c>
      <c r="M327" s="1">
        <v>0</v>
      </c>
      <c r="N327" s="1">
        <f t="shared" si="16"/>
        <v>0</v>
      </c>
      <c r="O327" s="14">
        <f t="shared" si="18"/>
        <v>1800</v>
      </c>
      <c r="P327" s="17"/>
      <c r="Q327" s="1">
        <v>0</v>
      </c>
      <c r="R327" s="1">
        <v>0</v>
      </c>
      <c r="S327" s="20">
        <v>39783</v>
      </c>
      <c r="T327" s="1">
        <v>1800</v>
      </c>
      <c r="U327" s="9">
        <v>1800</v>
      </c>
      <c r="V327" s="9" t="s">
        <v>46</v>
      </c>
    </row>
    <row r="328" spans="1:22" x14ac:dyDescent="0.25">
      <c r="A328" s="10" t="s">
        <v>18</v>
      </c>
      <c r="B328" t="b">
        <v>0</v>
      </c>
      <c r="C328" t="b">
        <v>0</v>
      </c>
      <c r="D328" s="1">
        <v>0</v>
      </c>
      <c r="E328" s="1">
        <v>0</v>
      </c>
      <c r="F328" s="1">
        <v>0</v>
      </c>
      <c r="G328" s="1">
        <v>1034</v>
      </c>
      <c r="H328" s="1">
        <v>0</v>
      </c>
      <c r="I328" s="1">
        <v>0</v>
      </c>
      <c r="J328" s="1">
        <f t="shared" si="17"/>
        <v>1034</v>
      </c>
      <c r="K328" s="1">
        <v>0</v>
      </c>
      <c r="L328" s="1">
        <v>0</v>
      </c>
      <c r="M328" s="1">
        <v>0</v>
      </c>
      <c r="N328" s="1">
        <f t="shared" si="16"/>
        <v>0</v>
      </c>
      <c r="O328" s="14">
        <f t="shared" si="18"/>
        <v>1034</v>
      </c>
      <c r="P328" s="17"/>
      <c r="Q328" s="1">
        <v>0</v>
      </c>
      <c r="R328" s="1">
        <v>0</v>
      </c>
      <c r="S328" s="20">
        <v>39814</v>
      </c>
      <c r="T328" s="1">
        <v>1034</v>
      </c>
      <c r="U328" s="9">
        <v>1034</v>
      </c>
      <c r="V328" s="9" t="s">
        <v>41</v>
      </c>
    </row>
    <row r="329" spans="1:22" x14ac:dyDescent="0.25">
      <c r="A329" s="10" t="s">
        <v>18</v>
      </c>
      <c r="B329" t="b">
        <v>0</v>
      </c>
      <c r="C329" t="b">
        <v>0</v>
      </c>
      <c r="D329" s="1">
        <v>0</v>
      </c>
      <c r="E329" s="1">
        <v>0</v>
      </c>
      <c r="F329" s="1">
        <v>0</v>
      </c>
      <c r="G329" s="1">
        <v>834</v>
      </c>
      <c r="H329" s="1">
        <v>0</v>
      </c>
      <c r="I329" s="1">
        <v>0</v>
      </c>
      <c r="J329" s="1">
        <f t="shared" si="17"/>
        <v>834</v>
      </c>
      <c r="K329" s="1">
        <v>0</v>
      </c>
      <c r="L329" s="1">
        <v>0</v>
      </c>
      <c r="M329" s="1">
        <v>0</v>
      </c>
      <c r="N329" s="1">
        <f t="shared" si="16"/>
        <v>0</v>
      </c>
      <c r="O329" s="14">
        <f t="shared" si="18"/>
        <v>834</v>
      </c>
      <c r="P329" s="17"/>
      <c r="Q329" s="1">
        <v>0</v>
      </c>
      <c r="R329" s="1">
        <v>0</v>
      </c>
      <c r="S329" s="20">
        <v>39845</v>
      </c>
      <c r="T329" s="1">
        <v>834</v>
      </c>
      <c r="U329" s="9">
        <v>834</v>
      </c>
      <c r="V329" s="9" t="s">
        <v>41</v>
      </c>
    </row>
    <row r="330" spans="1:22" x14ac:dyDescent="0.25">
      <c r="A330" s="10" t="s">
        <v>18</v>
      </c>
      <c r="B330" t="b">
        <v>0</v>
      </c>
      <c r="C330" t="b">
        <v>0</v>
      </c>
      <c r="D330" s="1">
        <v>0</v>
      </c>
      <c r="E330" s="1">
        <v>0</v>
      </c>
      <c r="F330" s="1">
        <v>0</v>
      </c>
      <c r="G330" s="1">
        <v>1757</v>
      </c>
      <c r="H330" s="1">
        <v>0</v>
      </c>
      <c r="I330" s="1">
        <v>0</v>
      </c>
      <c r="J330" s="1">
        <f t="shared" si="17"/>
        <v>1757</v>
      </c>
      <c r="K330" s="1">
        <v>0</v>
      </c>
      <c r="L330" s="1">
        <v>0</v>
      </c>
      <c r="M330" s="1">
        <v>0</v>
      </c>
      <c r="N330" s="1">
        <f t="shared" ref="N330:N393" si="19">K330+L330+M330</f>
        <v>0</v>
      </c>
      <c r="O330" s="14">
        <f t="shared" si="18"/>
        <v>1757</v>
      </c>
      <c r="P330" s="17"/>
      <c r="Q330" s="1">
        <v>0</v>
      </c>
      <c r="R330" s="1">
        <v>0</v>
      </c>
      <c r="S330" s="20">
        <v>39873</v>
      </c>
      <c r="T330" s="1">
        <v>1757</v>
      </c>
      <c r="U330" s="9">
        <v>1757</v>
      </c>
      <c r="V330" s="9" t="s">
        <v>41</v>
      </c>
    </row>
    <row r="331" spans="1:22" x14ac:dyDescent="0.25">
      <c r="A331" s="10" t="s">
        <v>18</v>
      </c>
      <c r="B331" t="b">
        <v>0</v>
      </c>
      <c r="C331" t="b">
        <v>0</v>
      </c>
      <c r="D331" s="1">
        <v>0</v>
      </c>
      <c r="E331" s="1">
        <v>0</v>
      </c>
      <c r="F331" s="1">
        <v>0</v>
      </c>
      <c r="G331" s="1">
        <v>3471</v>
      </c>
      <c r="H331" s="1">
        <v>0</v>
      </c>
      <c r="I331" s="1">
        <v>0</v>
      </c>
      <c r="J331" s="1">
        <f t="shared" si="17"/>
        <v>3471</v>
      </c>
      <c r="K331" s="1">
        <v>0</v>
      </c>
      <c r="L331" s="1">
        <v>0</v>
      </c>
      <c r="M331" s="1">
        <v>0</v>
      </c>
      <c r="N331" s="1">
        <f t="shared" si="19"/>
        <v>0</v>
      </c>
      <c r="O331" s="14">
        <f t="shared" si="18"/>
        <v>3471</v>
      </c>
      <c r="P331" s="17"/>
      <c r="Q331" s="1">
        <v>0</v>
      </c>
      <c r="R331" s="1">
        <v>0</v>
      </c>
      <c r="S331" s="20">
        <v>39904</v>
      </c>
      <c r="T331" s="1">
        <v>3471</v>
      </c>
      <c r="U331" s="9">
        <v>3471</v>
      </c>
      <c r="V331" s="9" t="s">
        <v>41</v>
      </c>
    </row>
    <row r="332" spans="1:22" x14ac:dyDescent="0.25">
      <c r="A332" s="10" t="s">
        <v>18</v>
      </c>
      <c r="B332" t="b">
        <v>0</v>
      </c>
      <c r="C332" t="b">
        <v>0</v>
      </c>
      <c r="D332" s="1">
        <v>0</v>
      </c>
      <c r="E332" s="1">
        <v>0</v>
      </c>
      <c r="F332" s="1">
        <v>0</v>
      </c>
      <c r="G332" s="1">
        <v>3336</v>
      </c>
      <c r="H332" s="1">
        <v>0</v>
      </c>
      <c r="I332" s="1">
        <v>0</v>
      </c>
      <c r="J332" s="1">
        <f t="shared" si="17"/>
        <v>3336</v>
      </c>
      <c r="K332" s="1">
        <v>0</v>
      </c>
      <c r="L332" s="1">
        <v>0</v>
      </c>
      <c r="M332" s="1">
        <v>0</v>
      </c>
      <c r="N332" s="1">
        <f t="shared" si="19"/>
        <v>0</v>
      </c>
      <c r="O332" s="14">
        <f t="shared" si="18"/>
        <v>3336</v>
      </c>
      <c r="P332" s="17"/>
      <c r="Q332" s="1">
        <v>0</v>
      </c>
      <c r="R332" s="1">
        <v>0</v>
      </c>
      <c r="S332" s="20">
        <v>39934</v>
      </c>
      <c r="T332" s="1">
        <v>3336</v>
      </c>
      <c r="U332" s="9">
        <v>3336</v>
      </c>
      <c r="V332" s="9" t="s">
        <v>41</v>
      </c>
    </row>
    <row r="333" spans="1:22" x14ac:dyDescent="0.25">
      <c r="A333" s="10" t="s">
        <v>18</v>
      </c>
      <c r="B333" t="b">
        <v>0</v>
      </c>
      <c r="C333" t="b">
        <v>0</v>
      </c>
      <c r="D333" s="1">
        <v>0</v>
      </c>
      <c r="E333" s="1">
        <v>0</v>
      </c>
      <c r="F333" s="1">
        <v>0</v>
      </c>
      <c r="G333" s="1">
        <v>2647</v>
      </c>
      <c r="H333" s="1">
        <v>0</v>
      </c>
      <c r="I333" s="1">
        <v>0</v>
      </c>
      <c r="J333" s="1">
        <f t="shared" si="17"/>
        <v>2647</v>
      </c>
      <c r="K333" s="1">
        <v>0</v>
      </c>
      <c r="L333" s="1">
        <v>0</v>
      </c>
      <c r="M333" s="1">
        <v>0</v>
      </c>
      <c r="N333" s="1">
        <f t="shared" si="19"/>
        <v>0</v>
      </c>
      <c r="O333" s="14">
        <f t="shared" si="18"/>
        <v>2647</v>
      </c>
      <c r="P333" s="17"/>
      <c r="Q333" s="1">
        <v>0</v>
      </c>
      <c r="R333" s="1">
        <v>0</v>
      </c>
      <c r="S333" s="20">
        <v>39965</v>
      </c>
      <c r="T333" s="1">
        <v>2647</v>
      </c>
      <c r="U333" s="9">
        <v>2647</v>
      </c>
      <c r="V333" s="9" t="s">
        <v>41</v>
      </c>
    </row>
    <row r="334" spans="1:22" x14ac:dyDescent="0.25">
      <c r="A334" s="10" t="s">
        <v>18</v>
      </c>
      <c r="B334" t="b">
        <v>0</v>
      </c>
      <c r="C334" t="b">
        <v>0</v>
      </c>
      <c r="D334" s="1">
        <v>0</v>
      </c>
      <c r="E334" s="1">
        <v>0</v>
      </c>
      <c r="F334" s="1">
        <v>0</v>
      </c>
      <c r="G334" s="1">
        <v>3825</v>
      </c>
      <c r="H334" s="1">
        <v>0</v>
      </c>
      <c r="I334" s="1">
        <v>0</v>
      </c>
      <c r="J334" s="1">
        <f t="shared" si="17"/>
        <v>3825</v>
      </c>
      <c r="K334" s="1">
        <v>0</v>
      </c>
      <c r="L334" s="1">
        <v>0</v>
      </c>
      <c r="M334" s="1">
        <v>0</v>
      </c>
      <c r="N334" s="1">
        <f t="shared" si="19"/>
        <v>0</v>
      </c>
      <c r="O334" s="14">
        <f t="shared" si="18"/>
        <v>3825</v>
      </c>
      <c r="P334" s="17"/>
      <c r="Q334" s="1">
        <v>0</v>
      </c>
      <c r="R334" s="1">
        <v>0</v>
      </c>
      <c r="S334" s="20">
        <v>39995</v>
      </c>
      <c r="T334" s="1">
        <v>3825</v>
      </c>
      <c r="U334" s="9">
        <v>3825</v>
      </c>
      <c r="V334" s="9" t="s">
        <v>41</v>
      </c>
    </row>
    <row r="335" spans="1:22" x14ac:dyDescent="0.25">
      <c r="A335" s="10" t="s">
        <v>18</v>
      </c>
      <c r="B335" t="b">
        <v>0</v>
      </c>
      <c r="C335" t="b">
        <v>0</v>
      </c>
      <c r="D335" s="1">
        <v>0</v>
      </c>
      <c r="E335" s="1">
        <v>0</v>
      </c>
      <c r="F335" s="1">
        <v>0</v>
      </c>
      <c r="G335" s="1">
        <v>4109</v>
      </c>
      <c r="H335" s="1">
        <v>0</v>
      </c>
      <c r="I335" s="1">
        <v>0</v>
      </c>
      <c r="J335" s="1">
        <f t="shared" si="17"/>
        <v>4109</v>
      </c>
      <c r="K335" s="1">
        <v>0</v>
      </c>
      <c r="L335" s="1">
        <v>0</v>
      </c>
      <c r="M335" s="1">
        <v>0</v>
      </c>
      <c r="N335" s="1">
        <f t="shared" si="19"/>
        <v>0</v>
      </c>
      <c r="O335" s="14">
        <f t="shared" si="18"/>
        <v>4109</v>
      </c>
      <c r="P335" s="17"/>
      <c r="Q335" s="1">
        <v>0</v>
      </c>
      <c r="R335" s="1">
        <v>0</v>
      </c>
      <c r="S335" s="20">
        <v>40026</v>
      </c>
      <c r="T335" s="1">
        <v>4109</v>
      </c>
      <c r="U335" s="9">
        <v>4109</v>
      </c>
      <c r="V335" s="9" t="s">
        <v>41</v>
      </c>
    </row>
    <row r="336" spans="1:22" x14ac:dyDescent="0.25">
      <c r="A336" s="10" t="s">
        <v>18</v>
      </c>
      <c r="B336" t="b">
        <v>0</v>
      </c>
      <c r="C336" t="b">
        <v>0</v>
      </c>
      <c r="D336" s="1">
        <v>0</v>
      </c>
      <c r="E336" s="1">
        <v>0</v>
      </c>
      <c r="F336" s="1">
        <v>0</v>
      </c>
      <c r="G336" s="1">
        <v>2952</v>
      </c>
      <c r="H336" s="1">
        <v>0</v>
      </c>
      <c r="I336" s="1">
        <v>0</v>
      </c>
      <c r="J336" s="1">
        <f t="shared" si="17"/>
        <v>2952</v>
      </c>
      <c r="K336" s="1">
        <v>0</v>
      </c>
      <c r="L336" s="1">
        <v>0</v>
      </c>
      <c r="M336" s="1">
        <v>0</v>
      </c>
      <c r="N336" s="1">
        <f t="shared" si="19"/>
        <v>0</v>
      </c>
      <c r="O336" s="14">
        <f t="shared" si="18"/>
        <v>2952</v>
      </c>
      <c r="P336" s="17"/>
      <c r="Q336" s="1">
        <v>0</v>
      </c>
      <c r="R336" s="1">
        <v>0</v>
      </c>
      <c r="S336" s="20">
        <v>40057</v>
      </c>
      <c r="T336" s="1">
        <v>2952</v>
      </c>
      <c r="U336" s="9">
        <v>2952</v>
      </c>
      <c r="V336" s="9" t="s">
        <v>41</v>
      </c>
    </row>
    <row r="337" spans="1:22" x14ac:dyDescent="0.25">
      <c r="A337" s="10" t="s">
        <v>18</v>
      </c>
      <c r="B337" t="b">
        <v>0</v>
      </c>
      <c r="C337" t="b">
        <v>0</v>
      </c>
      <c r="D337" s="1">
        <v>0</v>
      </c>
      <c r="E337" s="1">
        <v>0</v>
      </c>
      <c r="F337" s="1">
        <v>0</v>
      </c>
      <c r="G337" s="1">
        <v>4524</v>
      </c>
      <c r="H337" s="1">
        <v>0</v>
      </c>
      <c r="I337" s="1">
        <v>0</v>
      </c>
      <c r="J337" s="1">
        <f t="shared" si="17"/>
        <v>4524</v>
      </c>
      <c r="K337" s="1">
        <v>0</v>
      </c>
      <c r="L337" s="1">
        <v>0</v>
      </c>
      <c r="M337" s="1">
        <v>0</v>
      </c>
      <c r="N337" s="1">
        <f t="shared" si="19"/>
        <v>0</v>
      </c>
      <c r="O337" s="14">
        <f t="shared" si="18"/>
        <v>4524</v>
      </c>
      <c r="P337" s="17"/>
      <c r="Q337" s="1">
        <v>0</v>
      </c>
      <c r="R337" s="1">
        <v>0</v>
      </c>
      <c r="S337" s="20">
        <v>40087</v>
      </c>
      <c r="T337" s="1">
        <v>4524</v>
      </c>
      <c r="U337" s="9">
        <v>4524</v>
      </c>
      <c r="V337" s="9" t="s">
        <v>41</v>
      </c>
    </row>
    <row r="338" spans="1:22" x14ac:dyDescent="0.25">
      <c r="A338" s="10" t="s">
        <v>18</v>
      </c>
      <c r="B338" t="b">
        <v>0</v>
      </c>
      <c r="C338" t="b">
        <v>0</v>
      </c>
      <c r="D338" s="1">
        <v>0</v>
      </c>
      <c r="E338" s="1">
        <v>0</v>
      </c>
      <c r="F338" s="1">
        <v>0</v>
      </c>
      <c r="G338" s="1">
        <v>3533</v>
      </c>
      <c r="H338" s="1">
        <v>0</v>
      </c>
      <c r="I338" s="1">
        <v>0</v>
      </c>
      <c r="J338" s="1">
        <f t="shared" si="17"/>
        <v>3533</v>
      </c>
      <c r="K338" s="1">
        <v>0</v>
      </c>
      <c r="L338" s="1">
        <v>0</v>
      </c>
      <c r="M338" s="1">
        <v>0</v>
      </c>
      <c r="N338" s="1">
        <f t="shared" si="19"/>
        <v>0</v>
      </c>
      <c r="O338" s="14">
        <f t="shared" si="18"/>
        <v>3533</v>
      </c>
      <c r="P338" s="17"/>
      <c r="Q338" s="1">
        <v>0</v>
      </c>
      <c r="R338" s="1">
        <v>0</v>
      </c>
      <c r="S338" s="20">
        <v>40118</v>
      </c>
      <c r="T338" s="1">
        <v>3533</v>
      </c>
      <c r="U338" s="9">
        <v>3533</v>
      </c>
      <c r="V338" s="9" t="s">
        <v>41</v>
      </c>
    </row>
    <row r="339" spans="1:22" x14ac:dyDescent="0.25">
      <c r="A339" s="10" t="s">
        <v>18</v>
      </c>
      <c r="B339" t="b">
        <v>0</v>
      </c>
      <c r="C339" t="b">
        <v>0</v>
      </c>
      <c r="D339" s="1">
        <v>0</v>
      </c>
      <c r="E339" s="1">
        <v>0</v>
      </c>
      <c r="F339" s="1">
        <v>0</v>
      </c>
      <c r="G339" s="1">
        <v>2299</v>
      </c>
      <c r="H339" s="1">
        <v>0</v>
      </c>
      <c r="I339" s="1">
        <v>0</v>
      </c>
      <c r="J339" s="1">
        <f t="shared" si="17"/>
        <v>2299</v>
      </c>
      <c r="K339" s="1">
        <v>0</v>
      </c>
      <c r="L339" s="1">
        <v>0</v>
      </c>
      <c r="M339" s="1">
        <v>0</v>
      </c>
      <c r="N339" s="1">
        <f t="shared" si="19"/>
        <v>0</v>
      </c>
      <c r="O339" s="14">
        <f t="shared" si="18"/>
        <v>2299</v>
      </c>
      <c r="P339" s="17"/>
      <c r="Q339" s="1">
        <v>0</v>
      </c>
      <c r="R339" s="1">
        <v>0</v>
      </c>
      <c r="S339" s="20">
        <v>40148</v>
      </c>
      <c r="T339" s="1">
        <v>2299</v>
      </c>
      <c r="U339" s="9">
        <v>2299</v>
      </c>
      <c r="V339" s="9" t="s">
        <v>41</v>
      </c>
    </row>
    <row r="340" spans="1:22" x14ac:dyDescent="0.25">
      <c r="A340" s="10" t="s">
        <v>18</v>
      </c>
      <c r="B340" t="b">
        <v>0</v>
      </c>
      <c r="C340" t="b">
        <v>0</v>
      </c>
      <c r="D340" s="1">
        <v>0</v>
      </c>
      <c r="E340" s="1">
        <v>0</v>
      </c>
      <c r="F340" s="1">
        <v>0</v>
      </c>
      <c r="G340" s="1">
        <v>1947</v>
      </c>
      <c r="H340" s="1">
        <v>0</v>
      </c>
      <c r="I340" s="1">
        <v>0</v>
      </c>
      <c r="J340" s="1">
        <f t="shared" si="17"/>
        <v>1947</v>
      </c>
      <c r="K340" s="1">
        <v>0</v>
      </c>
      <c r="L340" s="1">
        <v>0</v>
      </c>
      <c r="M340" s="1">
        <v>0</v>
      </c>
      <c r="N340" s="1">
        <f t="shared" si="19"/>
        <v>0</v>
      </c>
      <c r="O340" s="14">
        <f t="shared" si="18"/>
        <v>1947</v>
      </c>
      <c r="P340" s="17"/>
      <c r="Q340" s="1">
        <v>0</v>
      </c>
      <c r="R340" s="1">
        <v>0</v>
      </c>
      <c r="S340" s="20">
        <v>40179</v>
      </c>
      <c r="T340" s="1">
        <v>1947</v>
      </c>
      <c r="U340" s="9">
        <v>1947</v>
      </c>
      <c r="V340" s="9" t="s">
        <v>21</v>
      </c>
    </row>
    <row r="341" spans="1:22" x14ac:dyDescent="0.25">
      <c r="A341" s="10" t="s">
        <v>18</v>
      </c>
      <c r="B341" t="b">
        <v>0</v>
      </c>
      <c r="C341" t="b">
        <v>0</v>
      </c>
      <c r="D341" s="1">
        <v>0</v>
      </c>
      <c r="E341" s="1">
        <v>0</v>
      </c>
      <c r="F341" s="1">
        <v>0</v>
      </c>
      <c r="G341" s="1">
        <v>1427</v>
      </c>
      <c r="H341" s="1">
        <v>0</v>
      </c>
      <c r="I341" s="1">
        <v>0</v>
      </c>
      <c r="J341" s="1">
        <f t="shared" si="17"/>
        <v>1427</v>
      </c>
      <c r="K341" s="1">
        <v>0</v>
      </c>
      <c r="L341" s="1">
        <v>0</v>
      </c>
      <c r="M341" s="1">
        <v>0</v>
      </c>
      <c r="N341" s="1">
        <f t="shared" si="19"/>
        <v>0</v>
      </c>
      <c r="O341" s="14">
        <f t="shared" si="18"/>
        <v>1427</v>
      </c>
      <c r="P341" s="17"/>
      <c r="Q341" s="1">
        <v>0</v>
      </c>
      <c r="R341" s="1">
        <v>0</v>
      </c>
      <c r="S341" s="20">
        <v>40210</v>
      </c>
      <c r="T341" s="1">
        <v>1427</v>
      </c>
      <c r="U341" s="9">
        <v>1427</v>
      </c>
      <c r="V341" s="9" t="s">
        <v>21</v>
      </c>
    </row>
    <row r="342" spans="1:22" x14ac:dyDescent="0.25">
      <c r="A342" s="10" t="s">
        <v>18</v>
      </c>
      <c r="B342" t="b">
        <v>0</v>
      </c>
      <c r="C342" t="b">
        <v>0</v>
      </c>
      <c r="D342" s="1">
        <v>0</v>
      </c>
      <c r="E342" s="1">
        <v>0</v>
      </c>
      <c r="F342" s="1">
        <v>0</v>
      </c>
      <c r="G342" s="1">
        <v>1892</v>
      </c>
      <c r="H342" s="1">
        <v>0</v>
      </c>
      <c r="I342" s="1">
        <v>0</v>
      </c>
      <c r="J342" s="1">
        <f t="shared" si="17"/>
        <v>1892</v>
      </c>
      <c r="K342" s="1">
        <v>0</v>
      </c>
      <c r="L342" s="1">
        <v>0</v>
      </c>
      <c r="M342" s="1">
        <v>0</v>
      </c>
      <c r="N342" s="1">
        <f t="shared" si="19"/>
        <v>0</v>
      </c>
      <c r="O342" s="14">
        <f t="shared" si="18"/>
        <v>1892</v>
      </c>
      <c r="P342" s="17"/>
      <c r="Q342" s="1">
        <v>0</v>
      </c>
      <c r="R342" s="1">
        <v>0</v>
      </c>
      <c r="S342" s="20">
        <v>40238</v>
      </c>
      <c r="T342" s="1">
        <v>1892</v>
      </c>
      <c r="U342" s="9">
        <v>1892</v>
      </c>
      <c r="V342" s="9" t="s">
        <v>21</v>
      </c>
    </row>
    <row r="343" spans="1:22" x14ac:dyDescent="0.25">
      <c r="A343" s="10" t="s">
        <v>18</v>
      </c>
      <c r="B343" t="b">
        <v>0</v>
      </c>
      <c r="C343" t="b">
        <v>0</v>
      </c>
      <c r="D343" s="1">
        <v>0</v>
      </c>
      <c r="E343" s="1">
        <v>0</v>
      </c>
      <c r="F343" s="1">
        <v>0</v>
      </c>
      <c r="G343" s="1">
        <v>2511</v>
      </c>
      <c r="H343" s="1">
        <v>0</v>
      </c>
      <c r="I343" s="1">
        <v>0</v>
      </c>
      <c r="J343" s="1">
        <f t="shared" si="17"/>
        <v>2511</v>
      </c>
      <c r="K343" s="1">
        <v>0</v>
      </c>
      <c r="L343" s="1">
        <v>0</v>
      </c>
      <c r="M343" s="1">
        <v>0</v>
      </c>
      <c r="N343" s="1">
        <f t="shared" si="19"/>
        <v>0</v>
      </c>
      <c r="O343" s="14">
        <f t="shared" si="18"/>
        <v>2511</v>
      </c>
      <c r="P343" s="17"/>
      <c r="Q343" s="1">
        <v>0</v>
      </c>
      <c r="R343" s="1">
        <v>0</v>
      </c>
      <c r="S343" s="20">
        <v>40269</v>
      </c>
      <c r="T343" s="1">
        <v>2511</v>
      </c>
      <c r="U343" s="9">
        <v>2511</v>
      </c>
      <c r="V343" s="9" t="s">
        <v>21</v>
      </c>
    </row>
    <row r="344" spans="1:22" x14ac:dyDescent="0.25">
      <c r="A344" s="10" t="s">
        <v>18</v>
      </c>
      <c r="B344" t="b">
        <v>0</v>
      </c>
      <c r="C344" t="b">
        <v>0</v>
      </c>
      <c r="D344" s="1">
        <v>0</v>
      </c>
      <c r="E344" s="1">
        <v>0</v>
      </c>
      <c r="F344" s="1">
        <v>0</v>
      </c>
      <c r="G344" s="1">
        <v>3461</v>
      </c>
      <c r="H344" s="1">
        <v>0</v>
      </c>
      <c r="I344" s="1">
        <v>0</v>
      </c>
      <c r="J344" s="1">
        <f t="shared" si="17"/>
        <v>3461</v>
      </c>
      <c r="K344" s="1">
        <v>0</v>
      </c>
      <c r="L344" s="1">
        <v>0</v>
      </c>
      <c r="M344" s="1">
        <v>0</v>
      </c>
      <c r="N344" s="1">
        <f t="shared" si="19"/>
        <v>0</v>
      </c>
      <c r="O344" s="14">
        <f t="shared" si="18"/>
        <v>3461</v>
      </c>
      <c r="P344" s="17"/>
      <c r="Q344" s="1">
        <v>0</v>
      </c>
      <c r="R344" s="1">
        <v>0</v>
      </c>
      <c r="S344" s="20">
        <v>40299</v>
      </c>
      <c r="T344" s="1">
        <v>3461</v>
      </c>
      <c r="U344" s="9">
        <v>3461</v>
      </c>
      <c r="V344" s="9" t="s">
        <v>21</v>
      </c>
    </row>
    <row r="345" spans="1:22" x14ac:dyDescent="0.25">
      <c r="A345" s="10" t="s">
        <v>18</v>
      </c>
      <c r="B345" t="b">
        <v>0</v>
      </c>
      <c r="C345" t="b">
        <v>0</v>
      </c>
      <c r="D345" s="1">
        <v>0</v>
      </c>
      <c r="E345" s="1">
        <v>0</v>
      </c>
      <c r="F345" s="1">
        <v>0</v>
      </c>
      <c r="G345" s="1">
        <v>5266</v>
      </c>
      <c r="H345" s="1">
        <v>0</v>
      </c>
      <c r="I345" s="1">
        <v>0</v>
      </c>
      <c r="J345" s="1">
        <f t="shared" si="17"/>
        <v>5266</v>
      </c>
      <c r="K345" s="1">
        <v>0</v>
      </c>
      <c r="L345" s="1">
        <v>0</v>
      </c>
      <c r="M345" s="1">
        <v>0</v>
      </c>
      <c r="N345" s="1">
        <f t="shared" si="19"/>
        <v>0</v>
      </c>
      <c r="O345" s="14">
        <f t="shared" si="18"/>
        <v>5266</v>
      </c>
      <c r="P345" s="17"/>
      <c r="Q345" s="1">
        <v>0</v>
      </c>
      <c r="R345" s="1">
        <v>0</v>
      </c>
      <c r="S345" s="20">
        <v>40330</v>
      </c>
      <c r="T345" s="1">
        <v>5266</v>
      </c>
      <c r="U345" s="9">
        <v>5266</v>
      </c>
      <c r="V345" s="9" t="s">
        <v>21</v>
      </c>
    </row>
    <row r="346" spans="1:22" x14ac:dyDescent="0.25">
      <c r="A346" s="10" t="s">
        <v>18</v>
      </c>
      <c r="B346" t="b">
        <v>0</v>
      </c>
      <c r="C346" t="b">
        <v>0</v>
      </c>
      <c r="D346" s="1">
        <v>0</v>
      </c>
      <c r="E346" s="1">
        <v>0</v>
      </c>
      <c r="F346" s="1">
        <v>0</v>
      </c>
      <c r="G346" s="1">
        <v>7100</v>
      </c>
      <c r="H346" s="1">
        <v>0</v>
      </c>
      <c r="I346" s="1">
        <v>0</v>
      </c>
      <c r="J346" s="1">
        <f t="shared" si="17"/>
        <v>7100</v>
      </c>
      <c r="K346" s="1">
        <v>0</v>
      </c>
      <c r="L346" s="1">
        <v>0</v>
      </c>
      <c r="M346" s="1">
        <v>0</v>
      </c>
      <c r="N346" s="1">
        <f t="shared" si="19"/>
        <v>0</v>
      </c>
      <c r="O346" s="14">
        <f t="shared" si="18"/>
        <v>7100</v>
      </c>
      <c r="P346" s="17"/>
      <c r="Q346" s="1">
        <v>0</v>
      </c>
      <c r="R346" s="1">
        <v>0</v>
      </c>
      <c r="S346" s="20">
        <v>40360</v>
      </c>
      <c r="T346" s="1">
        <v>7100</v>
      </c>
      <c r="U346" s="9">
        <v>7100</v>
      </c>
      <c r="V346" s="9" t="s">
        <v>21</v>
      </c>
    </row>
    <row r="347" spans="1:22" x14ac:dyDescent="0.25">
      <c r="A347" s="10" t="s">
        <v>18</v>
      </c>
      <c r="B347" t="b">
        <v>0</v>
      </c>
      <c r="C347" t="b">
        <v>0</v>
      </c>
      <c r="D347" s="1">
        <v>0</v>
      </c>
      <c r="E347" s="1">
        <v>0</v>
      </c>
      <c r="F347" s="1">
        <v>0</v>
      </c>
      <c r="G347" s="1">
        <v>5890</v>
      </c>
      <c r="H347" s="1">
        <v>0</v>
      </c>
      <c r="I347" s="1">
        <v>0</v>
      </c>
      <c r="J347" s="1">
        <f t="shared" si="17"/>
        <v>5890</v>
      </c>
      <c r="K347" s="1">
        <v>0</v>
      </c>
      <c r="L347" s="1">
        <v>0</v>
      </c>
      <c r="M347" s="1">
        <v>0</v>
      </c>
      <c r="N347" s="1">
        <f t="shared" si="19"/>
        <v>0</v>
      </c>
      <c r="O347" s="14">
        <f t="shared" si="18"/>
        <v>5890</v>
      </c>
      <c r="P347" s="17"/>
      <c r="Q347" s="1">
        <v>0</v>
      </c>
      <c r="R347" s="1">
        <v>0</v>
      </c>
      <c r="S347" s="20">
        <v>40391</v>
      </c>
      <c r="T347" s="1">
        <v>5890</v>
      </c>
      <c r="U347" s="9">
        <v>5890</v>
      </c>
      <c r="V347" s="9" t="s">
        <v>21</v>
      </c>
    </row>
    <row r="348" spans="1:22" x14ac:dyDescent="0.25">
      <c r="A348" s="10" t="s">
        <v>18</v>
      </c>
      <c r="B348" t="b">
        <v>0</v>
      </c>
      <c r="C348" t="b">
        <v>0</v>
      </c>
      <c r="D348" s="1">
        <v>0</v>
      </c>
      <c r="E348" s="1">
        <v>0</v>
      </c>
      <c r="F348" s="1">
        <v>0</v>
      </c>
      <c r="G348" s="1">
        <v>2302</v>
      </c>
      <c r="H348" s="1">
        <v>0</v>
      </c>
      <c r="I348" s="1">
        <v>0</v>
      </c>
      <c r="J348" s="1">
        <f t="shared" si="17"/>
        <v>2302</v>
      </c>
      <c r="K348" s="1">
        <v>0</v>
      </c>
      <c r="L348" s="1">
        <v>0</v>
      </c>
      <c r="M348" s="1">
        <v>0</v>
      </c>
      <c r="N348" s="1">
        <f t="shared" si="19"/>
        <v>0</v>
      </c>
      <c r="O348" s="14">
        <f t="shared" si="18"/>
        <v>2302</v>
      </c>
      <c r="P348" s="17"/>
      <c r="Q348" s="1">
        <v>0</v>
      </c>
      <c r="R348" s="1">
        <v>0</v>
      </c>
      <c r="S348" s="20">
        <v>40422</v>
      </c>
      <c r="T348" s="1">
        <v>2302</v>
      </c>
      <c r="U348" s="9">
        <v>2302</v>
      </c>
      <c r="V348" s="9" t="s">
        <v>21</v>
      </c>
    </row>
    <row r="349" spans="1:22" x14ac:dyDescent="0.25">
      <c r="A349" s="10" t="s">
        <v>18</v>
      </c>
      <c r="B349" t="b">
        <v>0</v>
      </c>
      <c r="C349" t="b">
        <v>0</v>
      </c>
      <c r="D349" s="1">
        <v>0</v>
      </c>
      <c r="E349" s="1">
        <v>0</v>
      </c>
      <c r="F349" s="1">
        <v>0</v>
      </c>
      <c r="G349" s="1">
        <v>3820</v>
      </c>
      <c r="H349" s="1">
        <v>0</v>
      </c>
      <c r="I349" s="1">
        <v>0</v>
      </c>
      <c r="J349" s="1">
        <f t="shared" si="17"/>
        <v>3820</v>
      </c>
      <c r="K349" s="1">
        <v>0</v>
      </c>
      <c r="L349" s="1">
        <v>0</v>
      </c>
      <c r="M349" s="1">
        <v>0</v>
      </c>
      <c r="N349" s="1">
        <f t="shared" si="19"/>
        <v>0</v>
      </c>
      <c r="O349" s="14">
        <f t="shared" si="18"/>
        <v>3820</v>
      </c>
      <c r="P349" s="17"/>
      <c r="Q349" s="1">
        <v>0</v>
      </c>
      <c r="R349" s="1">
        <v>0</v>
      </c>
      <c r="S349" s="20">
        <v>40452</v>
      </c>
      <c r="T349" s="1">
        <v>3820</v>
      </c>
      <c r="U349" s="9">
        <v>3820</v>
      </c>
      <c r="V349" s="9" t="s">
        <v>21</v>
      </c>
    </row>
    <row r="350" spans="1:22" x14ac:dyDescent="0.25">
      <c r="A350" s="10" t="s">
        <v>18</v>
      </c>
      <c r="B350" t="b">
        <v>0</v>
      </c>
      <c r="C350" t="b">
        <v>0</v>
      </c>
      <c r="D350" s="1">
        <v>0</v>
      </c>
      <c r="E350" s="1">
        <v>0</v>
      </c>
      <c r="F350" s="1">
        <v>0</v>
      </c>
      <c r="G350" s="1">
        <v>3461</v>
      </c>
      <c r="H350" s="1">
        <v>0</v>
      </c>
      <c r="I350" s="1">
        <v>0</v>
      </c>
      <c r="J350" s="1">
        <f t="shared" si="17"/>
        <v>3461</v>
      </c>
      <c r="K350" s="1">
        <v>0</v>
      </c>
      <c r="L350" s="1">
        <v>0</v>
      </c>
      <c r="M350" s="1">
        <v>0</v>
      </c>
      <c r="N350" s="1">
        <f t="shared" si="19"/>
        <v>0</v>
      </c>
      <c r="O350" s="14">
        <f t="shared" si="18"/>
        <v>3461</v>
      </c>
      <c r="P350" s="17"/>
      <c r="Q350" s="1">
        <v>0</v>
      </c>
      <c r="R350" s="1">
        <v>0</v>
      </c>
      <c r="S350" s="20">
        <v>40483</v>
      </c>
      <c r="T350" s="1">
        <v>3461</v>
      </c>
      <c r="U350" s="9">
        <v>3461</v>
      </c>
      <c r="V350" s="9" t="s">
        <v>21</v>
      </c>
    </row>
    <row r="351" spans="1:22" x14ac:dyDescent="0.25">
      <c r="A351" s="10" t="s">
        <v>18</v>
      </c>
      <c r="B351" t="b">
        <v>0</v>
      </c>
      <c r="C351" t="b">
        <v>0</v>
      </c>
      <c r="D351" s="1">
        <v>0</v>
      </c>
      <c r="E351" s="1">
        <v>0</v>
      </c>
      <c r="F351" s="1">
        <v>0</v>
      </c>
      <c r="G351" s="1">
        <v>2142</v>
      </c>
      <c r="H351" s="1">
        <v>0</v>
      </c>
      <c r="I351" s="1">
        <v>0</v>
      </c>
      <c r="J351" s="1">
        <f t="shared" si="17"/>
        <v>2142</v>
      </c>
      <c r="K351" s="1">
        <v>0</v>
      </c>
      <c r="L351" s="1">
        <v>0</v>
      </c>
      <c r="M351" s="1">
        <v>0</v>
      </c>
      <c r="N351" s="1">
        <f t="shared" si="19"/>
        <v>0</v>
      </c>
      <c r="O351" s="14">
        <f t="shared" si="18"/>
        <v>2142</v>
      </c>
      <c r="P351" s="17"/>
      <c r="Q351" s="1">
        <v>0</v>
      </c>
      <c r="R351" s="1">
        <v>0</v>
      </c>
      <c r="S351" s="20">
        <v>40513</v>
      </c>
      <c r="T351" s="1">
        <v>2142</v>
      </c>
      <c r="U351" s="9">
        <v>2142</v>
      </c>
      <c r="V351" s="9" t="s">
        <v>21</v>
      </c>
    </row>
    <row r="352" spans="1:22" x14ac:dyDescent="0.25">
      <c r="A352" s="10" t="s">
        <v>18</v>
      </c>
      <c r="B352" t="b">
        <v>0</v>
      </c>
      <c r="C352" t="b">
        <v>0</v>
      </c>
      <c r="D352" s="1">
        <v>0</v>
      </c>
      <c r="E352" s="1">
        <v>0</v>
      </c>
      <c r="F352" s="1">
        <v>0</v>
      </c>
      <c r="G352" s="1">
        <v>1873</v>
      </c>
      <c r="H352" s="1">
        <v>0</v>
      </c>
      <c r="I352" s="1">
        <v>0</v>
      </c>
      <c r="J352" s="1">
        <f t="shared" si="17"/>
        <v>1873</v>
      </c>
      <c r="K352" s="1">
        <v>0</v>
      </c>
      <c r="L352" s="1">
        <v>0</v>
      </c>
      <c r="M352" s="1">
        <v>0</v>
      </c>
      <c r="N352" s="1">
        <f t="shared" si="19"/>
        <v>0</v>
      </c>
      <c r="O352" s="14">
        <f t="shared" si="18"/>
        <v>1873</v>
      </c>
      <c r="P352" s="17"/>
      <c r="Q352" s="1">
        <v>0</v>
      </c>
      <c r="R352" s="1">
        <v>0</v>
      </c>
      <c r="S352" s="20">
        <v>40544</v>
      </c>
      <c r="T352" s="1">
        <v>1873</v>
      </c>
      <c r="U352" s="9">
        <v>1873</v>
      </c>
      <c r="V352" s="9" t="s">
        <v>21</v>
      </c>
    </row>
    <row r="353" spans="1:22" x14ac:dyDescent="0.25">
      <c r="A353" s="10" t="s">
        <v>18</v>
      </c>
      <c r="B353" t="b">
        <v>0</v>
      </c>
      <c r="C353" t="b">
        <v>0</v>
      </c>
      <c r="D353" s="1">
        <v>0</v>
      </c>
      <c r="E353" s="1">
        <v>0</v>
      </c>
      <c r="F353" s="1">
        <v>0</v>
      </c>
      <c r="G353" s="1">
        <v>1492</v>
      </c>
      <c r="H353" s="1">
        <v>0</v>
      </c>
      <c r="I353" s="1">
        <v>0</v>
      </c>
      <c r="J353" s="1">
        <f t="shared" si="17"/>
        <v>1492</v>
      </c>
      <c r="K353" s="1">
        <v>0</v>
      </c>
      <c r="L353" s="1">
        <v>0</v>
      </c>
      <c r="M353" s="1">
        <v>0</v>
      </c>
      <c r="N353" s="1">
        <f t="shared" si="19"/>
        <v>0</v>
      </c>
      <c r="O353" s="14">
        <f t="shared" si="18"/>
        <v>1492</v>
      </c>
      <c r="P353" s="17"/>
      <c r="Q353" s="1">
        <v>0</v>
      </c>
      <c r="R353" s="1">
        <v>0</v>
      </c>
      <c r="S353" s="20">
        <v>40575</v>
      </c>
      <c r="T353" s="1">
        <v>1492</v>
      </c>
      <c r="U353" s="9">
        <v>1492</v>
      </c>
      <c r="V353" s="9" t="s">
        <v>21</v>
      </c>
    </row>
    <row r="354" spans="1:22" x14ac:dyDescent="0.25">
      <c r="A354" s="10" t="s">
        <v>18</v>
      </c>
      <c r="B354" t="b">
        <v>0</v>
      </c>
      <c r="C354" t="b">
        <v>0</v>
      </c>
      <c r="D354" s="1">
        <v>0</v>
      </c>
      <c r="E354" s="1">
        <v>0</v>
      </c>
      <c r="F354" s="1">
        <v>0</v>
      </c>
      <c r="G354" s="1">
        <v>1252</v>
      </c>
      <c r="H354" s="1">
        <v>0</v>
      </c>
      <c r="I354" s="1">
        <v>0</v>
      </c>
      <c r="J354" s="1">
        <f t="shared" si="17"/>
        <v>1252</v>
      </c>
      <c r="K354" s="1">
        <v>0</v>
      </c>
      <c r="L354" s="1">
        <v>0</v>
      </c>
      <c r="M354" s="1">
        <v>0</v>
      </c>
      <c r="N354" s="1">
        <f t="shared" si="19"/>
        <v>0</v>
      </c>
      <c r="O354" s="14">
        <f t="shared" si="18"/>
        <v>1252</v>
      </c>
      <c r="P354" s="17"/>
      <c r="Q354" s="1">
        <v>0</v>
      </c>
      <c r="R354" s="1">
        <v>0</v>
      </c>
      <c r="S354" s="20">
        <v>40603</v>
      </c>
      <c r="T354" s="1">
        <v>1252</v>
      </c>
      <c r="U354" s="9">
        <v>1252</v>
      </c>
      <c r="V354" s="9" t="s">
        <v>21</v>
      </c>
    </row>
    <row r="355" spans="1:22" x14ac:dyDescent="0.25">
      <c r="A355" s="10" t="s">
        <v>18</v>
      </c>
      <c r="B355" t="b">
        <v>0</v>
      </c>
      <c r="C355" t="b">
        <v>0</v>
      </c>
      <c r="D355" s="1">
        <v>0</v>
      </c>
      <c r="E355" s="1">
        <v>0</v>
      </c>
      <c r="F355" s="1">
        <v>0</v>
      </c>
      <c r="G355" s="1">
        <v>2041</v>
      </c>
      <c r="H355" s="1">
        <v>0</v>
      </c>
      <c r="I355" s="1">
        <v>0</v>
      </c>
      <c r="J355" s="1">
        <f t="shared" si="17"/>
        <v>2041</v>
      </c>
      <c r="K355" s="1">
        <v>0</v>
      </c>
      <c r="L355" s="1">
        <v>0</v>
      </c>
      <c r="M355" s="1">
        <v>0</v>
      </c>
      <c r="N355" s="1">
        <f t="shared" si="19"/>
        <v>0</v>
      </c>
      <c r="O355" s="14">
        <f t="shared" si="18"/>
        <v>2041</v>
      </c>
      <c r="P355" s="17"/>
      <c r="Q355" s="1">
        <v>0</v>
      </c>
      <c r="R355" s="1">
        <v>0</v>
      </c>
      <c r="S355" s="20">
        <v>40634</v>
      </c>
      <c r="T355" s="1">
        <v>2041</v>
      </c>
      <c r="U355" s="9">
        <v>2041</v>
      </c>
      <c r="V355" s="9" t="s">
        <v>21</v>
      </c>
    </row>
    <row r="356" spans="1:22" x14ac:dyDescent="0.25">
      <c r="A356" s="10" t="s">
        <v>18</v>
      </c>
      <c r="B356" t="b">
        <v>0</v>
      </c>
      <c r="C356" t="b">
        <v>0</v>
      </c>
      <c r="D356" s="1">
        <v>0</v>
      </c>
      <c r="E356" s="1">
        <v>0</v>
      </c>
      <c r="F356" s="1">
        <v>0</v>
      </c>
      <c r="G356" s="1">
        <v>2072</v>
      </c>
      <c r="H356" s="1">
        <v>0</v>
      </c>
      <c r="I356" s="1">
        <v>0</v>
      </c>
      <c r="J356" s="1">
        <f t="shared" si="17"/>
        <v>2072</v>
      </c>
      <c r="K356" s="1">
        <v>0</v>
      </c>
      <c r="L356" s="1">
        <v>0</v>
      </c>
      <c r="M356" s="1">
        <v>0</v>
      </c>
      <c r="N356" s="1">
        <f t="shared" si="19"/>
        <v>0</v>
      </c>
      <c r="O356" s="14">
        <f t="shared" si="18"/>
        <v>2072</v>
      </c>
      <c r="P356" s="17"/>
      <c r="Q356" s="1">
        <v>0</v>
      </c>
      <c r="R356" s="1">
        <v>0</v>
      </c>
      <c r="S356" s="20">
        <v>40664</v>
      </c>
      <c r="T356" s="1">
        <v>2072</v>
      </c>
      <c r="U356" s="9">
        <v>2072</v>
      </c>
      <c r="V356" s="9" t="s">
        <v>21</v>
      </c>
    </row>
    <row r="357" spans="1:22" x14ac:dyDescent="0.25">
      <c r="A357" s="10" t="s">
        <v>18</v>
      </c>
      <c r="B357" t="b">
        <v>0</v>
      </c>
      <c r="C357" t="b">
        <v>0</v>
      </c>
      <c r="D357" s="1">
        <v>0</v>
      </c>
      <c r="E357" s="1">
        <v>0</v>
      </c>
      <c r="F357" s="1">
        <v>0</v>
      </c>
      <c r="G357" s="1">
        <v>1899</v>
      </c>
      <c r="H357" s="1">
        <v>0</v>
      </c>
      <c r="I357" s="1">
        <v>0</v>
      </c>
      <c r="J357" s="1">
        <f t="shared" si="17"/>
        <v>1899</v>
      </c>
      <c r="K357" s="1">
        <v>0</v>
      </c>
      <c r="L357" s="1">
        <v>0</v>
      </c>
      <c r="M357" s="1">
        <v>0</v>
      </c>
      <c r="N357" s="1">
        <f t="shared" si="19"/>
        <v>0</v>
      </c>
      <c r="O357" s="14">
        <f t="shared" si="18"/>
        <v>1899</v>
      </c>
      <c r="P357" s="17"/>
      <c r="Q357" s="1">
        <v>0</v>
      </c>
      <c r="R357" s="1">
        <v>0</v>
      </c>
      <c r="S357" s="20">
        <v>40695</v>
      </c>
      <c r="T357" s="1">
        <v>1899</v>
      </c>
      <c r="U357" s="9">
        <v>1899</v>
      </c>
      <c r="V357" s="9" t="s">
        <v>21</v>
      </c>
    </row>
    <row r="358" spans="1:22" x14ac:dyDescent="0.25">
      <c r="A358" s="10" t="s">
        <v>18</v>
      </c>
      <c r="B358" t="b">
        <v>0</v>
      </c>
      <c r="C358" t="b">
        <v>0</v>
      </c>
      <c r="D358" s="1">
        <v>0</v>
      </c>
      <c r="E358" s="1">
        <v>0</v>
      </c>
      <c r="F358" s="1">
        <v>0</v>
      </c>
      <c r="G358" s="1">
        <v>6815</v>
      </c>
      <c r="H358" s="1">
        <v>0</v>
      </c>
      <c r="I358" s="1">
        <v>0</v>
      </c>
      <c r="J358" s="1">
        <f t="shared" si="17"/>
        <v>6815</v>
      </c>
      <c r="K358" s="1">
        <v>0</v>
      </c>
      <c r="L358" s="1">
        <v>0</v>
      </c>
      <c r="M358" s="1">
        <v>0</v>
      </c>
      <c r="N358" s="1">
        <f t="shared" si="19"/>
        <v>0</v>
      </c>
      <c r="O358" s="14">
        <f t="shared" si="18"/>
        <v>6815</v>
      </c>
      <c r="P358" s="17"/>
      <c r="Q358" s="1">
        <v>0</v>
      </c>
      <c r="R358" s="1">
        <v>0</v>
      </c>
      <c r="S358" s="20">
        <v>40725</v>
      </c>
      <c r="T358" s="1">
        <v>6815</v>
      </c>
      <c r="U358" s="9">
        <v>6815</v>
      </c>
      <c r="V358" s="9" t="s">
        <v>21</v>
      </c>
    </row>
    <row r="359" spans="1:22" x14ac:dyDescent="0.25">
      <c r="A359" s="10" t="s">
        <v>18</v>
      </c>
      <c r="B359" t="b">
        <v>0</v>
      </c>
      <c r="C359" t="b">
        <v>0</v>
      </c>
      <c r="D359" s="1">
        <v>0</v>
      </c>
      <c r="E359" s="1">
        <v>0</v>
      </c>
      <c r="F359" s="1">
        <v>0</v>
      </c>
      <c r="G359" s="1">
        <v>5040</v>
      </c>
      <c r="H359" s="1">
        <v>0</v>
      </c>
      <c r="I359" s="1">
        <v>0</v>
      </c>
      <c r="J359" s="1">
        <f t="shared" si="17"/>
        <v>5040</v>
      </c>
      <c r="K359" s="1">
        <v>0</v>
      </c>
      <c r="L359" s="1">
        <v>0</v>
      </c>
      <c r="M359" s="1">
        <v>0</v>
      </c>
      <c r="N359" s="1">
        <f t="shared" si="19"/>
        <v>0</v>
      </c>
      <c r="O359" s="14">
        <f t="shared" si="18"/>
        <v>5040</v>
      </c>
      <c r="P359" s="17"/>
      <c r="Q359" s="1">
        <v>0</v>
      </c>
      <c r="R359" s="1">
        <v>0</v>
      </c>
      <c r="S359" s="20">
        <v>40756</v>
      </c>
      <c r="T359" s="1">
        <v>5040</v>
      </c>
      <c r="U359" s="9">
        <v>5040</v>
      </c>
      <c r="V359" s="9" t="s">
        <v>21</v>
      </c>
    </row>
    <row r="360" spans="1:22" x14ac:dyDescent="0.25">
      <c r="A360" s="10" t="s">
        <v>18</v>
      </c>
      <c r="B360" t="b">
        <v>0</v>
      </c>
      <c r="C360" t="b">
        <v>0</v>
      </c>
      <c r="D360" s="1">
        <v>0</v>
      </c>
      <c r="E360" s="1">
        <v>0</v>
      </c>
      <c r="F360" s="1">
        <v>0</v>
      </c>
      <c r="G360" s="1">
        <v>1781</v>
      </c>
      <c r="H360" s="1">
        <v>0</v>
      </c>
      <c r="I360" s="1">
        <v>0</v>
      </c>
      <c r="J360" s="1">
        <f t="shared" si="17"/>
        <v>1781</v>
      </c>
      <c r="K360" s="1">
        <v>0</v>
      </c>
      <c r="L360" s="1">
        <v>0</v>
      </c>
      <c r="M360" s="1">
        <v>0</v>
      </c>
      <c r="N360" s="1">
        <f t="shared" si="19"/>
        <v>0</v>
      </c>
      <c r="O360" s="14">
        <f t="shared" si="18"/>
        <v>1781</v>
      </c>
      <c r="P360" s="17"/>
      <c r="Q360" s="1">
        <v>0</v>
      </c>
      <c r="R360" s="1">
        <v>0</v>
      </c>
      <c r="S360" s="20">
        <v>40787</v>
      </c>
      <c r="T360" s="1">
        <v>1781</v>
      </c>
      <c r="U360" s="9">
        <v>1781</v>
      </c>
      <c r="V360" s="9" t="s">
        <v>21</v>
      </c>
    </row>
    <row r="361" spans="1:22" x14ac:dyDescent="0.25">
      <c r="A361" s="10" t="s">
        <v>18</v>
      </c>
      <c r="B361" t="b">
        <v>0</v>
      </c>
      <c r="C361" t="b">
        <v>0</v>
      </c>
      <c r="D361" s="1">
        <v>0</v>
      </c>
      <c r="E361" s="1">
        <v>0</v>
      </c>
      <c r="F361" s="1">
        <v>0</v>
      </c>
      <c r="G361" s="1">
        <v>3293</v>
      </c>
      <c r="H361" s="1">
        <v>0</v>
      </c>
      <c r="I361" s="1">
        <v>0</v>
      </c>
      <c r="J361" s="1">
        <f t="shared" si="17"/>
        <v>3293</v>
      </c>
      <c r="K361" s="1">
        <v>0</v>
      </c>
      <c r="L361" s="1">
        <v>0</v>
      </c>
      <c r="M361" s="1">
        <v>0</v>
      </c>
      <c r="N361" s="1">
        <f t="shared" si="19"/>
        <v>0</v>
      </c>
      <c r="O361" s="14">
        <f t="shared" si="18"/>
        <v>3293</v>
      </c>
      <c r="P361" s="17"/>
      <c r="Q361" s="1">
        <v>0</v>
      </c>
      <c r="R361" s="1">
        <v>0</v>
      </c>
      <c r="S361" s="20">
        <v>40817</v>
      </c>
      <c r="T361" s="1">
        <v>3293</v>
      </c>
      <c r="U361" s="9">
        <v>3293</v>
      </c>
      <c r="V361" s="9" t="s">
        <v>21</v>
      </c>
    </row>
    <row r="362" spans="1:22" x14ac:dyDescent="0.25">
      <c r="A362" s="10" t="s">
        <v>18</v>
      </c>
      <c r="B362" t="b">
        <v>0</v>
      </c>
      <c r="C362" t="b">
        <v>0</v>
      </c>
      <c r="D362" s="1">
        <v>0</v>
      </c>
      <c r="E362" s="1">
        <v>0</v>
      </c>
      <c r="F362" s="1">
        <v>0</v>
      </c>
      <c r="G362" s="1">
        <v>3056</v>
      </c>
      <c r="H362" s="1">
        <v>0</v>
      </c>
      <c r="I362" s="1">
        <v>0</v>
      </c>
      <c r="J362" s="1">
        <f t="shared" si="17"/>
        <v>3056</v>
      </c>
      <c r="K362" s="1">
        <v>0</v>
      </c>
      <c r="L362" s="1">
        <v>0</v>
      </c>
      <c r="M362" s="1">
        <v>0</v>
      </c>
      <c r="N362" s="1">
        <f t="shared" si="19"/>
        <v>0</v>
      </c>
      <c r="O362" s="14">
        <f t="shared" si="18"/>
        <v>3056</v>
      </c>
      <c r="P362" s="17"/>
      <c r="Q362" s="1">
        <v>0</v>
      </c>
      <c r="R362" s="1">
        <v>0</v>
      </c>
      <c r="S362" s="20">
        <v>40848</v>
      </c>
      <c r="T362" s="1">
        <v>3056</v>
      </c>
      <c r="U362" s="9">
        <v>3056</v>
      </c>
      <c r="V362" s="9" t="s">
        <v>21</v>
      </c>
    </row>
    <row r="363" spans="1:22" x14ac:dyDescent="0.25">
      <c r="A363" s="10" t="s">
        <v>18</v>
      </c>
      <c r="B363" t="b">
        <v>0</v>
      </c>
      <c r="C363" t="b">
        <v>0</v>
      </c>
      <c r="D363" s="1">
        <v>0</v>
      </c>
      <c r="E363" s="1">
        <v>0</v>
      </c>
      <c r="F363" s="1">
        <v>0</v>
      </c>
      <c r="G363" s="1">
        <v>1880</v>
      </c>
      <c r="H363" s="1">
        <v>0</v>
      </c>
      <c r="I363" s="1">
        <v>0</v>
      </c>
      <c r="J363" s="1">
        <f t="shared" si="17"/>
        <v>1880</v>
      </c>
      <c r="K363" s="1">
        <v>0</v>
      </c>
      <c r="L363" s="1">
        <v>0</v>
      </c>
      <c r="M363" s="1">
        <v>0</v>
      </c>
      <c r="N363" s="1">
        <f t="shared" si="19"/>
        <v>0</v>
      </c>
      <c r="O363" s="14">
        <f t="shared" si="18"/>
        <v>1880</v>
      </c>
      <c r="P363" s="17"/>
      <c r="Q363" s="1">
        <v>0</v>
      </c>
      <c r="R363" s="1">
        <v>0</v>
      </c>
      <c r="S363" s="20">
        <v>40878</v>
      </c>
      <c r="T363" s="1">
        <v>1880</v>
      </c>
      <c r="U363" s="9">
        <v>1880</v>
      </c>
      <c r="V363" s="9" t="s">
        <v>21</v>
      </c>
    </row>
    <row r="364" spans="1:22" x14ac:dyDescent="0.25">
      <c r="A364" s="10" t="s">
        <v>18</v>
      </c>
      <c r="B364" t="b">
        <v>1</v>
      </c>
      <c r="C364" t="b">
        <v>0</v>
      </c>
      <c r="D364" s="1">
        <v>0</v>
      </c>
      <c r="E364" s="1">
        <v>0</v>
      </c>
      <c r="F364" s="1">
        <v>0</v>
      </c>
      <c r="G364" s="1">
        <v>1795</v>
      </c>
      <c r="H364" s="1">
        <v>0</v>
      </c>
      <c r="I364" s="1">
        <v>0</v>
      </c>
      <c r="J364" s="1">
        <f t="shared" si="17"/>
        <v>1795</v>
      </c>
      <c r="K364" s="1">
        <v>0</v>
      </c>
      <c r="L364" s="1">
        <v>0</v>
      </c>
      <c r="M364" s="1">
        <v>0</v>
      </c>
      <c r="N364" s="1">
        <f t="shared" si="19"/>
        <v>0</v>
      </c>
      <c r="O364" s="14">
        <f t="shared" si="18"/>
        <v>1795</v>
      </c>
      <c r="P364" s="17"/>
      <c r="Q364" s="1">
        <v>0</v>
      </c>
      <c r="R364" s="1">
        <v>0</v>
      </c>
      <c r="S364" s="20">
        <v>40909</v>
      </c>
      <c r="T364" s="1">
        <v>1795</v>
      </c>
      <c r="U364" s="9">
        <v>1795</v>
      </c>
      <c r="V364" s="9" t="s">
        <v>21</v>
      </c>
    </row>
    <row r="365" spans="1:22" x14ac:dyDescent="0.25">
      <c r="A365" s="10" t="s">
        <v>18</v>
      </c>
      <c r="B365" t="b">
        <v>1</v>
      </c>
      <c r="C365" t="b">
        <v>0</v>
      </c>
      <c r="D365" s="1">
        <v>0</v>
      </c>
      <c r="E365" s="1">
        <v>0</v>
      </c>
      <c r="F365" s="1">
        <v>0</v>
      </c>
      <c r="G365" s="1">
        <v>1607</v>
      </c>
      <c r="H365" s="1">
        <v>0</v>
      </c>
      <c r="I365" s="1">
        <v>0</v>
      </c>
      <c r="J365" s="1">
        <f t="shared" si="17"/>
        <v>1607</v>
      </c>
      <c r="K365" s="1">
        <v>0</v>
      </c>
      <c r="L365" s="1">
        <v>0</v>
      </c>
      <c r="M365" s="1">
        <v>0</v>
      </c>
      <c r="N365" s="1">
        <f t="shared" si="19"/>
        <v>0</v>
      </c>
      <c r="O365" s="14">
        <f t="shared" si="18"/>
        <v>1607</v>
      </c>
      <c r="P365" s="17"/>
      <c r="Q365" s="1">
        <v>0</v>
      </c>
      <c r="R365" s="1">
        <v>0</v>
      </c>
      <c r="S365" s="20">
        <v>40940</v>
      </c>
      <c r="T365" s="1">
        <v>1607</v>
      </c>
      <c r="U365" s="9">
        <v>1607</v>
      </c>
      <c r="V365" s="9" t="s">
        <v>21</v>
      </c>
    </row>
    <row r="366" spans="1:22" x14ac:dyDescent="0.25">
      <c r="A366" s="10" t="s">
        <v>18</v>
      </c>
      <c r="B366" t="b">
        <v>1</v>
      </c>
      <c r="C366" t="b">
        <v>0</v>
      </c>
      <c r="D366" s="1">
        <v>0</v>
      </c>
      <c r="E366" s="1">
        <v>0</v>
      </c>
      <c r="F366" s="1">
        <v>0</v>
      </c>
      <c r="G366" s="1">
        <v>1422</v>
      </c>
      <c r="H366" s="1">
        <v>0</v>
      </c>
      <c r="I366" s="1">
        <v>0</v>
      </c>
      <c r="J366" s="1">
        <f t="shared" si="17"/>
        <v>1422</v>
      </c>
      <c r="K366" s="1">
        <v>0</v>
      </c>
      <c r="L366" s="1">
        <v>0</v>
      </c>
      <c r="M366" s="1">
        <v>0</v>
      </c>
      <c r="N366" s="1">
        <f t="shared" si="19"/>
        <v>0</v>
      </c>
      <c r="O366" s="14">
        <f t="shared" si="18"/>
        <v>1422</v>
      </c>
      <c r="P366" s="17"/>
      <c r="Q366" s="1">
        <v>0</v>
      </c>
      <c r="R366" s="1">
        <v>0</v>
      </c>
      <c r="S366" s="20">
        <v>40969</v>
      </c>
      <c r="T366" s="1">
        <v>1422</v>
      </c>
      <c r="U366" s="9">
        <v>1422</v>
      </c>
      <c r="V366" s="9" t="s">
        <v>21</v>
      </c>
    </row>
    <row r="367" spans="1:22" x14ac:dyDescent="0.25">
      <c r="A367" s="10" t="s">
        <v>18</v>
      </c>
      <c r="B367" t="b">
        <v>0</v>
      </c>
      <c r="C367" t="b">
        <v>0</v>
      </c>
      <c r="D367" s="1">
        <v>0</v>
      </c>
      <c r="E367" s="1">
        <v>0</v>
      </c>
      <c r="F367" s="1">
        <v>0</v>
      </c>
      <c r="G367" s="1">
        <v>2070</v>
      </c>
      <c r="H367" s="1">
        <v>0</v>
      </c>
      <c r="I367" s="1">
        <v>0</v>
      </c>
      <c r="J367" s="1">
        <f t="shared" ref="J367:J430" si="20">D367+E367+F367+G367+H367+I367</f>
        <v>2070</v>
      </c>
      <c r="K367" s="1">
        <v>0</v>
      </c>
      <c r="L367" s="1">
        <v>0</v>
      </c>
      <c r="M367" s="1">
        <v>0</v>
      </c>
      <c r="N367" s="1">
        <f t="shared" si="19"/>
        <v>0</v>
      </c>
      <c r="O367" s="14">
        <f t="shared" ref="O367:O430" si="21">J367</f>
        <v>2070</v>
      </c>
      <c r="P367" s="17"/>
      <c r="Q367" s="1">
        <v>0</v>
      </c>
      <c r="R367" s="1">
        <v>0</v>
      </c>
      <c r="S367" s="20">
        <v>41000</v>
      </c>
      <c r="T367" s="1">
        <v>2070</v>
      </c>
      <c r="U367" s="9">
        <v>2070</v>
      </c>
      <c r="V367" s="9" t="s">
        <v>21</v>
      </c>
    </row>
    <row r="368" spans="1:22" x14ac:dyDescent="0.25">
      <c r="A368" s="10" t="s">
        <v>18</v>
      </c>
      <c r="B368" t="b">
        <v>0</v>
      </c>
      <c r="C368" t="b">
        <v>0</v>
      </c>
      <c r="D368" s="1">
        <v>0</v>
      </c>
      <c r="E368" s="1">
        <v>0</v>
      </c>
      <c r="F368" s="1">
        <v>0</v>
      </c>
      <c r="G368" s="1">
        <v>2133</v>
      </c>
      <c r="H368" s="1">
        <v>0</v>
      </c>
      <c r="I368" s="1">
        <v>0</v>
      </c>
      <c r="J368" s="1">
        <f t="shared" si="20"/>
        <v>2133</v>
      </c>
      <c r="K368" s="1">
        <v>0</v>
      </c>
      <c r="L368" s="1">
        <v>0</v>
      </c>
      <c r="M368" s="1">
        <v>0</v>
      </c>
      <c r="N368" s="1">
        <f t="shared" si="19"/>
        <v>0</v>
      </c>
      <c r="O368" s="14">
        <f t="shared" si="21"/>
        <v>2133</v>
      </c>
      <c r="P368" s="17"/>
      <c r="Q368" s="1">
        <v>0</v>
      </c>
      <c r="R368" s="1">
        <v>0</v>
      </c>
      <c r="S368" s="20">
        <v>41030</v>
      </c>
      <c r="T368" s="1">
        <v>2133</v>
      </c>
      <c r="U368" s="9">
        <v>2133</v>
      </c>
      <c r="V368" s="9" t="s">
        <v>21</v>
      </c>
    </row>
    <row r="369" spans="1:22" x14ac:dyDescent="0.25">
      <c r="A369" s="10" t="s">
        <v>18</v>
      </c>
      <c r="B369" t="b">
        <v>0</v>
      </c>
      <c r="C369" t="b">
        <v>0</v>
      </c>
      <c r="D369" s="1">
        <v>0</v>
      </c>
      <c r="E369" s="1">
        <v>0</v>
      </c>
      <c r="F369" s="1">
        <v>0</v>
      </c>
      <c r="G369" s="1">
        <v>1567</v>
      </c>
      <c r="H369" s="1">
        <v>0</v>
      </c>
      <c r="I369" s="1">
        <v>0</v>
      </c>
      <c r="J369" s="1">
        <f t="shared" si="20"/>
        <v>1567</v>
      </c>
      <c r="K369" s="1">
        <v>0</v>
      </c>
      <c r="L369" s="1">
        <v>0</v>
      </c>
      <c r="M369" s="1">
        <v>0</v>
      </c>
      <c r="N369" s="1">
        <f t="shared" si="19"/>
        <v>0</v>
      </c>
      <c r="O369" s="14">
        <f t="shared" si="21"/>
        <v>1567</v>
      </c>
      <c r="P369" s="17"/>
      <c r="Q369" s="1">
        <v>0</v>
      </c>
      <c r="R369" s="1">
        <v>0</v>
      </c>
      <c r="S369" s="20">
        <v>41061</v>
      </c>
      <c r="T369" s="1">
        <v>1567</v>
      </c>
      <c r="U369" s="9">
        <v>1567</v>
      </c>
      <c r="V369" s="9" t="s">
        <v>21</v>
      </c>
    </row>
    <row r="370" spans="1:22" x14ac:dyDescent="0.25">
      <c r="A370" s="10" t="s">
        <v>18</v>
      </c>
      <c r="B370" t="b">
        <v>0</v>
      </c>
      <c r="C370" t="b">
        <v>1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f t="shared" si="20"/>
        <v>0</v>
      </c>
      <c r="K370" s="1">
        <v>0</v>
      </c>
      <c r="L370" s="1">
        <v>0</v>
      </c>
      <c r="M370" s="1">
        <v>0</v>
      </c>
      <c r="N370" s="1">
        <f t="shared" si="19"/>
        <v>0</v>
      </c>
      <c r="O370" s="14">
        <f t="shared" si="21"/>
        <v>0</v>
      </c>
      <c r="P370" s="17"/>
      <c r="Q370" s="1">
        <v>0</v>
      </c>
      <c r="R370" s="1">
        <v>0</v>
      </c>
      <c r="S370" s="20">
        <v>41091</v>
      </c>
      <c r="T370" s="1">
        <v>0</v>
      </c>
      <c r="U370" s="9">
        <v>0</v>
      </c>
      <c r="V370" s="9" t="s">
        <v>21</v>
      </c>
    </row>
    <row r="371" spans="1:22" x14ac:dyDescent="0.25">
      <c r="A371" s="10" t="s">
        <v>18</v>
      </c>
      <c r="B371" t="b">
        <v>0</v>
      </c>
      <c r="C371" t="b">
        <v>1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f t="shared" si="20"/>
        <v>0</v>
      </c>
      <c r="K371" s="1">
        <v>0</v>
      </c>
      <c r="L371" s="1">
        <v>0</v>
      </c>
      <c r="M371" s="1">
        <v>0</v>
      </c>
      <c r="N371" s="1">
        <f t="shared" si="19"/>
        <v>0</v>
      </c>
      <c r="O371" s="14">
        <f t="shared" si="21"/>
        <v>0</v>
      </c>
      <c r="P371" s="17"/>
      <c r="Q371" s="1">
        <v>0</v>
      </c>
      <c r="R371" s="1">
        <v>0</v>
      </c>
      <c r="S371" s="20">
        <v>41122</v>
      </c>
      <c r="T371" s="1">
        <v>0</v>
      </c>
      <c r="U371" s="9">
        <v>0</v>
      </c>
      <c r="V371" s="9" t="s">
        <v>21</v>
      </c>
    </row>
    <row r="372" spans="1:22" x14ac:dyDescent="0.25">
      <c r="A372" s="10" t="s">
        <v>18</v>
      </c>
      <c r="B372" t="b">
        <v>0</v>
      </c>
      <c r="C372" t="b">
        <v>1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f t="shared" si="20"/>
        <v>0</v>
      </c>
      <c r="K372" s="1">
        <v>0</v>
      </c>
      <c r="L372" s="1">
        <v>0</v>
      </c>
      <c r="M372" s="1">
        <v>0</v>
      </c>
      <c r="N372" s="1">
        <f t="shared" si="19"/>
        <v>0</v>
      </c>
      <c r="O372" s="14">
        <f t="shared" si="21"/>
        <v>0</v>
      </c>
      <c r="P372" s="17"/>
      <c r="Q372" s="1">
        <v>0</v>
      </c>
      <c r="R372" s="1">
        <v>0</v>
      </c>
      <c r="S372" s="20">
        <v>41153</v>
      </c>
      <c r="T372" s="1">
        <v>0</v>
      </c>
      <c r="U372" s="9">
        <v>0</v>
      </c>
      <c r="V372" s="9" t="s">
        <v>21</v>
      </c>
    </row>
    <row r="373" spans="1:22" x14ac:dyDescent="0.25">
      <c r="A373" s="10" t="s">
        <v>18</v>
      </c>
      <c r="B373" t="b">
        <v>0</v>
      </c>
      <c r="C373" t="b">
        <v>1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f t="shared" si="20"/>
        <v>0</v>
      </c>
      <c r="K373" s="1">
        <v>0</v>
      </c>
      <c r="L373" s="1">
        <v>0</v>
      </c>
      <c r="M373" s="1">
        <v>0</v>
      </c>
      <c r="N373" s="1">
        <f t="shared" si="19"/>
        <v>0</v>
      </c>
      <c r="O373" s="14">
        <f t="shared" si="21"/>
        <v>0</v>
      </c>
      <c r="P373" s="17"/>
      <c r="Q373" s="1">
        <v>0</v>
      </c>
      <c r="R373" s="1">
        <v>0</v>
      </c>
      <c r="S373" s="20">
        <v>41183</v>
      </c>
      <c r="T373" s="1">
        <v>0</v>
      </c>
      <c r="U373" s="9">
        <v>0</v>
      </c>
      <c r="V373" s="9" t="s">
        <v>21</v>
      </c>
    </row>
    <row r="374" spans="1:22" x14ac:dyDescent="0.25">
      <c r="A374" s="10" t="s">
        <v>18</v>
      </c>
      <c r="B374" t="b">
        <v>0</v>
      </c>
      <c r="C374" t="b">
        <v>1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f t="shared" si="20"/>
        <v>0</v>
      </c>
      <c r="K374" s="1">
        <v>0</v>
      </c>
      <c r="L374" s="1">
        <v>0</v>
      </c>
      <c r="M374" s="1">
        <v>0</v>
      </c>
      <c r="N374" s="1">
        <f t="shared" si="19"/>
        <v>0</v>
      </c>
      <c r="O374" s="14">
        <f t="shared" si="21"/>
        <v>0</v>
      </c>
      <c r="P374" s="17"/>
      <c r="Q374" s="1">
        <v>0</v>
      </c>
      <c r="R374" s="1">
        <v>0</v>
      </c>
      <c r="S374" s="20">
        <v>41214</v>
      </c>
      <c r="T374" s="1">
        <v>0</v>
      </c>
      <c r="U374" s="9">
        <v>0</v>
      </c>
      <c r="V374" s="9" t="s">
        <v>21</v>
      </c>
    </row>
    <row r="375" spans="1:22" x14ac:dyDescent="0.25">
      <c r="A375" s="10" t="s">
        <v>18</v>
      </c>
      <c r="B375" t="b">
        <v>0</v>
      </c>
      <c r="C375" t="b">
        <v>1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f t="shared" si="20"/>
        <v>0</v>
      </c>
      <c r="K375" s="1">
        <v>0</v>
      </c>
      <c r="L375" s="1">
        <v>0</v>
      </c>
      <c r="M375" s="1">
        <v>0</v>
      </c>
      <c r="N375" s="1">
        <f t="shared" si="19"/>
        <v>0</v>
      </c>
      <c r="O375" s="14">
        <f t="shared" si="21"/>
        <v>0</v>
      </c>
      <c r="P375" s="17"/>
      <c r="Q375" s="1">
        <v>0</v>
      </c>
      <c r="R375" s="1">
        <v>0</v>
      </c>
      <c r="S375" s="20">
        <v>41244</v>
      </c>
      <c r="T375" s="1">
        <v>0</v>
      </c>
      <c r="U375" s="9">
        <v>0</v>
      </c>
      <c r="V375" s="9" t="s">
        <v>21</v>
      </c>
    </row>
    <row r="376" spans="1:22" x14ac:dyDescent="0.25">
      <c r="A376" s="10" t="s">
        <v>18</v>
      </c>
      <c r="B376" t="b">
        <v>0</v>
      </c>
      <c r="C376" t="b">
        <v>1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f t="shared" si="20"/>
        <v>0</v>
      </c>
      <c r="K376" s="1">
        <v>0</v>
      </c>
      <c r="L376" s="1">
        <v>0</v>
      </c>
      <c r="M376" s="1">
        <v>0</v>
      </c>
      <c r="N376" s="1">
        <f t="shared" si="19"/>
        <v>0</v>
      </c>
      <c r="O376" s="14">
        <f t="shared" si="21"/>
        <v>0</v>
      </c>
      <c r="P376" s="17"/>
      <c r="Q376" s="1">
        <v>0</v>
      </c>
      <c r="R376" s="1">
        <v>0</v>
      </c>
      <c r="S376" s="20">
        <v>41275</v>
      </c>
      <c r="T376" s="1">
        <v>0</v>
      </c>
      <c r="U376" s="9">
        <v>0</v>
      </c>
      <c r="V376" s="9" t="s">
        <v>40</v>
      </c>
    </row>
    <row r="377" spans="1:22" x14ac:dyDescent="0.25">
      <c r="A377" s="10" t="s">
        <v>18</v>
      </c>
      <c r="B377" t="b">
        <v>0</v>
      </c>
      <c r="C377" t="b">
        <v>1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f t="shared" si="20"/>
        <v>0</v>
      </c>
      <c r="K377" s="1">
        <v>0</v>
      </c>
      <c r="L377" s="1">
        <v>0</v>
      </c>
      <c r="M377" s="1">
        <v>0</v>
      </c>
      <c r="N377" s="1">
        <f t="shared" si="19"/>
        <v>0</v>
      </c>
      <c r="O377" s="14">
        <f t="shared" si="21"/>
        <v>0</v>
      </c>
      <c r="P377" s="17"/>
      <c r="Q377" s="1">
        <v>0</v>
      </c>
      <c r="R377" s="1">
        <v>0</v>
      </c>
      <c r="S377" s="20">
        <v>41306</v>
      </c>
      <c r="T377" s="1">
        <v>0</v>
      </c>
      <c r="U377" s="9">
        <v>0</v>
      </c>
      <c r="V377" s="9" t="s">
        <v>40</v>
      </c>
    </row>
    <row r="378" spans="1:22" x14ac:dyDescent="0.25">
      <c r="A378" s="10" t="s">
        <v>18</v>
      </c>
      <c r="B378" t="b">
        <v>0</v>
      </c>
      <c r="C378" t="b">
        <v>1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f t="shared" si="20"/>
        <v>0</v>
      </c>
      <c r="K378" s="1">
        <v>0</v>
      </c>
      <c r="L378" s="1">
        <v>0</v>
      </c>
      <c r="M378" s="1">
        <v>0</v>
      </c>
      <c r="N378" s="1">
        <f t="shared" si="19"/>
        <v>0</v>
      </c>
      <c r="O378" s="14">
        <f t="shared" si="21"/>
        <v>0</v>
      </c>
      <c r="P378" s="17"/>
      <c r="Q378" s="1">
        <v>0</v>
      </c>
      <c r="R378" s="1">
        <v>0</v>
      </c>
      <c r="S378" s="20">
        <v>41334</v>
      </c>
      <c r="T378" s="1">
        <v>0</v>
      </c>
      <c r="U378" s="9">
        <v>0</v>
      </c>
      <c r="V378" s="9" t="s">
        <v>40</v>
      </c>
    </row>
    <row r="379" spans="1:22" x14ac:dyDescent="0.25">
      <c r="A379" s="10" t="s">
        <v>18</v>
      </c>
      <c r="B379" t="b">
        <v>0</v>
      </c>
      <c r="C379" t="b">
        <v>1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f t="shared" si="20"/>
        <v>0</v>
      </c>
      <c r="K379" s="1">
        <v>0</v>
      </c>
      <c r="L379" s="1">
        <v>0</v>
      </c>
      <c r="M379" s="1">
        <v>0</v>
      </c>
      <c r="N379" s="1">
        <f t="shared" si="19"/>
        <v>0</v>
      </c>
      <c r="O379" s="14">
        <f t="shared" si="21"/>
        <v>0</v>
      </c>
      <c r="P379" s="17"/>
      <c r="Q379" s="1">
        <v>0</v>
      </c>
      <c r="R379" s="1">
        <v>0</v>
      </c>
      <c r="S379" s="20">
        <v>41365</v>
      </c>
      <c r="T379" s="1">
        <v>0</v>
      </c>
      <c r="U379" s="9">
        <v>0</v>
      </c>
      <c r="V379" s="9" t="s">
        <v>40</v>
      </c>
    </row>
    <row r="380" spans="1:22" x14ac:dyDescent="0.25">
      <c r="A380" s="10" t="s">
        <v>18</v>
      </c>
      <c r="B380" t="b">
        <v>0</v>
      </c>
      <c r="C380" t="b">
        <v>1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f t="shared" si="20"/>
        <v>0</v>
      </c>
      <c r="K380" s="1">
        <v>0</v>
      </c>
      <c r="L380" s="1">
        <v>0</v>
      </c>
      <c r="M380" s="1">
        <v>0</v>
      </c>
      <c r="N380" s="1">
        <f t="shared" si="19"/>
        <v>0</v>
      </c>
      <c r="O380" s="14">
        <f t="shared" si="21"/>
        <v>0</v>
      </c>
      <c r="P380" s="17"/>
      <c r="Q380" s="1">
        <v>0</v>
      </c>
      <c r="R380" s="1">
        <v>0</v>
      </c>
      <c r="S380" s="20">
        <v>41395</v>
      </c>
      <c r="T380" s="1">
        <v>0</v>
      </c>
      <c r="U380" s="9">
        <v>0</v>
      </c>
      <c r="V380" s="9" t="s">
        <v>40</v>
      </c>
    </row>
    <row r="381" spans="1:22" x14ac:dyDescent="0.25">
      <c r="A381" s="10" t="s">
        <v>18</v>
      </c>
      <c r="B381" t="b">
        <v>0</v>
      </c>
      <c r="C381" t="b">
        <v>1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f t="shared" si="20"/>
        <v>0</v>
      </c>
      <c r="K381" s="1">
        <v>0</v>
      </c>
      <c r="L381" s="1">
        <v>0</v>
      </c>
      <c r="M381" s="1">
        <v>0</v>
      </c>
      <c r="N381" s="1">
        <f t="shared" si="19"/>
        <v>0</v>
      </c>
      <c r="O381" s="14">
        <f t="shared" si="21"/>
        <v>0</v>
      </c>
      <c r="P381" s="17"/>
      <c r="Q381" s="1">
        <v>0</v>
      </c>
      <c r="R381" s="1">
        <v>0</v>
      </c>
      <c r="S381" s="20">
        <v>41426</v>
      </c>
      <c r="T381" s="1">
        <v>0</v>
      </c>
      <c r="U381" s="9">
        <v>0</v>
      </c>
      <c r="V381" s="9" t="s">
        <v>40</v>
      </c>
    </row>
    <row r="382" spans="1:22" x14ac:dyDescent="0.25">
      <c r="A382" s="10" t="s">
        <v>18</v>
      </c>
      <c r="B382" t="b">
        <v>0</v>
      </c>
      <c r="C382" t="b">
        <v>1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f t="shared" si="20"/>
        <v>0</v>
      </c>
      <c r="K382" s="1">
        <v>0</v>
      </c>
      <c r="L382" s="1">
        <v>0</v>
      </c>
      <c r="M382" s="1">
        <v>0</v>
      </c>
      <c r="N382" s="1">
        <f t="shared" si="19"/>
        <v>0</v>
      </c>
      <c r="O382" s="14">
        <f t="shared" si="21"/>
        <v>0</v>
      </c>
      <c r="P382" s="17"/>
      <c r="Q382" s="1">
        <v>0</v>
      </c>
      <c r="R382" s="1">
        <v>0</v>
      </c>
      <c r="S382" s="20">
        <v>41456</v>
      </c>
      <c r="T382" s="1">
        <v>0</v>
      </c>
      <c r="U382" s="9">
        <v>0</v>
      </c>
      <c r="V382" s="9" t="s">
        <v>40</v>
      </c>
    </row>
    <row r="383" spans="1:22" x14ac:dyDescent="0.25">
      <c r="A383" s="10" t="s">
        <v>18</v>
      </c>
      <c r="B383" t="b">
        <v>0</v>
      </c>
      <c r="C383" t="b">
        <v>1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f t="shared" si="20"/>
        <v>0</v>
      </c>
      <c r="K383" s="1">
        <v>0</v>
      </c>
      <c r="L383" s="1">
        <v>0</v>
      </c>
      <c r="M383" s="1">
        <v>0</v>
      </c>
      <c r="N383" s="1">
        <f t="shared" si="19"/>
        <v>0</v>
      </c>
      <c r="O383" s="14">
        <f t="shared" si="21"/>
        <v>0</v>
      </c>
      <c r="P383" s="17"/>
      <c r="Q383" s="1">
        <v>0</v>
      </c>
      <c r="R383" s="1">
        <v>0</v>
      </c>
      <c r="S383" s="20">
        <v>41487</v>
      </c>
      <c r="T383" s="1">
        <v>0</v>
      </c>
      <c r="U383" s="9">
        <v>0</v>
      </c>
      <c r="V383" s="9" t="s">
        <v>40</v>
      </c>
    </row>
    <row r="384" spans="1:22" x14ac:dyDescent="0.25">
      <c r="A384" s="10" t="s">
        <v>18</v>
      </c>
      <c r="B384" t="b">
        <v>0</v>
      </c>
      <c r="C384" t="b">
        <v>1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f t="shared" si="20"/>
        <v>0</v>
      </c>
      <c r="K384" s="1">
        <v>0</v>
      </c>
      <c r="L384" s="1">
        <v>0</v>
      </c>
      <c r="M384" s="1">
        <v>0</v>
      </c>
      <c r="N384" s="1">
        <f t="shared" si="19"/>
        <v>0</v>
      </c>
      <c r="O384" s="14">
        <f t="shared" si="21"/>
        <v>0</v>
      </c>
      <c r="P384" s="17"/>
      <c r="Q384" s="1">
        <v>0</v>
      </c>
      <c r="R384" s="1">
        <v>0</v>
      </c>
      <c r="S384" s="20">
        <v>41518</v>
      </c>
      <c r="T384" s="1">
        <v>0</v>
      </c>
      <c r="U384" s="9">
        <v>0</v>
      </c>
      <c r="V384" s="9" t="s">
        <v>40</v>
      </c>
    </row>
    <row r="385" spans="1:22" x14ac:dyDescent="0.25">
      <c r="A385" s="10" t="s">
        <v>18</v>
      </c>
      <c r="B385" t="b">
        <v>0</v>
      </c>
      <c r="C385" t="b">
        <v>1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f t="shared" si="20"/>
        <v>0</v>
      </c>
      <c r="K385" s="1">
        <v>0</v>
      </c>
      <c r="L385" s="1">
        <v>0</v>
      </c>
      <c r="M385" s="1">
        <v>0</v>
      </c>
      <c r="N385" s="1">
        <f t="shared" si="19"/>
        <v>0</v>
      </c>
      <c r="O385" s="14">
        <f t="shared" si="21"/>
        <v>0</v>
      </c>
      <c r="P385" s="17"/>
      <c r="Q385" s="1">
        <v>0</v>
      </c>
      <c r="R385" s="1">
        <v>0</v>
      </c>
      <c r="S385" s="20">
        <v>41548</v>
      </c>
      <c r="T385" s="1">
        <v>0</v>
      </c>
      <c r="U385" s="9">
        <v>0</v>
      </c>
      <c r="V385" s="9" t="s">
        <v>40</v>
      </c>
    </row>
    <row r="386" spans="1:22" x14ac:dyDescent="0.25">
      <c r="A386" s="10" t="s">
        <v>18</v>
      </c>
      <c r="B386" t="b">
        <v>0</v>
      </c>
      <c r="C386" t="b">
        <v>1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f t="shared" si="20"/>
        <v>0</v>
      </c>
      <c r="K386" s="1">
        <v>0</v>
      </c>
      <c r="L386" s="1">
        <v>0</v>
      </c>
      <c r="M386" s="1">
        <v>0</v>
      </c>
      <c r="N386" s="1">
        <f t="shared" si="19"/>
        <v>0</v>
      </c>
      <c r="O386" s="14">
        <f t="shared" si="21"/>
        <v>0</v>
      </c>
      <c r="P386" s="17"/>
      <c r="Q386" s="1">
        <v>0</v>
      </c>
      <c r="R386" s="1">
        <v>0</v>
      </c>
      <c r="S386" s="20">
        <v>41579</v>
      </c>
      <c r="T386" s="1">
        <v>0</v>
      </c>
      <c r="U386" s="9">
        <v>0</v>
      </c>
      <c r="V386" s="9" t="s">
        <v>40</v>
      </c>
    </row>
    <row r="387" spans="1:22" x14ac:dyDescent="0.25">
      <c r="A387" s="10" t="s">
        <v>18</v>
      </c>
      <c r="B387" t="b">
        <v>0</v>
      </c>
      <c r="C387" t="b">
        <v>1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f t="shared" si="20"/>
        <v>0</v>
      </c>
      <c r="K387" s="1">
        <v>0</v>
      </c>
      <c r="L387" s="1">
        <v>0</v>
      </c>
      <c r="M387" s="1">
        <v>0</v>
      </c>
      <c r="N387" s="1">
        <f t="shared" si="19"/>
        <v>0</v>
      </c>
      <c r="O387" s="14">
        <f t="shared" si="21"/>
        <v>0</v>
      </c>
      <c r="P387" s="17"/>
      <c r="Q387" s="1">
        <v>0</v>
      </c>
      <c r="R387" s="1">
        <v>0</v>
      </c>
      <c r="S387" s="20">
        <v>41609</v>
      </c>
      <c r="T387" s="1">
        <v>0</v>
      </c>
      <c r="U387" s="9">
        <v>0</v>
      </c>
      <c r="V387" s="9" t="s">
        <v>40</v>
      </c>
    </row>
    <row r="388" spans="1:22" x14ac:dyDescent="0.25">
      <c r="A388" s="10" t="s">
        <v>18</v>
      </c>
      <c r="B388" t="b">
        <v>0</v>
      </c>
      <c r="C388" t="b">
        <v>1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f t="shared" si="20"/>
        <v>0</v>
      </c>
      <c r="K388" s="1">
        <v>0</v>
      </c>
      <c r="L388" s="1">
        <v>0</v>
      </c>
      <c r="M388" s="1">
        <v>0</v>
      </c>
      <c r="N388" s="1">
        <f t="shared" si="19"/>
        <v>0</v>
      </c>
      <c r="O388" s="14">
        <f t="shared" si="21"/>
        <v>0</v>
      </c>
      <c r="P388" s="17"/>
      <c r="Q388" s="1">
        <v>0</v>
      </c>
      <c r="R388" s="1">
        <v>0</v>
      </c>
      <c r="S388" s="20">
        <v>41640</v>
      </c>
      <c r="T388" s="1">
        <v>0</v>
      </c>
      <c r="U388" s="9">
        <v>0</v>
      </c>
      <c r="V388" s="9" t="s">
        <v>39</v>
      </c>
    </row>
    <row r="389" spans="1:22" x14ac:dyDescent="0.25">
      <c r="A389" s="10" t="s">
        <v>18</v>
      </c>
      <c r="B389" t="b">
        <v>0</v>
      </c>
      <c r="C389" t="b">
        <v>1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f t="shared" si="20"/>
        <v>0</v>
      </c>
      <c r="K389" s="1">
        <v>0</v>
      </c>
      <c r="L389" s="1">
        <v>0</v>
      </c>
      <c r="M389" s="1">
        <v>0</v>
      </c>
      <c r="N389" s="1">
        <f t="shared" si="19"/>
        <v>0</v>
      </c>
      <c r="O389" s="14">
        <f t="shared" si="21"/>
        <v>0</v>
      </c>
      <c r="P389" s="17"/>
      <c r="Q389" s="1">
        <v>0</v>
      </c>
      <c r="R389" s="1">
        <v>0</v>
      </c>
      <c r="S389" s="20">
        <v>41671</v>
      </c>
      <c r="T389" s="1">
        <v>0</v>
      </c>
      <c r="U389" s="9">
        <v>0</v>
      </c>
      <c r="V389" s="9" t="s">
        <v>39</v>
      </c>
    </row>
    <row r="390" spans="1:22" x14ac:dyDescent="0.25">
      <c r="A390" s="10" t="s">
        <v>18</v>
      </c>
      <c r="B390" t="b">
        <v>0</v>
      </c>
      <c r="C390" t="b">
        <v>1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f t="shared" si="20"/>
        <v>0</v>
      </c>
      <c r="K390" s="1">
        <v>0</v>
      </c>
      <c r="L390" s="1">
        <v>0</v>
      </c>
      <c r="M390" s="1">
        <v>0</v>
      </c>
      <c r="N390" s="1">
        <f t="shared" si="19"/>
        <v>0</v>
      </c>
      <c r="O390" s="14">
        <f t="shared" si="21"/>
        <v>0</v>
      </c>
      <c r="P390" s="17"/>
      <c r="Q390" s="1">
        <v>0</v>
      </c>
      <c r="R390" s="1">
        <v>0</v>
      </c>
      <c r="S390" s="20">
        <v>41699</v>
      </c>
      <c r="T390" s="1">
        <v>0</v>
      </c>
      <c r="U390" s="9">
        <v>0</v>
      </c>
      <c r="V390" s="9" t="s">
        <v>39</v>
      </c>
    </row>
    <row r="391" spans="1:22" x14ac:dyDescent="0.25">
      <c r="A391" s="10" t="s">
        <v>18</v>
      </c>
      <c r="B391" t="b">
        <v>0</v>
      </c>
      <c r="C391" t="b">
        <v>1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f t="shared" si="20"/>
        <v>0</v>
      </c>
      <c r="K391" s="1">
        <v>0</v>
      </c>
      <c r="L391" s="1">
        <v>0</v>
      </c>
      <c r="M391" s="1">
        <v>0</v>
      </c>
      <c r="N391" s="1">
        <f t="shared" si="19"/>
        <v>0</v>
      </c>
      <c r="O391" s="14">
        <f t="shared" si="21"/>
        <v>0</v>
      </c>
      <c r="P391" s="17"/>
      <c r="Q391" s="1">
        <v>0</v>
      </c>
      <c r="R391" s="1">
        <v>0</v>
      </c>
      <c r="S391" s="20">
        <v>41730</v>
      </c>
      <c r="T391" s="1">
        <v>0</v>
      </c>
      <c r="U391" s="9">
        <v>0</v>
      </c>
      <c r="V391" s="9" t="s">
        <v>39</v>
      </c>
    </row>
    <row r="392" spans="1:22" x14ac:dyDescent="0.25">
      <c r="A392" s="10" t="s">
        <v>18</v>
      </c>
      <c r="B392" t="b">
        <v>0</v>
      </c>
      <c r="C392" t="b">
        <v>1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f t="shared" si="20"/>
        <v>0</v>
      </c>
      <c r="K392" s="1">
        <v>0</v>
      </c>
      <c r="L392" s="1">
        <v>0</v>
      </c>
      <c r="M392" s="1">
        <v>0</v>
      </c>
      <c r="N392" s="1">
        <f t="shared" si="19"/>
        <v>0</v>
      </c>
      <c r="O392" s="14">
        <f t="shared" si="21"/>
        <v>0</v>
      </c>
      <c r="P392" s="17"/>
      <c r="Q392" s="1">
        <v>0</v>
      </c>
      <c r="R392" s="1">
        <v>0</v>
      </c>
      <c r="S392" s="20">
        <v>41760</v>
      </c>
      <c r="T392" s="1">
        <v>0</v>
      </c>
      <c r="U392" s="9">
        <v>0</v>
      </c>
      <c r="V392" s="9" t="s">
        <v>39</v>
      </c>
    </row>
    <row r="393" spans="1:22" x14ac:dyDescent="0.25">
      <c r="A393" s="10" t="s">
        <v>18</v>
      </c>
      <c r="B393" t="b">
        <v>0</v>
      </c>
      <c r="C393" t="b">
        <v>1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f t="shared" si="20"/>
        <v>0</v>
      </c>
      <c r="K393" s="1">
        <v>0</v>
      </c>
      <c r="L393" s="1">
        <v>0</v>
      </c>
      <c r="M393" s="1">
        <v>0</v>
      </c>
      <c r="N393" s="1">
        <f t="shared" si="19"/>
        <v>0</v>
      </c>
      <c r="O393" s="14">
        <f t="shared" si="21"/>
        <v>0</v>
      </c>
      <c r="P393" s="17"/>
      <c r="Q393" s="1">
        <v>0</v>
      </c>
      <c r="R393" s="1">
        <v>0</v>
      </c>
      <c r="S393" s="20">
        <v>41791</v>
      </c>
      <c r="T393" s="1">
        <v>0</v>
      </c>
      <c r="U393" s="9">
        <v>0</v>
      </c>
      <c r="V393" s="9" t="s">
        <v>39</v>
      </c>
    </row>
    <row r="394" spans="1:22" x14ac:dyDescent="0.25">
      <c r="A394" s="10" t="s">
        <v>18</v>
      </c>
      <c r="B394" t="b">
        <v>0</v>
      </c>
      <c r="C394" t="b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f t="shared" si="20"/>
        <v>0</v>
      </c>
      <c r="K394" s="1">
        <v>0</v>
      </c>
      <c r="L394" s="1">
        <v>0</v>
      </c>
      <c r="M394" s="1">
        <v>0</v>
      </c>
      <c r="N394" s="1">
        <f t="shared" ref="N394:N457" si="22">K394+L394+M394</f>
        <v>0</v>
      </c>
      <c r="O394" s="14">
        <f t="shared" si="21"/>
        <v>0</v>
      </c>
      <c r="P394" s="17"/>
      <c r="Q394" s="1">
        <v>0</v>
      </c>
      <c r="R394" s="1">
        <v>0</v>
      </c>
      <c r="S394" s="20">
        <v>41821</v>
      </c>
      <c r="T394" s="1">
        <v>0</v>
      </c>
      <c r="U394" s="9">
        <v>0</v>
      </c>
      <c r="V394" s="9" t="s">
        <v>39</v>
      </c>
    </row>
    <row r="395" spans="1:22" x14ac:dyDescent="0.25">
      <c r="A395" s="10" t="s">
        <v>18</v>
      </c>
      <c r="B395" t="b">
        <v>0</v>
      </c>
      <c r="C395" t="b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f t="shared" si="20"/>
        <v>0</v>
      </c>
      <c r="K395" s="1">
        <v>0</v>
      </c>
      <c r="L395" s="1">
        <v>0</v>
      </c>
      <c r="M395" s="1">
        <v>0</v>
      </c>
      <c r="N395" s="1">
        <f t="shared" si="22"/>
        <v>0</v>
      </c>
      <c r="O395" s="14">
        <f t="shared" si="21"/>
        <v>0</v>
      </c>
      <c r="P395" s="17"/>
      <c r="Q395" s="1">
        <v>0</v>
      </c>
      <c r="R395" s="1">
        <v>0</v>
      </c>
      <c r="S395" s="20">
        <v>41852</v>
      </c>
      <c r="T395" s="1">
        <v>0</v>
      </c>
      <c r="U395" s="9">
        <v>0</v>
      </c>
      <c r="V395" s="9" t="s">
        <v>39</v>
      </c>
    </row>
    <row r="396" spans="1:22" x14ac:dyDescent="0.25">
      <c r="A396" s="10" t="s">
        <v>18</v>
      </c>
      <c r="B396" t="b">
        <v>0</v>
      </c>
      <c r="C396" t="b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f t="shared" si="20"/>
        <v>0</v>
      </c>
      <c r="K396" s="1">
        <v>0</v>
      </c>
      <c r="L396" s="1">
        <v>0</v>
      </c>
      <c r="M396" s="1">
        <v>0</v>
      </c>
      <c r="N396" s="1">
        <f t="shared" si="22"/>
        <v>0</v>
      </c>
      <c r="O396" s="14">
        <f t="shared" si="21"/>
        <v>0</v>
      </c>
      <c r="P396" s="17"/>
      <c r="Q396" s="1">
        <v>0</v>
      </c>
      <c r="R396" s="1">
        <v>0</v>
      </c>
      <c r="S396" s="20">
        <v>41883</v>
      </c>
      <c r="T396" s="1">
        <v>0</v>
      </c>
      <c r="U396" s="9">
        <v>0</v>
      </c>
      <c r="V396" s="9" t="s">
        <v>39</v>
      </c>
    </row>
    <row r="397" spans="1:22" x14ac:dyDescent="0.25">
      <c r="A397" s="10" t="s">
        <v>18</v>
      </c>
      <c r="B397" t="b">
        <v>0</v>
      </c>
      <c r="C397" t="b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f t="shared" si="20"/>
        <v>0</v>
      </c>
      <c r="K397" s="1">
        <v>0</v>
      </c>
      <c r="L397" s="1">
        <v>0</v>
      </c>
      <c r="M397" s="1">
        <v>0</v>
      </c>
      <c r="N397" s="1">
        <f t="shared" si="22"/>
        <v>0</v>
      </c>
      <c r="O397" s="14">
        <f t="shared" si="21"/>
        <v>0</v>
      </c>
      <c r="P397" s="17"/>
      <c r="Q397" s="1">
        <v>0</v>
      </c>
      <c r="R397" s="1">
        <v>0</v>
      </c>
      <c r="S397" s="20">
        <v>41913</v>
      </c>
      <c r="T397" s="1">
        <v>0</v>
      </c>
      <c r="U397" s="9">
        <v>0</v>
      </c>
      <c r="V397" s="9" t="s">
        <v>39</v>
      </c>
    </row>
    <row r="398" spans="1:22" x14ac:dyDescent="0.25">
      <c r="A398" s="10" t="s">
        <v>18</v>
      </c>
      <c r="B398" t="b">
        <v>0</v>
      </c>
      <c r="C398" t="b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f t="shared" si="20"/>
        <v>0</v>
      </c>
      <c r="K398" s="1">
        <v>0</v>
      </c>
      <c r="L398" s="1">
        <v>0</v>
      </c>
      <c r="M398" s="1">
        <v>0</v>
      </c>
      <c r="N398" s="1">
        <f t="shared" si="22"/>
        <v>0</v>
      </c>
      <c r="O398" s="14">
        <f t="shared" si="21"/>
        <v>0</v>
      </c>
      <c r="P398" s="17"/>
      <c r="Q398" s="1">
        <v>0</v>
      </c>
      <c r="R398" s="1">
        <v>0</v>
      </c>
      <c r="S398" s="20">
        <v>41944</v>
      </c>
      <c r="T398" s="1">
        <v>0</v>
      </c>
      <c r="U398" s="9">
        <v>0</v>
      </c>
      <c r="V398" s="9" t="s">
        <v>39</v>
      </c>
    </row>
    <row r="399" spans="1:22" x14ac:dyDescent="0.25">
      <c r="A399" s="10" t="s">
        <v>18</v>
      </c>
      <c r="B399" t="b">
        <v>0</v>
      </c>
      <c r="C399" t="b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f t="shared" si="20"/>
        <v>0</v>
      </c>
      <c r="K399" s="1">
        <v>0</v>
      </c>
      <c r="L399" s="1">
        <v>0</v>
      </c>
      <c r="M399" s="1">
        <v>0</v>
      </c>
      <c r="N399" s="1">
        <f t="shared" si="22"/>
        <v>0</v>
      </c>
      <c r="O399" s="14">
        <f t="shared" si="21"/>
        <v>0</v>
      </c>
      <c r="P399" s="17"/>
      <c r="Q399" s="1">
        <v>0</v>
      </c>
      <c r="R399" s="1">
        <v>0</v>
      </c>
      <c r="S399" s="20">
        <v>41974</v>
      </c>
      <c r="T399" s="1">
        <v>0</v>
      </c>
      <c r="U399" s="9">
        <v>0</v>
      </c>
      <c r="V399" s="9" t="s">
        <v>39</v>
      </c>
    </row>
    <row r="400" spans="1:22" x14ac:dyDescent="0.25">
      <c r="A400" s="10" t="s">
        <v>18</v>
      </c>
      <c r="B400" t="b">
        <v>0</v>
      </c>
      <c r="C400" t="b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f t="shared" si="20"/>
        <v>0</v>
      </c>
      <c r="K400" s="1">
        <v>0</v>
      </c>
      <c r="L400" s="1">
        <v>0</v>
      </c>
      <c r="M400" s="1">
        <v>0</v>
      </c>
      <c r="N400" s="1">
        <f t="shared" si="22"/>
        <v>0</v>
      </c>
      <c r="O400" s="14">
        <f t="shared" si="21"/>
        <v>0</v>
      </c>
      <c r="P400" s="17"/>
      <c r="Q400" s="1">
        <v>0</v>
      </c>
      <c r="R400" s="1">
        <v>0</v>
      </c>
      <c r="S400" s="20">
        <v>42005</v>
      </c>
      <c r="T400" s="1">
        <v>0</v>
      </c>
      <c r="U400" s="9">
        <v>0</v>
      </c>
      <c r="V400" s="9" t="s">
        <v>39</v>
      </c>
    </row>
    <row r="401" spans="1:22" x14ac:dyDescent="0.25">
      <c r="A401" s="10" t="s">
        <v>18</v>
      </c>
      <c r="B401" t="b">
        <v>0</v>
      </c>
      <c r="C401" t="b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f t="shared" si="20"/>
        <v>0</v>
      </c>
      <c r="K401" s="1">
        <v>0</v>
      </c>
      <c r="L401" s="1">
        <v>0</v>
      </c>
      <c r="M401" s="1">
        <v>0</v>
      </c>
      <c r="N401" s="1">
        <f t="shared" si="22"/>
        <v>0</v>
      </c>
      <c r="O401" s="14">
        <f t="shared" si="21"/>
        <v>0</v>
      </c>
      <c r="P401" s="17"/>
      <c r="Q401" s="1">
        <v>0</v>
      </c>
      <c r="R401" s="1">
        <v>0</v>
      </c>
      <c r="S401" s="20">
        <v>42036</v>
      </c>
      <c r="T401" s="1">
        <v>0</v>
      </c>
      <c r="U401" s="9">
        <v>0</v>
      </c>
      <c r="V401" s="9" t="s">
        <v>39</v>
      </c>
    </row>
    <row r="402" spans="1:22" x14ac:dyDescent="0.25">
      <c r="A402" s="10" t="s">
        <v>18</v>
      </c>
      <c r="B402" t="b">
        <v>0</v>
      </c>
      <c r="C402" t="b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f t="shared" si="20"/>
        <v>0</v>
      </c>
      <c r="K402" s="1">
        <v>0</v>
      </c>
      <c r="L402" s="1">
        <v>0</v>
      </c>
      <c r="M402" s="1">
        <v>0</v>
      </c>
      <c r="N402" s="1">
        <f t="shared" si="22"/>
        <v>0</v>
      </c>
      <c r="O402" s="14">
        <f t="shared" si="21"/>
        <v>0</v>
      </c>
      <c r="P402" s="17"/>
      <c r="Q402" s="1">
        <v>0</v>
      </c>
      <c r="R402" s="1">
        <v>0</v>
      </c>
      <c r="S402" s="20">
        <v>42064</v>
      </c>
      <c r="T402" s="1">
        <v>0</v>
      </c>
      <c r="U402" s="9">
        <v>0</v>
      </c>
      <c r="V402" s="9" t="s">
        <v>39</v>
      </c>
    </row>
    <row r="403" spans="1:22" x14ac:dyDescent="0.25">
      <c r="A403" s="10" t="s">
        <v>18</v>
      </c>
      <c r="B403" t="b">
        <v>0</v>
      </c>
      <c r="C403" t="b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f t="shared" si="20"/>
        <v>0</v>
      </c>
      <c r="K403" s="1">
        <v>0</v>
      </c>
      <c r="L403" s="1">
        <v>0</v>
      </c>
      <c r="M403" s="1">
        <v>0</v>
      </c>
      <c r="N403" s="1">
        <f t="shared" si="22"/>
        <v>0</v>
      </c>
      <c r="O403" s="14">
        <f t="shared" si="21"/>
        <v>0</v>
      </c>
      <c r="P403" s="17"/>
      <c r="Q403" s="1">
        <v>0</v>
      </c>
      <c r="R403" s="1">
        <v>0</v>
      </c>
      <c r="S403" s="20">
        <v>42095</v>
      </c>
      <c r="T403" s="1">
        <v>0</v>
      </c>
      <c r="U403" s="9">
        <v>0</v>
      </c>
      <c r="V403" s="9" t="s">
        <v>39</v>
      </c>
    </row>
    <row r="404" spans="1:22" x14ac:dyDescent="0.25">
      <c r="A404" s="10" t="s">
        <v>18</v>
      </c>
      <c r="B404" t="b">
        <v>0</v>
      </c>
      <c r="C404" t="b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f t="shared" si="20"/>
        <v>0</v>
      </c>
      <c r="K404" s="1">
        <v>0</v>
      </c>
      <c r="L404" s="1">
        <v>0</v>
      </c>
      <c r="M404" s="1">
        <v>0</v>
      </c>
      <c r="N404" s="1">
        <f t="shared" si="22"/>
        <v>0</v>
      </c>
      <c r="O404" s="14">
        <f t="shared" si="21"/>
        <v>0</v>
      </c>
      <c r="P404" s="17"/>
      <c r="Q404" s="1">
        <v>0</v>
      </c>
      <c r="R404" s="1">
        <v>0</v>
      </c>
      <c r="S404" s="20">
        <v>42125</v>
      </c>
      <c r="T404" s="1">
        <v>0</v>
      </c>
      <c r="U404" s="9">
        <v>0</v>
      </c>
      <c r="V404" s="9" t="s">
        <v>39</v>
      </c>
    </row>
    <row r="405" spans="1:22" x14ac:dyDescent="0.25">
      <c r="A405" s="10" t="s">
        <v>18</v>
      </c>
      <c r="B405" t="b">
        <v>0</v>
      </c>
      <c r="C405" t="b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f t="shared" si="20"/>
        <v>0</v>
      </c>
      <c r="K405" s="1">
        <v>0</v>
      </c>
      <c r="L405" s="1">
        <v>0</v>
      </c>
      <c r="M405" s="1">
        <v>0</v>
      </c>
      <c r="N405" s="1">
        <f t="shared" si="22"/>
        <v>0</v>
      </c>
      <c r="O405" s="14">
        <f t="shared" si="21"/>
        <v>0</v>
      </c>
      <c r="P405" s="17"/>
      <c r="Q405" s="1">
        <v>0</v>
      </c>
      <c r="R405" s="1">
        <v>0</v>
      </c>
      <c r="S405" s="20">
        <v>42156</v>
      </c>
      <c r="T405" s="1">
        <v>0</v>
      </c>
      <c r="U405" s="9">
        <v>0</v>
      </c>
      <c r="V405" s="9" t="s">
        <v>39</v>
      </c>
    </row>
    <row r="406" spans="1:22" x14ac:dyDescent="0.25">
      <c r="A406" s="10" t="s">
        <v>18</v>
      </c>
      <c r="B406" t="b">
        <v>0</v>
      </c>
      <c r="C406" t="b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f t="shared" si="20"/>
        <v>0</v>
      </c>
      <c r="K406" s="1">
        <v>0</v>
      </c>
      <c r="L406" s="1">
        <v>0</v>
      </c>
      <c r="M406" s="1">
        <v>0</v>
      </c>
      <c r="N406" s="1">
        <f t="shared" si="22"/>
        <v>0</v>
      </c>
      <c r="O406" s="14">
        <f t="shared" si="21"/>
        <v>0</v>
      </c>
      <c r="P406" s="17"/>
      <c r="Q406" s="1">
        <v>0</v>
      </c>
      <c r="R406" s="1">
        <v>0</v>
      </c>
      <c r="S406" s="20">
        <v>42186</v>
      </c>
      <c r="T406" s="1">
        <v>0</v>
      </c>
      <c r="U406" s="9">
        <v>0</v>
      </c>
      <c r="V406" s="9" t="s">
        <v>39</v>
      </c>
    </row>
    <row r="407" spans="1:22" x14ac:dyDescent="0.25">
      <c r="A407" s="10" t="s">
        <v>18</v>
      </c>
      <c r="B407" t="b">
        <v>0</v>
      </c>
      <c r="C407" t="b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f t="shared" si="20"/>
        <v>0</v>
      </c>
      <c r="K407" s="1">
        <v>0</v>
      </c>
      <c r="L407" s="1">
        <v>0</v>
      </c>
      <c r="M407" s="1">
        <v>0</v>
      </c>
      <c r="N407" s="1">
        <f t="shared" si="22"/>
        <v>0</v>
      </c>
      <c r="O407" s="14">
        <f t="shared" si="21"/>
        <v>0</v>
      </c>
      <c r="P407" s="17"/>
      <c r="Q407" s="1">
        <v>0</v>
      </c>
      <c r="R407" s="1">
        <v>0</v>
      </c>
      <c r="S407" s="20">
        <v>42217</v>
      </c>
      <c r="T407" s="1">
        <v>0</v>
      </c>
      <c r="U407" s="9">
        <v>0</v>
      </c>
      <c r="V407" s="9" t="s">
        <v>39</v>
      </c>
    </row>
    <row r="408" spans="1:22" x14ac:dyDescent="0.25">
      <c r="A408" s="10" t="s">
        <v>18</v>
      </c>
      <c r="B408" t="b">
        <v>0</v>
      </c>
      <c r="C408" t="b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f t="shared" si="20"/>
        <v>0</v>
      </c>
      <c r="K408" s="1">
        <v>0</v>
      </c>
      <c r="L408" s="1">
        <v>0</v>
      </c>
      <c r="M408" s="1">
        <v>0</v>
      </c>
      <c r="N408" s="1">
        <f t="shared" si="22"/>
        <v>0</v>
      </c>
      <c r="O408" s="14">
        <f t="shared" si="21"/>
        <v>0</v>
      </c>
      <c r="P408" s="17"/>
      <c r="Q408" s="1">
        <v>0</v>
      </c>
      <c r="R408" s="1">
        <v>0</v>
      </c>
      <c r="S408" s="20">
        <v>42248</v>
      </c>
      <c r="T408" s="1">
        <v>0</v>
      </c>
      <c r="U408" s="9">
        <v>0</v>
      </c>
      <c r="V408" s="9" t="s">
        <v>39</v>
      </c>
    </row>
    <row r="409" spans="1:22" x14ac:dyDescent="0.25">
      <c r="A409" s="10" t="s">
        <v>18</v>
      </c>
      <c r="B409" t="b">
        <v>0</v>
      </c>
      <c r="C409" t="b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f t="shared" si="20"/>
        <v>0</v>
      </c>
      <c r="K409" s="1">
        <v>0</v>
      </c>
      <c r="L409" s="1">
        <v>0</v>
      </c>
      <c r="M409" s="1">
        <v>0</v>
      </c>
      <c r="N409" s="1">
        <f t="shared" si="22"/>
        <v>0</v>
      </c>
      <c r="O409" s="14">
        <f t="shared" si="21"/>
        <v>0</v>
      </c>
      <c r="P409" s="17"/>
      <c r="Q409" s="1">
        <v>0</v>
      </c>
      <c r="R409" s="1">
        <v>0</v>
      </c>
      <c r="S409" s="20">
        <v>42278</v>
      </c>
      <c r="T409" s="1">
        <v>0</v>
      </c>
      <c r="U409" s="9">
        <v>0</v>
      </c>
      <c r="V409" s="9" t="s">
        <v>39</v>
      </c>
    </row>
    <row r="410" spans="1:22" x14ac:dyDescent="0.25">
      <c r="A410" s="10" t="s">
        <v>18</v>
      </c>
      <c r="B410" t="b">
        <v>0</v>
      </c>
      <c r="C410" t="b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f t="shared" si="20"/>
        <v>0</v>
      </c>
      <c r="K410" s="1">
        <v>0</v>
      </c>
      <c r="L410" s="1">
        <v>0</v>
      </c>
      <c r="M410" s="1">
        <v>0</v>
      </c>
      <c r="N410" s="1">
        <f t="shared" si="22"/>
        <v>0</v>
      </c>
      <c r="O410" s="14">
        <f t="shared" si="21"/>
        <v>0</v>
      </c>
      <c r="P410" s="17"/>
      <c r="Q410" s="1">
        <v>0</v>
      </c>
      <c r="R410" s="1">
        <v>0</v>
      </c>
      <c r="S410" s="20">
        <v>42309</v>
      </c>
      <c r="T410" s="1">
        <v>0</v>
      </c>
      <c r="U410" s="9">
        <v>0</v>
      </c>
      <c r="V410" s="9" t="s">
        <v>39</v>
      </c>
    </row>
    <row r="411" spans="1:22" x14ac:dyDescent="0.25">
      <c r="A411" s="10" t="s">
        <v>18</v>
      </c>
      <c r="B411" t="b">
        <v>0</v>
      </c>
      <c r="C411" t="b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f t="shared" si="20"/>
        <v>0</v>
      </c>
      <c r="K411" s="1">
        <v>0</v>
      </c>
      <c r="L411" s="1">
        <v>0</v>
      </c>
      <c r="M411" s="1">
        <v>0</v>
      </c>
      <c r="N411" s="1">
        <f t="shared" si="22"/>
        <v>0</v>
      </c>
      <c r="O411" s="14">
        <f t="shared" si="21"/>
        <v>0</v>
      </c>
      <c r="P411" s="17"/>
      <c r="Q411" s="1">
        <v>0</v>
      </c>
      <c r="R411" s="1">
        <v>0</v>
      </c>
      <c r="S411" s="20">
        <v>42339</v>
      </c>
      <c r="T411" s="1">
        <v>0</v>
      </c>
      <c r="U411" s="9">
        <v>0</v>
      </c>
      <c r="V411" s="9" t="s">
        <v>39</v>
      </c>
    </row>
    <row r="412" spans="1:22" x14ac:dyDescent="0.25">
      <c r="A412" s="10" t="s">
        <v>18</v>
      </c>
      <c r="B412" t="b">
        <v>0</v>
      </c>
      <c r="C412" t="b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f t="shared" si="20"/>
        <v>0</v>
      </c>
      <c r="K412" s="1">
        <v>0</v>
      </c>
      <c r="L412" s="1">
        <v>0</v>
      </c>
      <c r="M412" s="1">
        <v>0</v>
      </c>
      <c r="N412" s="1">
        <f t="shared" si="22"/>
        <v>0</v>
      </c>
      <c r="O412" s="14">
        <f t="shared" si="21"/>
        <v>0</v>
      </c>
      <c r="P412" s="17"/>
      <c r="Q412" s="1">
        <v>0</v>
      </c>
      <c r="R412" s="1">
        <v>0</v>
      </c>
      <c r="S412" s="20">
        <v>42370</v>
      </c>
      <c r="T412" s="1">
        <v>0</v>
      </c>
      <c r="U412" s="9">
        <v>0</v>
      </c>
      <c r="V412" s="9" t="s">
        <v>46</v>
      </c>
    </row>
    <row r="413" spans="1:22" x14ac:dyDescent="0.25">
      <c r="A413" s="10" t="s">
        <v>18</v>
      </c>
      <c r="B413" t="b">
        <v>0</v>
      </c>
      <c r="C413" t="b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f t="shared" si="20"/>
        <v>0</v>
      </c>
      <c r="K413" s="1">
        <v>0</v>
      </c>
      <c r="L413" s="1">
        <v>0</v>
      </c>
      <c r="M413" s="1">
        <v>0</v>
      </c>
      <c r="N413" s="1">
        <f t="shared" si="22"/>
        <v>0</v>
      </c>
      <c r="O413" s="14">
        <f t="shared" si="21"/>
        <v>0</v>
      </c>
      <c r="P413" s="17"/>
      <c r="Q413" s="1">
        <v>0</v>
      </c>
      <c r="R413" s="1">
        <v>0</v>
      </c>
      <c r="S413" s="20">
        <v>42401</v>
      </c>
      <c r="T413" s="1">
        <v>0</v>
      </c>
      <c r="U413" s="9">
        <v>0</v>
      </c>
      <c r="V413" s="9" t="s">
        <v>46</v>
      </c>
    </row>
    <row r="414" spans="1:22" x14ac:dyDescent="0.25">
      <c r="A414" s="10" t="s">
        <v>18</v>
      </c>
      <c r="B414" t="b">
        <v>0</v>
      </c>
      <c r="C414" t="b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f t="shared" si="20"/>
        <v>0</v>
      </c>
      <c r="K414" s="1">
        <v>0</v>
      </c>
      <c r="L414" s="1">
        <v>0</v>
      </c>
      <c r="M414" s="1">
        <v>0</v>
      </c>
      <c r="N414" s="1">
        <f t="shared" si="22"/>
        <v>0</v>
      </c>
      <c r="O414" s="14">
        <f t="shared" si="21"/>
        <v>0</v>
      </c>
      <c r="P414" s="17"/>
      <c r="Q414" s="1">
        <v>0</v>
      </c>
      <c r="R414" s="1">
        <v>0</v>
      </c>
      <c r="S414" s="20">
        <v>42430</v>
      </c>
      <c r="T414" s="1">
        <v>0</v>
      </c>
      <c r="U414" s="9">
        <v>0</v>
      </c>
      <c r="V414" s="9" t="s">
        <v>46</v>
      </c>
    </row>
    <row r="415" spans="1:22" x14ac:dyDescent="0.25">
      <c r="A415" s="10" t="s">
        <v>18</v>
      </c>
      <c r="B415" t="b">
        <v>0</v>
      </c>
      <c r="C415" t="b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f t="shared" si="20"/>
        <v>0</v>
      </c>
      <c r="K415" s="1">
        <v>0</v>
      </c>
      <c r="L415" s="1">
        <v>0</v>
      </c>
      <c r="M415" s="1">
        <v>0</v>
      </c>
      <c r="N415" s="1">
        <f t="shared" si="22"/>
        <v>0</v>
      </c>
      <c r="O415" s="14">
        <f t="shared" si="21"/>
        <v>0</v>
      </c>
      <c r="P415" s="17"/>
      <c r="Q415" s="1">
        <v>0</v>
      </c>
      <c r="R415" s="1">
        <v>0</v>
      </c>
      <c r="S415" s="20">
        <v>42461</v>
      </c>
      <c r="T415" s="1">
        <v>0</v>
      </c>
      <c r="U415" s="9">
        <v>0</v>
      </c>
      <c r="V415" s="9" t="s">
        <v>46</v>
      </c>
    </row>
    <row r="416" spans="1:22" x14ac:dyDescent="0.25">
      <c r="A416" s="10" t="s">
        <v>18</v>
      </c>
      <c r="B416" t="b">
        <v>0</v>
      </c>
      <c r="C416" t="b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f t="shared" si="20"/>
        <v>0</v>
      </c>
      <c r="K416" s="1">
        <v>0</v>
      </c>
      <c r="L416" s="1">
        <v>0</v>
      </c>
      <c r="M416" s="1">
        <v>0</v>
      </c>
      <c r="N416" s="1">
        <f t="shared" si="22"/>
        <v>0</v>
      </c>
      <c r="O416" s="14">
        <f t="shared" si="21"/>
        <v>0</v>
      </c>
      <c r="P416" s="17"/>
      <c r="Q416" s="1">
        <v>0</v>
      </c>
      <c r="R416" s="1">
        <v>0</v>
      </c>
      <c r="S416" s="20">
        <v>42491</v>
      </c>
      <c r="T416" s="1">
        <v>0</v>
      </c>
      <c r="U416" s="9">
        <v>0</v>
      </c>
      <c r="V416" s="9" t="s">
        <v>46</v>
      </c>
    </row>
    <row r="417" spans="1:22" x14ac:dyDescent="0.25">
      <c r="A417" s="10" t="s">
        <v>18</v>
      </c>
      <c r="B417" t="b">
        <v>0</v>
      </c>
      <c r="C417" t="b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f t="shared" si="20"/>
        <v>0</v>
      </c>
      <c r="K417" s="1">
        <v>0</v>
      </c>
      <c r="L417" s="1">
        <v>0</v>
      </c>
      <c r="M417" s="1">
        <v>0</v>
      </c>
      <c r="N417" s="1">
        <f t="shared" si="22"/>
        <v>0</v>
      </c>
      <c r="O417" s="14">
        <f t="shared" si="21"/>
        <v>0</v>
      </c>
      <c r="P417" s="17"/>
      <c r="Q417" s="1">
        <v>0</v>
      </c>
      <c r="R417" s="1">
        <v>0</v>
      </c>
      <c r="S417" s="20">
        <v>42522</v>
      </c>
      <c r="T417" s="1">
        <v>0</v>
      </c>
      <c r="U417" s="9">
        <v>0</v>
      </c>
      <c r="V417" s="9" t="s">
        <v>46</v>
      </c>
    </row>
    <row r="418" spans="1:22" x14ac:dyDescent="0.25">
      <c r="A418" s="10" t="s">
        <v>18</v>
      </c>
      <c r="B418" t="b">
        <v>0</v>
      </c>
      <c r="C418" t="b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f t="shared" si="20"/>
        <v>0</v>
      </c>
      <c r="K418" s="1">
        <v>0</v>
      </c>
      <c r="L418" s="1">
        <v>0</v>
      </c>
      <c r="M418" s="1">
        <v>0</v>
      </c>
      <c r="N418" s="1">
        <f t="shared" si="22"/>
        <v>0</v>
      </c>
      <c r="O418" s="14">
        <f t="shared" si="21"/>
        <v>0</v>
      </c>
      <c r="P418" s="17"/>
      <c r="Q418" s="1">
        <v>0</v>
      </c>
      <c r="R418" s="1">
        <v>0</v>
      </c>
      <c r="S418" s="20">
        <v>42552</v>
      </c>
      <c r="T418" s="1">
        <v>0</v>
      </c>
      <c r="U418" s="9">
        <v>0</v>
      </c>
      <c r="V418" s="9" t="s">
        <v>46</v>
      </c>
    </row>
    <row r="419" spans="1:22" x14ac:dyDescent="0.25">
      <c r="A419" s="10" t="s">
        <v>18</v>
      </c>
      <c r="B419" t="b">
        <v>0</v>
      </c>
      <c r="C419" t="b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f t="shared" si="20"/>
        <v>0</v>
      </c>
      <c r="K419" s="1">
        <v>0</v>
      </c>
      <c r="L419" s="1">
        <v>0</v>
      </c>
      <c r="M419" s="1">
        <v>0</v>
      </c>
      <c r="N419" s="1">
        <f t="shared" si="22"/>
        <v>0</v>
      </c>
      <c r="O419" s="14">
        <f t="shared" si="21"/>
        <v>0</v>
      </c>
      <c r="P419" s="17"/>
      <c r="Q419" s="1">
        <v>0</v>
      </c>
      <c r="R419" s="1">
        <v>0</v>
      </c>
      <c r="S419" s="20">
        <v>42583</v>
      </c>
      <c r="T419" s="1">
        <v>0</v>
      </c>
      <c r="U419" s="9">
        <v>0</v>
      </c>
      <c r="V419" s="9" t="s">
        <v>46</v>
      </c>
    </row>
    <row r="420" spans="1:22" x14ac:dyDescent="0.25">
      <c r="A420" s="10" t="s">
        <v>18</v>
      </c>
      <c r="B420" t="b">
        <v>0</v>
      </c>
      <c r="C420" t="b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f t="shared" si="20"/>
        <v>0</v>
      </c>
      <c r="K420" s="1">
        <v>0</v>
      </c>
      <c r="L420" s="1">
        <v>0</v>
      </c>
      <c r="M420" s="1">
        <v>0</v>
      </c>
      <c r="N420" s="1">
        <f t="shared" si="22"/>
        <v>0</v>
      </c>
      <c r="O420" s="14">
        <f t="shared" si="21"/>
        <v>0</v>
      </c>
      <c r="P420" s="17"/>
      <c r="Q420" s="1">
        <v>0</v>
      </c>
      <c r="R420" s="1">
        <v>0</v>
      </c>
      <c r="S420" s="20">
        <v>42614</v>
      </c>
      <c r="T420" s="1">
        <v>0</v>
      </c>
      <c r="U420" s="9">
        <v>0</v>
      </c>
      <c r="V420" s="9" t="s">
        <v>46</v>
      </c>
    </row>
    <row r="421" spans="1:22" x14ac:dyDescent="0.25">
      <c r="A421" s="10" t="s">
        <v>18</v>
      </c>
      <c r="B421" t="b">
        <v>0</v>
      </c>
      <c r="C421" t="b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f t="shared" si="20"/>
        <v>0</v>
      </c>
      <c r="K421" s="1">
        <v>0</v>
      </c>
      <c r="L421" s="1">
        <v>0</v>
      </c>
      <c r="M421" s="1">
        <v>0</v>
      </c>
      <c r="N421" s="1">
        <f t="shared" si="22"/>
        <v>0</v>
      </c>
      <c r="O421" s="14">
        <f t="shared" si="21"/>
        <v>0</v>
      </c>
      <c r="P421" s="17"/>
      <c r="Q421" s="1">
        <v>0</v>
      </c>
      <c r="R421" s="1">
        <v>0</v>
      </c>
      <c r="S421" s="20">
        <v>42644</v>
      </c>
      <c r="T421" s="1">
        <v>0</v>
      </c>
      <c r="U421" s="9">
        <v>0</v>
      </c>
      <c r="V421" s="9" t="s">
        <v>46</v>
      </c>
    </row>
    <row r="422" spans="1:22" x14ac:dyDescent="0.25">
      <c r="A422" s="10" t="s">
        <v>18</v>
      </c>
      <c r="B422" t="b">
        <v>0</v>
      </c>
      <c r="C422" t="b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f t="shared" si="20"/>
        <v>0</v>
      </c>
      <c r="K422" s="1">
        <v>0</v>
      </c>
      <c r="L422" s="1">
        <v>0</v>
      </c>
      <c r="M422" s="1">
        <v>0</v>
      </c>
      <c r="N422" s="1">
        <f t="shared" si="22"/>
        <v>0</v>
      </c>
      <c r="O422" s="14">
        <f t="shared" si="21"/>
        <v>0</v>
      </c>
      <c r="P422" s="17"/>
      <c r="Q422" s="1">
        <v>0</v>
      </c>
      <c r="R422" s="1">
        <v>0</v>
      </c>
      <c r="S422" s="20">
        <v>42675</v>
      </c>
      <c r="T422" s="1">
        <v>0</v>
      </c>
      <c r="U422" s="9">
        <v>0</v>
      </c>
      <c r="V422" s="9" t="s">
        <v>46</v>
      </c>
    </row>
    <row r="423" spans="1:22" x14ac:dyDescent="0.25">
      <c r="A423" s="10" t="s">
        <v>18</v>
      </c>
      <c r="B423" t="b">
        <v>0</v>
      </c>
      <c r="C423" t="b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f t="shared" si="20"/>
        <v>0</v>
      </c>
      <c r="K423" s="1">
        <v>0</v>
      </c>
      <c r="L423" s="1">
        <v>0</v>
      </c>
      <c r="M423" s="1">
        <v>0</v>
      </c>
      <c r="N423" s="1">
        <f t="shared" si="22"/>
        <v>0</v>
      </c>
      <c r="O423" s="14">
        <f t="shared" si="21"/>
        <v>0</v>
      </c>
      <c r="P423" s="17"/>
      <c r="Q423" s="1">
        <v>0</v>
      </c>
      <c r="R423" s="1">
        <v>0</v>
      </c>
      <c r="S423" s="20">
        <v>42705</v>
      </c>
      <c r="T423" s="1">
        <v>0</v>
      </c>
      <c r="U423" s="9">
        <v>0</v>
      </c>
      <c r="V423" s="9" t="s">
        <v>46</v>
      </c>
    </row>
    <row r="424" spans="1:22" x14ac:dyDescent="0.25">
      <c r="A424" s="10" t="s">
        <v>18</v>
      </c>
      <c r="B424" t="b">
        <v>0</v>
      </c>
      <c r="C424" t="b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f t="shared" si="20"/>
        <v>0</v>
      </c>
      <c r="K424" s="1">
        <v>0</v>
      </c>
      <c r="L424" s="1">
        <v>0</v>
      </c>
      <c r="M424" s="1">
        <v>0</v>
      </c>
      <c r="N424" s="1">
        <f t="shared" si="22"/>
        <v>0</v>
      </c>
      <c r="O424" s="14">
        <f t="shared" si="21"/>
        <v>0</v>
      </c>
      <c r="P424" s="17"/>
      <c r="Q424" s="1">
        <v>0</v>
      </c>
      <c r="R424" s="1">
        <v>0</v>
      </c>
      <c r="S424" s="20">
        <v>42736</v>
      </c>
      <c r="T424" s="1">
        <v>0</v>
      </c>
      <c r="U424" s="9">
        <v>0</v>
      </c>
      <c r="V424" s="9" t="s">
        <v>21</v>
      </c>
    </row>
    <row r="425" spans="1:22" x14ac:dyDescent="0.25">
      <c r="A425" s="10" t="s">
        <v>18</v>
      </c>
      <c r="B425" t="b">
        <v>0</v>
      </c>
      <c r="C425" t="b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f t="shared" si="20"/>
        <v>0</v>
      </c>
      <c r="K425" s="1">
        <v>0</v>
      </c>
      <c r="L425" s="1">
        <v>0</v>
      </c>
      <c r="M425" s="1">
        <v>0</v>
      </c>
      <c r="N425" s="1">
        <f t="shared" si="22"/>
        <v>0</v>
      </c>
      <c r="O425" s="14">
        <f t="shared" si="21"/>
        <v>0</v>
      </c>
      <c r="P425" s="17"/>
      <c r="Q425" s="1">
        <v>0</v>
      </c>
      <c r="R425" s="1">
        <v>0</v>
      </c>
      <c r="S425" s="20">
        <v>42767</v>
      </c>
      <c r="T425" s="1">
        <v>0</v>
      </c>
      <c r="U425" s="9">
        <v>0</v>
      </c>
      <c r="V425" s="9" t="s">
        <v>21</v>
      </c>
    </row>
    <row r="426" spans="1:22" x14ac:dyDescent="0.25">
      <c r="A426" s="10" t="s">
        <v>18</v>
      </c>
      <c r="B426" t="b">
        <v>0</v>
      </c>
      <c r="C426" t="b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f t="shared" si="20"/>
        <v>0</v>
      </c>
      <c r="K426" s="1">
        <v>0</v>
      </c>
      <c r="L426" s="1">
        <v>0</v>
      </c>
      <c r="M426" s="1">
        <v>0</v>
      </c>
      <c r="N426" s="1">
        <f t="shared" si="22"/>
        <v>0</v>
      </c>
      <c r="O426" s="14">
        <f t="shared" si="21"/>
        <v>0</v>
      </c>
      <c r="P426" s="17"/>
      <c r="Q426" s="1">
        <v>0</v>
      </c>
      <c r="R426" s="1">
        <v>0</v>
      </c>
      <c r="S426" s="20">
        <v>42795</v>
      </c>
      <c r="T426" s="1">
        <v>0</v>
      </c>
      <c r="U426" s="9">
        <v>0</v>
      </c>
      <c r="V426" s="9" t="s">
        <v>21</v>
      </c>
    </row>
    <row r="427" spans="1:22" x14ac:dyDescent="0.25">
      <c r="A427" s="10" t="s">
        <v>18</v>
      </c>
      <c r="B427" t="b">
        <v>0</v>
      </c>
      <c r="C427" t="b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f t="shared" si="20"/>
        <v>0</v>
      </c>
      <c r="K427" s="1">
        <v>0</v>
      </c>
      <c r="L427" s="1">
        <v>0</v>
      </c>
      <c r="M427" s="1">
        <v>0</v>
      </c>
      <c r="N427" s="1">
        <f t="shared" si="22"/>
        <v>0</v>
      </c>
      <c r="O427" s="14">
        <f t="shared" si="21"/>
        <v>0</v>
      </c>
      <c r="P427" s="17"/>
      <c r="Q427" s="1">
        <v>0</v>
      </c>
      <c r="R427" s="1">
        <v>0</v>
      </c>
      <c r="S427" s="20">
        <v>42826</v>
      </c>
      <c r="T427" s="1">
        <v>0</v>
      </c>
      <c r="U427" s="9">
        <v>0</v>
      </c>
      <c r="V427" s="9" t="s">
        <v>21</v>
      </c>
    </row>
    <row r="428" spans="1:22" x14ac:dyDescent="0.25">
      <c r="A428" s="10" t="s">
        <v>18</v>
      </c>
      <c r="B428" t="b">
        <v>0</v>
      </c>
      <c r="C428" t="b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f t="shared" si="20"/>
        <v>0</v>
      </c>
      <c r="K428" s="1">
        <v>0</v>
      </c>
      <c r="L428" s="1">
        <v>0</v>
      </c>
      <c r="M428" s="1">
        <v>0</v>
      </c>
      <c r="N428" s="1">
        <f t="shared" si="22"/>
        <v>0</v>
      </c>
      <c r="O428" s="14">
        <f t="shared" si="21"/>
        <v>0</v>
      </c>
      <c r="P428" s="17"/>
      <c r="Q428" s="1">
        <v>0</v>
      </c>
      <c r="R428" s="1">
        <v>0</v>
      </c>
      <c r="S428" s="20">
        <v>42856</v>
      </c>
      <c r="T428" s="1">
        <v>0</v>
      </c>
      <c r="U428" s="9">
        <v>0</v>
      </c>
      <c r="V428" s="9" t="s">
        <v>21</v>
      </c>
    </row>
    <row r="429" spans="1:22" x14ac:dyDescent="0.25">
      <c r="A429" s="10" t="s">
        <v>18</v>
      </c>
      <c r="B429" t="b">
        <v>0</v>
      </c>
      <c r="C429" t="b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f t="shared" si="20"/>
        <v>0</v>
      </c>
      <c r="K429" s="1">
        <v>0</v>
      </c>
      <c r="L429" s="1">
        <v>0</v>
      </c>
      <c r="M429" s="1">
        <v>0</v>
      </c>
      <c r="N429" s="1">
        <f t="shared" si="22"/>
        <v>0</v>
      </c>
      <c r="O429" s="14">
        <f t="shared" si="21"/>
        <v>0</v>
      </c>
      <c r="P429" s="17"/>
      <c r="Q429" s="1">
        <v>0</v>
      </c>
      <c r="R429" s="1">
        <v>0</v>
      </c>
      <c r="S429" s="20">
        <v>42887</v>
      </c>
      <c r="T429" s="1">
        <v>0</v>
      </c>
      <c r="U429" s="9">
        <v>0</v>
      </c>
      <c r="V429" s="9" t="s">
        <v>21</v>
      </c>
    </row>
    <row r="430" spans="1:22" x14ac:dyDescent="0.25">
      <c r="A430" s="10" t="s">
        <v>18</v>
      </c>
      <c r="B430" t="b">
        <v>0</v>
      </c>
      <c r="C430" t="b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f t="shared" si="20"/>
        <v>0</v>
      </c>
      <c r="K430" s="1">
        <v>0</v>
      </c>
      <c r="L430" s="1">
        <v>0</v>
      </c>
      <c r="M430" s="1">
        <v>0</v>
      </c>
      <c r="N430" s="1">
        <f t="shared" si="22"/>
        <v>0</v>
      </c>
      <c r="O430" s="14">
        <f t="shared" si="21"/>
        <v>0</v>
      </c>
      <c r="P430" s="17"/>
      <c r="Q430" s="1">
        <v>0</v>
      </c>
      <c r="R430" s="1">
        <v>0</v>
      </c>
      <c r="S430" s="20">
        <v>42917</v>
      </c>
      <c r="T430" s="1">
        <v>0</v>
      </c>
      <c r="U430" s="9">
        <v>0</v>
      </c>
      <c r="V430" s="9" t="s">
        <v>21</v>
      </c>
    </row>
    <row r="431" spans="1:22" x14ac:dyDescent="0.25">
      <c r="A431" s="10" t="s">
        <v>18</v>
      </c>
      <c r="B431" t="b">
        <v>0</v>
      </c>
      <c r="C431" t="b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f t="shared" ref="J431:J473" si="23">D431+E431+F431+G431+H431+I431</f>
        <v>0</v>
      </c>
      <c r="K431" s="1">
        <v>0</v>
      </c>
      <c r="L431" s="1">
        <v>0</v>
      </c>
      <c r="M431" s="1">
        <v>0</v>
      </c>
      <c r="N431" s="1">
        <f t="shared" si="22"/>
        <v>0</v>
      </c>
      <c r="O431" s="14">
        <f t="shared" ref="O431:O473" si="24">J431</f>
        <v>0</v>
      </c>
      <c r="P431" s="17"/>
      <c r="Q431" s="1">
        <v>0</v>
      </c>
      <c r="R431" s="1">
        <v>0</v>
      </c>
      <c r="S431" s="20">
        <v>42948</v>
      </c>
      <c r="T431" s="1">
        <v>0</v>
      </c>
      <c r="U431" s="9">
        <v>0</v>
      </c>
      <c r="V431" s="9" t="s">
        <v>21</v>
      </c>
    </row>
    <row r="432" spans="1:22" x14ac:dyDescent="0.25">
      <c r="A432" s="10" t="s">
        <v>18</v>
      </c>
      <c r="B432" t="b">
        <v>0</v>
      </c>
      <c r="C432" t="b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f t="shared" si="23"/>
        <v>0</v>
      </c>
      <c r="K432" s="1">
        <v>0</v>
      </c>
      <c r="L432" s="1">
        <v>0</v>
      </c>
      <c r="M432" s="1">
        <v>0</v>
      </c>
      <c r="N432" s="1">
        <f t="shared" si="22"/>
        <v>0</v>
      </c>
      <c r="O432" s="14">
        <f t="shared" si="24"/>
        <v>0</v>
      </c>
      <c r="P432" s="17"/>
      <c r="Q432" s="1">
        <v>0</v>
      </c>
      <c r="R432" s="1">
        <v>0</v>
      </c>
      <c r="S432" s="20">
        <v>42979</v>
      </c>
      <c r="T432" s="1">
        <v>0</v>
      </c>
      <c r="U432" s="9">
        <v>0</v>
      </c>
      <c r="V432" s="9" t="s">
        <v>21</v>
      </c>
    </row>
    <row r="433" spans="1:22" x14ac:dyDescent="0.25">
      <c r="A433" s="10" t="s">
        <v>18</v>
      </c>
      <c r="B433" t="b">
        <v>0</v>
      </c>
      <c r="C433" t="b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f t="shared" si="23"/>
        <v>0</v>
      </c>
      <c r="K433" s="1">
        <v>0</v>
      </c>
      <c r="L433" s="1">
        <v>0</v>
      </c>
      <c r="M433" s="1">
        <v>0</v>
      </c>
      <c r="N433" s="1">
        <f t="shared" si="22"/>
        <v>0</v>
      </c>
      <c r="O433" s="14">
        <f t="shared" si="24"/>
        <v>0</v>
      </c>
      <c r="P433" s="17"/>
      <c r="Q433" s="1">
        <v>0</v>
      </c>
      <c r="R433" s="1">
        <v>0</v>
      </c>
      <c r="S433" s="20">
        <v>43009</v>
      </c>
      <c r="T433" s="1">
        <v>0</v>
      </c>
      <c r="U433" s="9">
        <v>0</v>
      </c>
      <c r="V433" s="9" t="s">
        <v>21</v>
      </c>
    </row>
    <row r="434" spans="1:22" x14ac:dyDescent="0.25">
      <c r="A434" s="10" t="s">
        <v>18</v>
      </c>
      <c r="B434" t="b">
        <v>0</v>
      </c>
      <c r="C434" t="b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f t="shared" si="23"/>
        <v>0</v>
      </c>
      <c r="K434" s="1">
        <v>0</v>
      </c>
      <c r="L434" s="1">
        <v>0</v>
      </c>
      <c r="M434" s="1">
        <v>0</v>
      </c>
      <c r="N434" s="1">
        <f t="shared" si="22"/>
        <v>0</v>
      </c>
      <c r="O434" s="14">
        <f t="shared" si="24"/>
        <v>0</v>
      </c>
      <c r="P434" s="17"/>
      <c r="Q434" s="1">
        <v>0</v>
      </c>
      <c r="R434" s="1">
        <v>0</v>
      </c>
      <c r="S434" s="20">
        <v>43040</v>
      </c>
      <c r="T434" s="1">
        <v>0</v>
      </c>
      <c r="U434" s="9">
        <v>0</v>
      </c>
      <c r="V434" s="9" t="s">
        <v>21</v>
      </c>
    </row>
    <row r="435" spans="1:22" x14ac:dyDescent="0.25">
      <c r="A435" s="10" t="s">
        <v>18</v>
      </c>
      <c r="B435" t="b">
        <v>0</v>
      </c>
      <c r="C435" t="b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f t="shared" si="23"/>
        <v>0</v>
      </c>
      <c r="K435" s="1">
        <v>0</v>
      </c>
      <c r="L435" s="1">
        <v>0</v>
      </c>
      <c r="M435" s="1">
        <v>0</v>
      </c>
      <c r="N435" s="1">
        <f t="shared" si="22"/>
        <v>0</v>
      </c>
      <c r="O435" s="14">
        <f t="shared" si="24"/>
        <v>0</v>
      </c>
      <c r="P435" s="17"/>
      <c r="Q435" s="1">
        <v>0</v>
      </c>
      <c r="R435" s="1">
        <v>0</v>
      </c>
      <c r="S435" s="20">
        <v>43070</v>
      </c>
      <c r="T435" s="1">
        <v>0</v>
      </c>
      <c r="U435" s="9">
        <v>0</v>
      </c>
      <c r="V435" s="9" t="s">
        <v>21</v>
      </c>
    </row>
    <row r="436" spans="1:22" x14ac:dyDescent="0.25">
      <c r="A436" s="10" t="s">
        <v>18</v>
      </c>
      <c r="B436" t="b">
        <v>0</v>
      </c>
      <c r="C436" t="b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f t="shared" si="23"/>
        <v>0</v>
      </c>
      <c r="K436" s="1">
        <v>0</v>
      </c>
      <c r="L436" s="1">
        <v>0</v>
      </c>
      <c r="M436" s="1">
        <v>0</v>
      </c>
      <c r="N436" s="1">
        <f t="shared" si="22"/>
        <v>0</v>
      </c>
      <c r="O436" s="14">
        <f t="shared" si="24"/>
        <v>0</v>
      </c>
      <c r="P436" s="17"/>
      <c r="Q436" s="1">
        <v>0</v>
      </c>
      <c r="R436" s="1">
        <v>0</v>
      </c>
      <c r="S436" s="20">
        <v>43101</v>
      </c>
      <c r="T436" s="1">
        <v>0</v>
      </c>
      <c r="U436" s="9">
        <v>0</v>
      </c>
      <c r="V436" s="9" t="s">
        <v>21</v>
      </c>
    </row>
    <row r="437" spans="1:22" x14ac:dyDescent="0.25">
      <c r="A437" s="10" t="s">
        <v>18</v>
      </c>
      <c r="B437" t="b">
        <v>0</v>
      </c>
      <c r="C437" t="b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f t="shared" si="23"/>
        <v>0</v>
      </c>
      <c r="K437" s="1">
        <v>0</v>
      </c>
      <c r="L437" s="1">
        <v>0</v>
      </c>
      <c r="M437" s="1">
        <v>0</v>
      </c>
      <c r="N437" s="1">
        <f t="shared" si="22"/>
        <v>0</v>
      </c>
      <c r="O437" s="14">
        <f t="shared" si="24"/>
        <v>0</v>
      </c>
      <c r="P437" s="17"/>
      <c r="Q437" s="1">
        <v>0</v>
      </c>
      <c r="R437" s="1">
        <v>0</v>
      </c>
      <c r="S437" s="20">
        <v>43132</v>
      </c>
      <c r="T437" s="1">
        <v>0</v>
      </c>
      <c r="U437" s="9">
        <v>0</v>
      </c>
      <c r="V437" s="9" t="s">
        <v>21</v>
      </c>
    </row>
    <row r="438" spans="1:22" x14ac:dyDescent="0.25">
      <c r="A438" s="10" t="s">
        <v>18</v>
      </c>
      <c r="B438" t="b">
        <v>0</v>
      </c>
      <c r="C438" t="b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f t="shared" si="23"/>
        <v>0</v>
      </c>
      <c r="K438" s="1">
        <v>0</v>
      </c>
      <c r="L438" s="1">
        <v>0</v>
      </c>
      <c r="M438" s="1">
        <v>0</v>
      </c>
      <c r="N438" s="1">
        <f t="shared" si="22"/>
        <v>0</v>
      </c>
      <c r="O438" s="14">
        <f t="shared" si="24"/>
        <v>0</v>
      </c>
      <c r="P438" s="17"/>
      <c r="Q438" s="1">
        <v>0</v>
      </c>
      <c r="R438" s="1">
        <v>0</v>
      </c>
      <c r="S438" s="20">
        <v>43160</v>
      </c>
      <c r="T438" s="1">
        <v>0</v>
      </c>
      <c r="U438" s="9">
        <v>0</v>
      </c>
      <c r="V438" s="9" t="s">
        <v>21</v>
      </c>
    </row>
    <row r="439" spans="1:22" x14ac:dyDescent="0.25">
      <c r="A439" s="10" t="s">
        <v>18</v>
      </c>
      <c r="B439" t="b">
        <v>0</v>
      </c>
      <c r="C439" t="b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f t="shared" si="23"/>
        <v>0</v>
      </c>
      <c r="K439" s="1">
        <v>0</v>
      </c>
      <c r="L439" s="1">
        <v>0</v>
      </c>
      <c r="M439" s="1">
        <v>0</v>
      </c>
      <c r="N439" s="1">
        <f t="shared" si="22"/>
        <v>0</v>
      </c>
      <c r="O439" s="14">
        <f t="shared" si="24"/>
        <v>0</v>
      </c>
      <c r="P439" s="17"/>
      <c r="Q439" s="1">
        <v>0</v>
      </c>
      <c r="R439" s="1">
        <v>0</v>
      </c>
      <c r="S439" s="20">
        <v>43191</v>
      </c>
      <c r="T439" s="1">
        <v>0</v>
      </c>
      <c r="U439" s="9">
        <v>0</v>
      </c>
      <c r="V439" s="9" t="s">
        <v>21</v>
      </c>
    </row>
    <row r="440" spans="1:22" x14ac:dyDescent="0.25">
      <c r="A440" s="10" t="s">
        <v>18</v>
      </c>
      <c r="B440" t="b">
        <v>0</v>
      </c>
      <c r="C440" t="b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f t="shared" si="23"/>
        <v>0</v>
      </c>
      <c r="K440" s="1">
        <v>0</v>
      </c>
      <c r="L440" s="1">
        <v>0</v>
      </c>
      <c r="M440" s="1">
        <v>0</v>
      </c>
      <c r="N440" s="1">
        <f t="shared" si="22"/>
        <v>0</v>
      </c>
      <c r="O440" s="14">
        <f t="shared" si="24"/>
        <v>0</v>
      </c>
      <c r="P440" s="17"/>
      <c r="Q440" s="1">
        <v>0</v>
      </c>
      <c r="R440" s="1">
        <v>0</v>
      </c>
      <c r="S440" s="20">
        <v>43221</v>
      </c>
      <c r="T440" s="1">
        <v>0</v>
      </c>
      <c r="U440" s="9">
        <v>0</v>
      </c>
      <c r="V440" s="9" t="s">
        <v>21</v>
      </c>
    </row>
    <row r="441" spans="1:22" x14ac:dyDescent="0.25">
      <c r="A441" s="10" t="s">
        <v>18</v>
      </c>
      <c r="B441" t="b">
        <v>0</v>
      </c>
      <c r="C441" t="b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f t="shared" si="23"/>
        <v>0</v>
      </c>
      <c r="K441" s="1">
        <v>0</v>
      </c>
      <c r="L441" s="1">
        <v>0</v>
      </c>
      <c r="M441" s="1">
        <v>0</v>
      </c>
      <c r="N441" s="1">
        <f t="shared" si="22"/>
        <v>0</v>
      </c>
      <c r="O441" s="14">
        <f t="shared" si="24"/>
        <v>0</v>
      </c>
      <c r="P441" s="17"/>
      <c r="Q441" s="1">
        <v>0</v>
      </c>
      <c r="R441" s="1">
        <v>0</v>
      </c>
      <c r="S441" s="20">
        <v>43252</v>
      </c>
      <c r="T441" s="1">
        <v>0</v>
      </c>
      <c r="U441" s="9">
        <v>0</v>
      </c>
      <c r="V441" s="9" t="s">
        <v>21</v>
      </c>
    </row>
    <row r="442" spans="1:22" x14ac:dyDescent="0.25">
      <c r="A442" s="10" t="s">
        <v>18</v>
      </c>
      <c r="B442" t="b">
        <v>0</v>
      </c>
      <c r="C442" t="b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f t="shared" si="23"/>
        <v>0</v>
      </c>
      <c r="K442" s="1">
        <v>0</v>
      </c>
      <c r="L442" s="1">
        <v>0</v>
      </c>
      <c r="M442" s="1">
        <v>0</v>
      </c>
      <c r="N442" s="1">
        <f t="shared" si="22"/>
        <v>0</v>
      </c>
      <c r="O442" s="14">
        <f t="shared" si="24"/>
        <v>0</v>
      </c>
      <c r="P442" s="17"/>
      <c r="Q442" s="1">
        <v>0</v>
      </c>
      <c r="R442" s="1">
        <v>0</v>
      </c>
      <c r="S442" s="20">
        <v>43282</v>
      </c>
      <c r="T442" s="1">
        <v>0</v>
      </c>
      <c r="U442" s="9">
        <v>0</v>
      </c>
      <c r="V442" s="9" t="s">
        <v>21</v>
      </c>
    </row>
    <row r="443" spans="1:22" x14ac:dyDescent="0.25">
      <c r="A443" s="10" t="s">
        <v>18</v>
      </c>
      <c r="B443" t="b">
        <v>0</v>
      </c>
      <c r="C443" t="b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f t="shared" si="23"/>
        <v>0</v>
      </c>
      <c r="K443" s="1">
        <v>0</v>
      </c>
      <c r="L443" s="1">
        <v>0</v>
      </c>
      <c r="M443" s="1">
        <v>0</v>
      </c>
      <c r="N443" s="1">
        <f t="shared" si="22"/>
        <v>0</v>
      </c>
      <c r="O443" s="14">
        <f t="shared" si="24"/>
        <v>0</v>
      </c>
      <c r="P443" s="17"/>
      <c r="Q443" s="1">
        <v>0</v>
      </c>
      <c r="R443" s="1">
        <v>0</v>
      </c>
      <c r="S443" s="20">
        <v>43313</v>
      </c>
      <c r="T443" s="1">
        <v>0</v>
      </c>
      <c r="U443" s="9">
        <v>0</v>
      </c>
      <c r="V443" s="9" t="s">
        <v>21</v>
      </c>
    </row>
    <row r="444" spans="1:22" x14ac:dyDescent="0.25">
      <c r="A444" s="10" t="s">
        <v>18</v>
      </c>
      <c r="B444" t="b">
        <v>0</v>
      </c>
      <c r="C444" t="b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f t="shared" si="23"/>
        <v>0</v>
      </c>
      <c r="K444" s="1">
        <v>0</v>
      </c>
      <c r="L444" s="1">
        <v>0</v>
      </c>
      <c r="M444" s="1">
        <v>0</v>
      </c>
      <c r="N444" s="1">
        <f t="shared" si="22"/>
        <v>0</v>
      </c>
      <c r="O444" s="14">
        <f t="shared" si="24"/>
        <v>0</v>
      </c>
      <c r="P444" s="17"/>
      <c r="Q444" s="1">
        <v>0</v>
      </c>
      <c r="R444" s="1">
        <v>0</v>
      </c>
      <c r="S444" s="20">
        <v>43344</v>
      </c>
      <c r="T444" s="1">
        <v>0</v>
      </c>
      <c r="U444" s="9">
        <v>0</v>
      </c>
      <c r="V444" s="9" t="s">
        <v>21</v>
      </c>
    </row>
    <row r="445" spans="1:22" x14ac:dyDescent="0.25">
      <c r="A445" s="10" t="s">
        <v>18</v>
      </c>
      <c r="B445" t="b">
        <v>0</v>
      </c>
      <c r="C445" t="b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f t="shared" si="23"/>
        <v>0</v>
      </c>
      <c r="K445" s="1">
        <v>0</v>
      </c>
      <c r="L445" s="1">
        <v>0</v>
      </c>
      <c r="M445" s="1">
        <v>0</v>
      </c>
      <c r="N445" s="1">
        <f t="shared" si="22"/>
        <v>0</v>
      </c>
      <c r="O445" s="14">
        <f t="shared" si="24"/>
        <v>0</v>
      </c>
      <c r="P445" s="17"/>
      <c r="Q445" s="1">
        <v>0</v>
      </c>
      <c r="R445" s="1">
        <v>0</v>
      </c>
      <c r="S445" s="20">
        <v>43374</v>
      </c>
      <c r="T445" s="1">
        <v>0</v>
      </c>
      <c r="U445" s="9">
        <v>0</v>
      </c>
      <c r="V445" s="9" t="s">
        <v>21</v>
      </c>
    </row>
    <row r="446" spans="1:22" x14ac:dyDescent="0.25">
      <c r="A446" s="10" t="s">
        <v>18</v>
      </c>
      <c r="B446" t="b">
        <v>0</v>
      </c>
      <c r="C446" t="b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f t="shared" si="23"/>
        <v>0</v>
      </c>
      <c r="K446" s="1">
        <v>0</v>
      </c>
      <c r="L446" s="1">
        <v>0</v>
      </c>
      <c r="M446" s="1">
        <v>0</v>
      </c>
      <c r="N446" s="1">
        <f t="shared" si="22"/>
        <v>0</v>
      </c>
      <c r="O446" s="14">
        <f t="shared" si="24"/>
        <v>0</v>
      </c>
      <c r="P446" s="17"/>
      <c r="Q446" s="1">
        <v>0</v>
      </c>
      <c r="R446" s="1">
        <v>0</v>
      </c>
      <c r="S446" s="20">
        <v>43405</v>
      </c>
      <c r="T446" s="1">
        <v>0</v>
      </c>
      <c r="U446" s="9">
        <v>0</v>
      </c>
      <c r="V446" s="9" t="s">
        <v>21</v>
      </c>
    </row>
    <row r="447" spans="1:22" x14ac:dyDescent="0.25">
      <c r="A447" s="10" t="s">
        <v>18</v>
      </c>
      <c r="B447" t="b">
        <v>0</v>
      </c>
      <c r="C447" t="b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f t="shared" si="23"/>
        <v>0</v>
      </c>
      <c r="K447" s="1">
        <v>0</v>
      </c>
      <c r="L447" s="1">
        <v>0</v>
      </c>
      <c r="M447" s="1">
        <v>0</v>
      </c>
      <c r="N447" s="1">
        <f t="shared" si="22"/>
        <v>0</v>
      </c>
      <c r="O447" s="14">
        <f t="shared" si="24"/>
        <v>0</v>
      </c>
      <c r="P447" s="17"/>
      <c r="Q447" s="1">
        <v>0</v>
      </c>
      <c r="R447" s="1">
        <v>0</v>
      </c>
      <c r="S447" s="20">
        <v>43435</v>
      </c>
      <c r="T447" s="1">
        <v>0</v>
      </c>
      <c r="U447" s="9">
        <v>0</v>
      </c>
      <c r="V447" s="9" t="s">
        <v>21</v>
      </c>
    </row>
    <row r="448" spans="1:22" x14ac:dyDescent="0.25">
      <c r="A448" s="10" t="s">
        <v>18</v>
      </c>
      <c r="B448" t="b">
        <v>0</v>
      </c>
      <c r="C448" t="b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f t="shared" si="23"/>
        <v>0</v>
      </c>
      <c r="K448" s="1">
        <v>0</v>
      </c>
      <c r="L448" s="1">
        <v>0</v>
      </c>
      <c r="M448" s="1">
        <v>0</v>
      </c>
      <c r="N448" s="1">
        <f t="shared" si="22"/>
        <v>0</v>
      </c>
      <c r="O448" s="14">
        <f t="shared" si="24"/>
        <v>0</v>
      </c>
      <c r="P448" s="17"/>
      <c r="Q448" s="1">
        <v>0</v>
      </c>
      <c r="R448" s="1">
        <v>0</v>
      </c>
      <c r="S448" s="20">
        <v>43466</v>
      </c>
      <c r="T448" s="1">
        <v>0</v>
      </c>
      <c r="U448" s="9">
        <v>0</v>
      </c>
      <c r="V448" s="9" t="s">
        <v>21</v>
      </c>
    </row>
    <row r="449" spans="1:22" x14ac:dyDescent="0.25">
      <c r="A449" s="10" t="s">
        <v>18</v>
      </c>
      <c r="B449" t="b">
        <v>0</v>
      </c>
      <c r="C449" t="b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f t="shared" si="23"/>
        <v>0</v>
      </c>
      <c r="K449" s="1">
        <v>0</v>
      </c>
      <c r="L449" s="1">
        <v>0</v>
      </c>
      <c r="M449" s="1">
        <v>0</v>
      </c>
      <c r="N449" s="1">
        <f t="shared" si="22"/>
        <v>0</v>
      </c>
      <c r="O449" s="14">
        <f t="shared" si="24"/>
        <v>0</v>
      </c>
      <c r="P449" s="17"/>
      <c r="Q449" s="1">
        <v>0</v>
      </c>
      <c r="R449" s="1">
        <v>0</v>
      </c>
      <c r="S449" s="20">
        <v>43497</v>
      </c>
      <c r="T449" s="1">
        <v>0</v>
      </c>
      <c r="U449" s="9">
        <v>0</v>
      </c>
      <c r="V449" s="9" t="s">
        <v>21</v>
      </c>
    </row>
    <row r="450" spans="1:22" x14ac:dyDescent="0.25">
      <c r="A450" s="10" t="s">
        <v>18</v>
      </c>
      <c r="B450" t="b">
        <v>0</v>
      </c>
      <c r="C450" t="b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f t="shared" si="23"/>
        <v>0</v>
      </c>
      <c r="K450" s="1">
        <v>0</v>
      </c>
      <c r="L450" s="1">
        <v>0</v>
      </c>
      <c r="M450" s="1">
        <v>0</v>
      </c>
      <c r="N450" s="1">
        <f t="shared" si="22"/>
        <v>0</v>
      </c>
      <c r="O450" s="14">
        <f t="shared" si="24"/>
        <v>0</v>
      </c>
      <c r="P450" s="17"/>
      <c r="Q450" s="1">
        <v>0</v>
      </c>
      <c r="R450" s="1">
        <v>0</v>
      </c>
      <c r="S450" s="20">
        <v>43525</v>
      </c>
      <c r="T450" s="1">
        <v>0</v>
      </c>
      <c r="U450" s="9">
        <v>0</v>
      </c>
      <c r="V450" s="9" t="s">
        <v>21</v>
      </c>
    </row>
    <row r="451" spans="1:22" x14ac:dyDescent="0.25">
      <c r="A451" s="10" t="s">
        <v>18</v>
      </c>
      <c r="B451" t="b">
        <v>0</v>
      </c>
      <c r="C451" t="b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f t="shared" si="23"/>
        <v>0</v>
      </c>
      <c r="K451" s="1">
        <v>0</v>
      </c>
      <c r="L451" s="1">
        <v>0</v>
      </c>
      <c r="M451" s="1">
        <v>0</v>
      </c>
      <c r="N451" s="1">
        <f t="shared" si="22"/>
        <v>0</v>
      </c>
      <c r="O451" s="14">
        <f t="shared" si="24"/>
        <v>0</v>
      </c>
      <c r="P451" s="17"/>
      <c r="Q451" s="1">
        <v>0</v>
      </c>
      <c r="R451" s="1">
        <v>0</v>
      </c>
      <c r="S451" s="20">
        <v>43556</v>
      </c>
      <c r="T451" s="1">
        <v>0</v>
      </c>
      <c r="U451" s="9">
        <v>0</v>
      </c>
      <c r="V451" s="9" t="s">
        <v>21</v>
      </c>
    </row>
    <row r="452" spans="1:22" x14ac:dyDescent="0.25">
      <c r="A452" s="10" t="s">
        <v>18</v>
      </c>
      <c r="B452" t="b">
        <v>0</v>
      </c>
      <c r="C452" t="b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f t="shared" si="23"/>
        <v>0</v>
      </c>
      <c r="K452" s="1">
        <v>0</v>
      </c>
      <c r="L452" s="1">
        <v>0</v>
      </c>
      <c r="M452" s="1">
        <v>0</v>
      </c>
      <c r="N452" s="1">
        <f t="shared" si="22"/>
        <v>0</v>
      </c>
      <c r="O452" s="14">
        <f t="shared" si="24"/>
        <v>0</v>
      </c>
      <c r="P452" s="17"/>
      <c r="Q452" s="1">
        <v>0</v>
      </c>
      <c r="R452" s="1">
        <v>0</v>
      </c>
      <c r="S452" s="20">
        <v>43586</v>
      </c>
      <c r="T452" s="1">
        <v>0</v>
      </c>
      <c r="U452" s="9">
        <v>0</v>
      </c>
      <c r="V452" s="9" t="s">
        <v>21</v>
      </c>
    </row>
    <row r="453" spans="1:22" x14ac:dyDescent="0.25">
      <c r="A453" s="10" t="s">
        <v>18</v>
      </c>
      <c r="B453" t="b">
        <v>0</v>
      </c>
      <c r="C453" t="b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f t="shared" si="23"/>
        <v>0</v>
      </c>
      <c r="K453" s="1">
        <v>0</v>
      </c>
      <c r="L453" s="1">
        <v>0</v>
      </c>
      <c r="M453" s="1">
        <v>0</v>
      </c>
      <c r="N453" s="1">
        <f t="shared" si="22"/>
        <v>0</v>
      </c>
      <c r="O453" s="14">
        <f t="shared" si="24"/>
        <v>0</v>
      </c>
      <c r="P453" s="17"/>
      <c r="Q453" s="1">
        <v>0</v>
      </c>
      <c r="R453" s="1">
        <v>0</v>
      </c>
      <c r="S453" s="20">
        <v>43617</v>
      </c>
      <c r="T453" s="1">
        <v>0</v>
      </c>
      <c r="U453" s="9">
        <v>0</v>
      </c>
      <c r="V453" s="9" t="s">
        <v>21</v>
      </c>
    </row>
    <row r="454" spans="1:22" x14ac:dyDescent="0.25">
      <c r="A454" s="10" t="s">
        <v>18</v>
      </c>
      <c r="B454" t="b">
        <v>0</v>
      </c>
      <c r="C454" t="b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f t="shared" si="23"/>
        <v>0</v>
      </c>
      <c r="K454" s="1">
        <v>0</v>
      </c>
      <c r="L454" s="1">
        <v>0</v>
      </c>
      <c r="M454" s="1">
        <v>0</v>
      </c>
      <c r="N454" s="1">
        <f t="shared" si="22"/>
        <v>0</v>
      </c>
      <c r="O454" s="14">
        <f t="shared" si="24"/>
        <v>0</v>
      </c>
      <c r="P454" s="17"/>
      <c r="Q454" s="1">
        <v>0</v>
      </c>
      <c r="R454" s="1">
        <v>0</v>
      </c>
      <c r="S454" s="20">
        <v>43647</v>
      </c>
      <c r="T454" s="1">
        <v>0</v>
      </c>
      <c r="U454" s="9">
        <v>0</v>
      </c>
      <c r="V454" s="9" t="s">
        <v>21</v>
      </c>
    </row>
    <row r="455" spans="1:22" x14ac:dyDescent="0.25">
      <c r="A455" s="10" t="s">
        <v>18</v>
      </c>
      <c r="B455" t="b">
        <v>0</v>
      </c>
      <c r="C455" t="b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f t="shared" si="23"/>
        <v>0</v>
      </c>
      <c r="K455" s="1">
        <v>0</v>
      </c>
      <c r="L455" s="1">
        <v>0</v>
      </c>
      <c r="M455" s="1">
        <v>0</v>
      </c>
      <c r="N455" s="1">
        <f t="shared" si="22"/>
        <v>0</v>
      </c>
      <c r="O455" s="14">
        <f t="shared" si="24"/>
        <v>0</v>
      </c>
      <c r="P455" s="17"/>
      <c r="Q455" s="1">
        <v>0</v>
      </c>
      <c r="R455" s="1">
        <v>0</v>
      </c>
      <c r="S455" s="20">
        <v>43678</v>
      </c>
      <c r="T455" s="1">
        <v>0</v>
      </c>
      <c r="U455" s="9">
        <v>0</v>
      </c>
      <c r="V455" s="9" t="s">
        <v>21</v>
      </c>
    </row>
    <row r="456" spans="1:22" x14ac:dyDescent="0.25">
      <c r="A456" s="10" t="s">
        <v>18</v>
      </c>
      <c r="B456" t="b">
        <v>0</v>
      </c>
      <c r="C456" t="b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f t="shared" si="23"/>
        <v>0</v>
      </c>
      <c r="K456" s="1">
        <v>0</v>
      </c>
      <c r="L456" s="1">
        <v>0</v>
      </c>
      <c r="M456" s="1">
        <v>0</v>
      </c>
      <c r="N456" s="1">
        <f t="shared" si="22"/>
        <v>0</v>
      </c>
      <c r="O456" s="14">
        <f t="shared" si="24"/>
        <v>0</v>
      </c>
      <c r="P456" s="17"/>
      <c r="Q456" s="1">
        <v>0</v>
      </c>
      <c r="R456" s="1">
        <v>0</v>
      </c>
      <c r="S456" s="20">
        <v>43709</v>
      </c>
      <c r="T456" s="1">
        <v>0</v>
      </c>
      <c r="U456" s="9">
        <v>0</v>
      </c>
      <c r="V456" s="9" t="s">
        <v>21</v>
      </c>
    </row>
    <row r="457" spans="1:22" x14ac:dyDescent="0.25">
      <c r="A457" s="10" t="s">
        <v>18</v>
      </c>
      <c r="B457" t="b">
        <v>0</v>
      </c>
      <c r="C457" t="b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f t="shared" si="23"/>
        <v>0</v>
      </c>
      <c r="K457" s="1">
        <v>0</v>
      </c>
      <c r="L457" s="1">
        <v>0</v>
      </c>
      <c r="M457" s="1">
        <v>0</v>
      </c>
      <c r="N457" s="1">
        <f t="shared" si="22"/>
        <v>0</v>
      </c>
      <c r="O457" s="14">
        <f t="shared" si="24"/>
        <v>0</v>
      </c>
      <c r="P457" s="17"/>
      <c r="Q457" s="1">
        <v>0</v>
      </c>
      <c r="R457" s="1">
        <v>0</v>
      </c>
      <c r="S457" s="20">
        <v>43739</v>
      </c>
      <c r="T457" s="1">
        <v>0</v>
      </c>
      <c r="U457" s="9">
        <v>0</v>
      </c>
      <c r="V457" s="9" t="s">
        <v>21</v>
      </c>
    </row>
    <row r="458" spans="1:22" x14ac:dyDescent="0.25">
      <c r="A458" s="10" t="s">
        <v>18</v>
      </c>
      <c r="B458" t="b">
        <v>0</v>
      </c>
      <c r="C458" t="b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f t="shared" si="23"/>
        <v>0</v>
      </c>
      <c r="K458" s="1">
        <v>0</v>
      </c>
      <c r="L458" s="1">
        <v>0</v>
      </c>
      <c r="M458" s="1">
        <v>0</v>
      </c>
      <c r="N458" s="1">
        <f t="shared" ref="N458:N500" si="25">K458+L458+M458</f>
        <v>0</v>
      </c>
      <c r="O458" s="14">
        <f t="shared" si="24"/>
        <v>0</v>
      </c>
      <c r="P458" s="17"/>
      <c r="Q458" s="1">
        <v>0</v>
      </c>
      <c r="R458" s="1">
        <v>0</v>
      </c>
      <c r="S458" s="20">
        <v>43770</v>
      </c>
      <c r="T458" s="1">
        <v>0</v>
      </c>
      <c r="U458" s="9">
        <v>0</v>
      </c>
      <c r="V458" s="9" t="s">
        <v>21</v>
      </c>
    </row>
    <row r="459" spans="1:22" x14ac:dyDescent="0.25">
      <c r="A459" s="10" t="s">
        <v>18</v>
      </c>
      <c r="B459" t="b">
        <v>0</v>
      </c>
      <c r="C459" t="b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f t="shared" si="23"/>
        <v>0</v>
      </c>
      <c r="K459" s="1">
        <v>0</v>
      </c>
      <c r="L459" s="1">
        <v>0</v>
      </c>
      <c r="M459" s="1">
        <v>0</v>
      </c>
      <c r="N459" s="1">
        <f t="shared" si="25"/>
        <v>0</v>
      </c>
      <c r="O459" s="14">
        <f t="shared" si="24"/>
        <v>0</v>
      </c>
      <c r="P459" s="17"/>
      <c r="Q459" s="1">
        <v>0</v>
      </c>
      <c r="R459" s="1">
        <v>0</v>
      </c>
      <c r="S459" s="20">
        <v>43800</v>
      </c>
      <c r="T459" s="1">
        <v>0</v>
      </c>
      <c r="U459" s="9">
        <v>0</v>
      </c>
      <c r="V459" s="9" t="s">
        <v>21</v>
      </c>
    </row>
    <row r="460" spans="1:22" x14ac:dyDescent="0.25">
      <c r="A460" s="10" t="s">
        <v>18</v>
      </c>
      <c r="B460" t="b">
        <v>0</v>
      </c>
      <c r="C460" t="b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f t="shared" si="23"/>
        <v>0</v>
      </c>
      <c r="K460" s="1">
        <v>0</v>
      </c>
      <c r="L460" s="1">
        <v>0</v>
      </c>
      <c r="M460" s="1">
        <v>0</v>
      </c>
      <c r="N460" s="1">
        <f t="shared" si="25"/>
        <v>0</v>
      </c>
      <c r="O460" s="14">
        <f t="shared" si="24"/>
        <v>0</v>
      </c>
      <c r="P460" s="17"/>
      <c r="Q460" s="1">
        <v>0</v>
      </c>
      <c r="R460" s="1">
        <v>0</v>
      </c>
      <c r="S460" s="20">
        <v>43831</v>
      </c>
      <c r="T460" s="1">
        <v>0</v>
      </c>
      <c r="U460" s="9">
        <v>0</v>
      </c>
      <c r="V460" s="9" t="s">
        <v>21</v>
      </c>
    </row>
    <row r="461" spans="1:22" x14ac:dyDescent="0.25">
      <c r="A461" s="10" t="s">
        <v>18</v>
      </c>
      <c r="B461" t="b">
        <v>0</v>
      </c>
      <c r="C461" t="b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f t="shared" si="23"/>
        <v>0</v>
      </c>
      <c r="K461" s="1">
        <v>0</v>
      </c>
      <c r="L461" s="1">
        <v>0</v>
      </c>
      <c r="M461" s="1">
        <v>0</v>
      </c>
      <c r="N461" s="1">
        <f t="shared" si="25"/>
        <v>0</v>
      </c>
      <c r="O461" s="14">
        <f t="shared" si="24"/>
        <v>0</v>
      </c>
      <c r="P461" s="17"/>
      <c r="Q461" s="1">
        <v>0</v>
      </c>
      <c r="R461" s="1">
        <v>0</v>
      </c>
      <c r="S461" s="20">
        <v>43862</v>
      </c>
      <c r="T461" s="1">
        <v>0</v>
      </c>
      <c r="U461" s="9">
        <v>0</v>
      </c>
      <c r="V461" s="9" t="s">
        <v>21</v>
      </c>
    </row>
    <row r="462" spans="1:22" x14ac:dyDescent="0.25">
      <c r="A462" s="10" t="s">
        <v>18</v>
      </c>
      <c r="B462" t="b">
        <v>0</v>
      </c>
      <c r="C462" t="b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f t="shared" si="23"/>
        <v>0</v>
      </c>
      <c r="K462" s="1">
        <v>0</v>
      </c>
      <c r="L462" s="1">
        <v>0</v>
      </c>
      <c r="M462" s="1">
        <v>0</v>
      </c>
      <c r="N462" s="1">
        <f t="shared" si="25"/>
        <v>0</v>
      </c>
      <c r="O462" s="14">
        <f t="shared" si="24"/>
        <v>0</v>
      </c>
      <c r="P462" s="17"/>
      <c r="Q462" s="1">
        <v>0</v>
      </c>
      <c r="R462" s="1">
        <v>0</v>
      </c>
      <c r="S462" s="20">
        <v>43891</v>
      </c>
      <c r="T462" s="1">
        <v>0</v>
      </c>
      <c r="U462" s="9">
        <v>0</v>
      </c>
      <c r="V462" s="9" t="s">
        <v>21</v>
      </c>
    </row>
    <row r="463" spans="1:22" x14ac:dyDescent="0.25">
      <c r="A463" s="10" t="s">
        <v>18</v>
      </c>
      <c r="B463" t="b">
        <v>0</v>
      </c>
      <c r="C463" t="b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f t="shared" si="23"/>
        <v>0</v>
      </c>
      <c r="K463" s="1">
        <v>0</v>
      </c>
      <c r="L463" s="1">
        <v>0</v>
      </c>
      <c r="M463" s="1">
        <v>0</v>
      </c>
      <c r="N463" s="1">
        <f t="shared" si="25"/>
        <v>0</v>
      </c>
      <c r="O463" s="14">
        <f t="shared" si="24"/>
        <v>0</v>
      </c>
      <c r="P463" s="17"/>
      <c r="Q463" s="1">
        <v>0</v>
      </c>
      <c r="R463" s="1">
        <v>0</v>
      </c>
      <c r="S463" s="20">
        <v>43922</v>
      </c>
      <c r="T463" s="1">
        <v>0</v>
      </c>
      <c r="U463" s="9">
        <v>0</v>
      </c>
      <c r="V463" s="9" t="s">
        <v>21</v>
      </c>
    </row>
    <row r="464" spans="1:22" x14ac:dyDescent="0.25">
      <c r="A464" s="10" t="s">
        <v>18</v>
      </c>
      <c r="B464" t="b">
        <v>0</v>
      </c>
      <c r="C464" t="b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f t="shared" si="23"/>
        <v>0</v>
      </c>
      <c r="K464" s="1">
        <v>0</v>
      </c>
      <c r="L464" s="1">
        <v>0</v>
      </c>
      <c r="M464" s="1">
        <v>0</v>
      </c>
      <c r="N464" s="1">
        <f t="shared" si="25"/>
        <v>0</v>
      </c>
      <c r="O464" s="14">
        <f t="shared" si="24"/>
        <v>0</v>
      </c>
      <c r="P464" s="17"/>
      <c r="Q464" s="1">
        <v>0</v>
      </c>
      <c r="R464" s="1">
        <v>0</v>
      </c>
      <c r="S464" s="20">
        <v>43952</v>
      </c>
      <c r="T464" s="1">
        <v>0</v>
      </c>
      <c r="U464" s="9">
        <v>0</v>
      </c>
      <c r="V464" s="9" t="s">
        <v>21</v>
      </c>
    </row>
    <row r="465" spans="1:22" x14ac:dyDescent="0.25">
      <c r="A465" s="10" t="s">
        <v>18</v>
      </c>
      <c r="B465" t="b">
        <v>0</v>
      </c>
      <c r="C465" t="b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f t="shared" si="23"/>
        <v>0</v>
      </c>
      <c r="K465" s="1">
        <v>0</v>
      </c>
      <c r="L465" s="1">
        <v>0</v>
      </c>
      <c r="M465" s="1">
        <v>0</v>
      </c>
      <c r="N465" s="1">
        <f t="shared" si="25"/>
        <v>0</v>
      </c>
      <c r="O465" s="14">
        <f t="shared" si="24"/>
        <v>0</v>
      </c>
      <c r="P465" s="17"/>
      <c r="Q465" s="1">
        <v>0</v>
      </c>
      <c r="R465" s="1">
        <v>0</v>
      </c>
      <c r="S465" s="20">
        <v>43983</v>
      </c>
      <c r="T465" s="1">
        <v>0</v>
      </c>
      <c r="U465" s="9">
        <v>0</v>
      </c>
      <c r="V465" s="9" t="s">
        <v>21</v>
      </c>
    </row>
    <row r="466" spans="1:22" x14ac:dyDescent="0.25">
      <c r="A466" s="10" t="s">
        <v>18</v>
      </c>
      <c r="B466" t="b">
        <v>0</v>
      </c>
      <c r="C466" t="b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f t="shared" si="23"/>
        <v>0</v>
      </c>
      <c r="K466" s="1">
        <v>0</v>
      </c>
      <c r="L466" s="1">
        <v>0</v>
      </c>
      <c r="M466" s="1">
        <v>0</v>
      </c>
      <c r="N466" s="1">
        <f t="shared" si="25"/>
        <v>0</v>
      </c>
      <c r="O466" s="14">
        <f t="shared" si="24"/>
        <v>0</v>
      </c>
      <c r="P466" s="17"/>
      <c r="Q466" s="1">
        <v>0</v>
      </c>
      <c r="R466" s="1">
        <v>0</v>
      </c>
      <c r="S466" s="20">
        <v>44013</v>
      </c>
      <c r="T466" s="1">
        <v>0</v>
      </c>
      <c r="U466" s="9">
        <v>0</v>
      </c>
      <c r="V466" s="9" t="s">
        <v>21</v>
      </c>
    </row>
    <row r="467" spans="1:22" x14ac:dyDescent="0.25">
      <c r="A467" s="10" t="s">
        <v>18</v>
      </c>
      <c r="B467" t="b">
        <v>0</v>
      </c>
      <c r="C467" t="b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f t="shared" si="23"/>
        <v>0</v>
      </c>
      <c r="K467" s="1">
        <v>0</v>
      </c>
      <c r="L467" s="1">
        <v>0</v>
      </c>
      <c r="M467" s="1">
        <v>0</v>
      </c>
      <c r="N467" s="1">
        <f t="shared" si="25"/>
        <v>0</v>
      </c>
      <c r="O467" s="14">
        <f t="shared" si="24"/>
        <v>0</v>
      </c>
      <c r="P467" s="17"/>
      <c r="Q467" s="1">
        <v>0</v>
      </c>
      <c r="R467" s="1">
        <v>0</v>
      </c>
      <c r="S467" s="20">
        <v>44013</v>
      </c>
      <c r="T467" s="1">
        <v>0</v>
      </c>
      <c r="U467" s="9">
        <v>0</v>
      </c>
      <c r="V467" s="9" t="s">
        <v>21</v>
      </c>
    </row>
    <row r="468" spans="1:22" x14ac:dyDescent="0.25">
      <c r="A468" s="10" t="s">
        <v>18</v>
      </c>
      <c r="B468" t="b">
        <v>0</v>
      </c>
      <c r="C468" t="b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f t="shared" si="23"/>
        <v>0</v>
      </c>
      <c r="K468" s="1">
        <v>0</v>
      </c>
      <c r="L468" s="1">
        <v>0</v>
      </c>
      <c r="M468" s="1">
        <v>0</v>
      </c>
      <c r="N468" s="1">
        <f t="shared" si="25"/>
        <v>0</v>
      </c>
      <c r="O468" s="14">
        <f t="shared" si="24"/>
        <v>0</v>
      </c>
      <c r="P468" s="17"/>
      <c r="Q468" s="1">
        <v>0</v>
      </c>
      <c r="R468" s="1">
        <v>0</v>
      </c>
      <c r="S468" s="20">
        <v>44044</v>
      </c>
      <c r="T468" s="1">
        <v>0</v>
      </c>
      <c r="U468" s="9">
        <v>0</v>
      </c>
      <c r="V468" s="9" t="s">
        <v>21</v>
      </c>
    </row>
    <row r="469" spans="1:22" x14ac:dyDescent="0.25">
      <c r="A469" s="10" t="s">
        <v>18</v>
      </c>
      <c r="B469" t="b">
        <v>0</v>
      </c>
      <c r="C469" t="b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f t="shared" si="23"/>
        <v>0</v>
      </c>
      <c r="K469" s="1">
        <v>0</v>
      </c>
      <c r="L469" s="1">
        <v>0</v>
      </c>
      <c r="M469" s="1">
        <v>0</v>
      </c>
      <c r="N469" s="1">
        <f t="shared" si="25"/>
        <v>0</v>
      </c>
      <c r="O469" s="14">
        <f t="shared" si="24"/>
        <v>0</v>
      </c>
      <c r="P469" s="17"/>
      <c r="Q469" s="1">
        <v>0</v>
      </c>
      <c r="R469" s="1">
        <v>0</v>
      </c>
      <c r="S469" s="20">
        <v>44044</v>
      </c>
      <c r="T469" s="1">
        <v>0</v>
      </c>
      <c r="U469" s="9">
        <v>0</v>
      </c>
      <c r="V469" s="9" t="s">
        <v>21</v>
      </c>
    </row>
    <row r="470" spans="1:22" x14ac:dyDescent="0.25">
      <c r="A470" s="10" t="s">
        <v>18</v>
      </c>
      <c r="B470" t="b">
        <v>0</v>
      </c>
      <c r="C470" t="b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f t="shared" si="23"/>
        <v>0</v>
      </c>
      <c r="K470" s="1">
        <v>0</v>
      </c>
      <c r="L470" s="1">
        <v>0</v>
      </c>
      <c r="M470" s="1">
        <v>0</v>
      </c>
      <c r="N470" s="1">
        <f t="shared" si="25"/>
        <v>0</v>
      </c>
      <c r="O470" s="14">
        <f t="shared" si="24"/>
        <v>0</v>
      </c>
      <c r="P470" s="17"/>
      <c r="Q470" s="1">
        <v>0</v>
      </c>
      <c r="R470" s="1">
        <v>0</v>
      </c>
      <c r="S470" s="20">
        <v>44075</v>
      </c>
      <c r="T470" s="1">
        <v>0</v>
      </c>
      <c r="U470" s="9">
        <v>0</v>
      </c>
      <c r="V470" s="9" t="s">
        <v>21</v>
      </c>
    </row>
    <row r="471" spans="1:22" x14ac:dyDescent="0.25">
      <c r="A471" s="10" t="s">
        <v>18</v>
      </c>
      <c r="B471" t="b">
        <v>0</v>
      </c>
      <c r="C471" t="b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f t="shared" si="23"/>
        <v>0</v>
      </c>
      <c r="K471" s="1">
        <v>0</v>
      </c>
      <c r="L471" s="1">
        <v>0</v>
      </c>
      <c r="M471" s="1">
        <v>0</v>
      </c>
      <c r="N471" s="1">
        <f t="shared" si="25"/>
        <v>0</v>
      </c>
      <c r="O471" s="14">
        <f t="shared" si="24"/>
        <v>0</v>
      </c>
      <c r="P471" s="17"/>
      <c r="Q471" s="1">
        <v>0</v>
      </c>
      <c r="R471" s="1">
        <v>0</v>
      </c>
      <c r="S471" s="20">
        <v>44105</v>
      </c>
      <c r="T471" s="1">
        <v>0</v>
      </c>
      <c r="U471" s="9">
        <v>0</v>
      </c>
      <c r="V471" s="9" t="s">
        <v>21</v>
      </c>
    </row>
    <row r="472" spans="1:22" x14ac:dyDescent="0.25">
      <c r="A472" s="10" t="s">
        <v>18</v>
      </c>
      <c r="B472" t="b">
        <v>0</v>
      </c>
      <c r="C472" t="b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f t="shared" si="23"/>
        <v>0</v>
      </c>
      <c r="K472" s="1">
        <v>0</v>
      </c>
      <c r="L472" s="1">
        <v>0</v>
      </c>
      <c r="M472" s="1">
        <v>0</v>
      </c>
      <c r="N472" s="1">
        <f t="shared" si="25"/>
        <v>0</v>
      </c>
      <c r="O472" s="14">
        <f t="shared" si="24"/>
        <v>0</v>
      </c>
      <c r="P472" s="17"/>
      <c r="Q472" s="1">
        <v>0</v>
      </c>
      <c r="R472" s="1">
        <v>0</v>
      </c>
      <c r="S472" s="20">
        <v>44136</v>
      </c>
      <c r="T472" s="1">
        <v>0</v>
      </c>
      <c r="U472" s="9">
        <v>0</v>
      </c>
      <c r="V472" s="9" t="s">
        <v>21</v>
      </c>
    </row>
    <row r="473" spans="1:22" x14ac:dyDescent="0.25">
      <c r="A473" s="10" t="s">
        <v>18</v>
      </c>
      <c r="B473" t="b">
        <v>0</v>
      </c>
      <c r="C473" t="b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f t="shared" si="23"/>
        <v>0</v>
      </c>
      <c r="K473" s="1">
        <v>0</v>
      </c>
      <c r="L473" s="1">
        <v>0</v>
      </c>
      <c r="M473" s="1">
        <v>0</v>
      </c>
      <c r="N473" s="1">
        <f t="shared" si="25"/>
        <v>0</v>
      </c>
      <c r="O473" s="14">
        <f t="shared" si="24"/>
        <v>0</v>
      </c>
      <c r="P473" s="17"/>
      <c r="Q473" s="1">
        <v>0</v>
      </c>
      <c r="R473" s="1">
        <v>0</v>
      </c>
      <c r="S473" s="20">
        <v>44166</v>
      </c>
      <c r="T473" s="1">
        <v>0</v>
      </c>
      <c r="U473" s="9">
        <v>0</v>
      </c>
      <c r="V473" s="9" t="s">
        <v>21</v>
      </c>
    </row>
    <row r="474" spans="1:22" x14ac:dyDescent="0.25">
      <c r="A474" s="10" t="s">
        <v>19</v>
      </c>
      <c r="B474" t="b">
        <v>0</v>
      </c>
      <c r="C474" t="b">
        <v>0</v>
      </c>
      <c r="D474" s="1">
        <v>0</v>
      </c>
      <c r="E474" s="1">
        <v>0</v>
      </c>
      <c r="F474" s="1">
        <v>0</v>
      </c>
      <c r="G474" s="1">
        <v>465</v>
      </c>
      <c r="H474" s="1">
        <v>0</v>
      </c>
      <c r="I474" s="1">
        <v>0</v>
      </c>
      <c r="J474" s="1">
        <f>D474+E474+F474+G474+H474+I474</f>
        <v>465</v>
      </c>
      <c r="K474" s="1">
        <v>194</v>
      </c>
      <c r="L474" s="1">
        <v>0</v>
      </c>
      <c r="M474" s="1">
        <v>0</v>
      </c>
      <c r="N474" s="1">
        <f t="shared" si="25"/>
        <v>194</v>
      </c>
      <c r="O474" s="14">
        <f>K474</f>
        <v>194</v>
      </c>
      <c r="P474" s="17">
        <f>J474</f>
        <v>465</v>
      </c>
      <c r="Q474" s="1">
        <v>0</v>
      </c>
      <c r="R474" s="1">
        <v>0</v>
      </c>
      <c r="S474" s="20">
        <v>37073</v>
      </c>
      <c r="T474" s="1">
        <v>659</v>
      </c>
      <c r="U474" s="9">
        <v>465</v>
      </c>
      <c r="V474" s="9" t="s">
        <v>46</v>
      </c>
    </row>
    <row r="475" spans="1:22" x14ac:dyDescent="0.25">
      <c r="A475" s="10" t="s">
        <v>19</v>
      </c>
      <c r="B475" t="b">
        <v>0</v>
      </c>
      <c r="C475" t="b">
        <v>0</v>
      </c>
      <c r="D475" s="1">
        <v>0</v>
      </c>
      <c r="E475" s="1">
        <v>0</v>
      </c>
      <c r="F475" s="1">
        <v>0</v>
      </c>
      <c r="G475" s="1">
        <v>984</v>
      </c>
      <c r="H475" s="1">
        <v>0</v>
      </c>
      <c r="I475" s="1">
        <v>0</v>
      </c>
      <c r="J475" s="1">
        <f t="shared" ref="J475:J538" si="26">D475+E475+F475+G475+H475+I475</f>
        <v>984</v>
      </c>
      <c r="K475" s="1">
        <v>0</v>
      </c>
      <c r="L475" s="1">
        <v>0</v>
      </c>
      <c r="M475" s="1">
        <v>0</v>
      </c>
      <c r="N475" s="1">
        <f t="shared" si="25"/>
        <v>0</v>
      </c>
      <c r="O475" s="14">
        <f t="shared" ref="O475:O538" si="27">K475</f>
        <v>0</v>
      </c>
      <c r="P475" s="17">
        <f t="shared" ref="P475:P538" si="28">J475</f>
        <v>984</v>
      </c>
      <c r="Q475" s="1">
        <v>0</v>
      </c>
      <c r="R475" s="1">
        <v>0</v>
      </c>
      <c r="S475" s="20">
        <v>37104</v>
      </c>
      <c r="T475" s="1">
        <v>984</v>
      </c>
      <c r="U475" s="9">
        <v>984</v>
      </c>
      <c r="V475" s="9" t="s">
        <v>46</v>
      </c>
    </row>
    <row r="476" spans="1:22" x14ac:dyDescent="0.25">
      <c r="A476" s="10" t="s">
        <v>19</v>
      </c>
      <c r="B476" t="b">
        <v>0</v>
      </c>
      <c r="C476" t="b">
        <v>0</v>
      </c>
      <c r="D476" s="1">
        <v>0</v>
      </c>
      <c r="E476" s="1">
        <v>0</v>
      </c>
      <c r="F476" s="1">
        <v>0</v>
      </c>
      <c r="G476" s="1">
        <v>679</v>
      </c>
      <c r="H476" s="1">
        <v>0</v>
      </c>
      <c r="I476" s="1">
        <v>0</v>
      </c>
      <c r="J476" s="1">
        <f t="shared" si="26"/>
        <v>679</v>
      </c>
      <c r="K476" s="1">
        <v>254</v>
      </c>
      <c r="L476" s="1">
        <v>0</v>
      </c>
      <c r="M476" s="1">
        <v>0</v>
      </c>
      <c r="N476" s="1">
        <f t="shared" si="25"/>
        <v>254</v>
      </c>
      <c r="O476" s="14">
        <f t="shared" si="27"/>
        <v>254</v>
      </c>
      <c r="P476" s="17">
        <f t="shared" si="28"/>
        <v>679</v>
      </c>
      <c r="Q476" s="1">
        <v>0</v>
      </c>
      <c r="R476" s="1">
        <v>0</v>
      </c>
      <c r="S476" s="20">
        <v>37135</v>
      </c>
      <c r="T476" s="1">
        <v>933</v>
      </c>
      <c r="U476" s="9">
        <v>679</v>
      </c>
      <c r="V476" s="9" t="s">
        <v>46</v>
      </c>
    </row>
    <row r="477" spans="1:22" x14ac:dyDescent="0.25">
      <c r="A477" s="10" t="s">
        <v>19</v>
      </c>
      <c r="B477" t="b">
        <v>0</v>
      </c>
      <c r="C477" t="b">
        <v>0</v>
      </c>
      <c r="D477" s="1">
        <v>0</v>
      </c>
      <c r="E477" s="1">
        <v>0</v>
      </c>
      <c r="F477" s="1">
        <v>0</v>
      </c>
      <c r="G477" s="1">
        <v>335</v>
      </c>
      <c r="H477" s="1">
        <v>0</v>
      </c>
      <c r="I477" s="1">
        <v>0</v>
      </c>
      <c r="J477" s="1">
        <f t="shared" si="26"/>
        <v>335</v>
      </c>
      <c r="K477" s="1">
        <v>126</v>
      </c>
      <c r="L477" s="1">
        <v>0</v>
      </c>
      <c r="M477" s="1">
        <v>0</v>
      </c>
      <c r="N477" s="1">
        <f t="shared" si="25"/>
        <v>126</v>
      </c>
      <c r="O477" s="14">
        <f t="shared" si="27"/>
        <v>126</v>
      </c>
      <c r="P477" s="17">
        <f t="shared" si="28"/>
        <v>335</v>
      </c>
      <c r="Q477" s="1">
        <v>0</v>
      </c>
      <c r="R477" s="1">
        <v>0</v>
      </c>
      <c r="S477" s="20">
        <v>37165</v>
      </c>
      <c r="T477" s="1">
        <v>461</v>
      </c>
      <c r="U477" s="9">
        <v>335</v>
      </c>
      <c r="V477" s="9" t="s">
        <v>46</v>
      </c>
    </row>
    <row r="478" spans="1:22" x14ac:dyDescent="0.25">
      <c r="A478" s="10" t="s">
        <v>19</v>
      </c>
      <c r="B478" t="b">
        <v>0</v>
      </c>
      <c r="C478" t="b">
        <v>0</v>
      </c>
      <c r="D478" s="1">
        <v>0</v>
      </c>
      <c r="E478" s="1">
        <v>0</v>
      </c>
      <c r="F478" s="1">
        <v>0</v>
      </c>
      <c r="G478" s="1">
        <v>266</v>
      </c>
      <c r="H478" s="1">
        <v>0</v>
      </c>
      <c r="I478" s="1">
        <v>0</v>
      </c>
      <c r="J478" s="1">
        <f t="shared" si="26"/>
        <v>266</v>
      </c>
      <c r="K478" s="1">
        <v>0</v>
      </c>
      <c r="L478" s="1">
        <v>0</v>
      </c>
      <c r="M478" s="1">
        <v>0</v>
      </c>
      <c r="N478" s="1">
        <f t="shared" si="25"/>
        <v>0</v>
      </c>
      <c r="O478" s="14">
        <f t="shared" si="27"/>
        <v>0</v>
      </c>
      <c r="P478" s="17">
        <f t="shared" si="28"/>
        <v>266</v>
      </c>
      <c r="Q478" s="1">
        <v>0</v>
      </c>
      <c r="R478" s="1">
        <v>0</v>
      </c>
      <c r="S478" s="20">
        <v>37196</v>
      </c>
      <c r="T478" s="1">
        <v>266</v>
      </c>
      <c r="U478" s="9">
        <v>266</v>
      </c>
      <c r="V478" s="9" t="s">
        <v>46</v>
      </c>
    </row>
    <row r="479" spans="1:22" x14ac:dyDescent="0.25">
      <c r="A479" s="10" t="s">
        <v>19</v>
      </c>
      <c r="B479" t="b">
        <v>0</v>
      </c>
      <c r="C479" t="b">
        <v>0</v>
      </c>
      <c r="D479" s="1">
        <v>0</v>
      </c>
      <c r="E479" s="1">
        <v>0</v>
      </c>
      <c r="F479" s="1">
        <v>0</v>
      </c>
      <c r="G479" s="1">
        <v>284</v>
      </c>
      <c r="H479" s="1">
        <v>0</v>
      </c>
      <c r="I479" s="1">
        <v>0</v>
      </c>
      <c r="J479" s="1">
        <f t="shared" si="26"/>
        <v>284</v>
      </c>
      <c r="K479" s="1">
        <v>140</v>
      </c>
      <c r="L479" s="1">
        <v>0</v>
      </c>
      <c r="M479" s="1">
        <v>0</v>
      </c>
      <c r="N479" s="1">
        <f t="shared" si="25"/>
        <v>140</v>
      </c>
      <c r="O479" s="14">
        <f t="shared" si="27"/>
        <v>140</v>
      </c>
      <c r="P479" s="17">
        <f t="shared" si="28"/>
        <v>284</v>
      </c>
      <c r="Q479" s="1">
        <v>0</v>
      </c>
      <c r="R479" s="1">
        <v>0</v>
      </c>
      <c r="S479" s="20">
        <v>37226</v>
      </c>
      <c r="T479" s="1">
        <v>424</v>
      </c>
      <c r="U479" s="9">
        <v>284</v>
      </c>
      <c r="V479" s="9" t="s">
        <v>46</v>
      </c>
    </row>
    <row r="480" spans="1:22" x14ac:dyDescent="0.25">
      <c r="A480" s="10" t="s">
        <v>19</v>
      </c>
      <c r="B480" t="b">
        <v>0</v>
      </c>
      <c r="C480" t="b">
        <v>0</v>
      </c>
      <c r="D480" s="1">
        <v>0</v>
      </c>
      <c r="E480" s="1">
        <v>0</v>
      </c>
      <c r="F480" s="1">
        <v>0</v>
      </c>
      <c r="G480" s="1">
        <v>339</v>
      </c>
      <c r="H480" s="1">
        <v>0</v>
      </c>
      <c r="I480" s="1">
        <v>0</v>
      </c>
      <c r="J480" s="1">
        <f t="shared" si="26"/>
        <v>339</v>
      </c>
      <c r="K480" s="1">
        <v>0</v>
      </c>
      <c r="L480" s="1">
        <v>0</v>
      </c>
      <c r="M480" s="1">
        <v>0</v>
      </c>
      <c r="N480" s="1">
        <f t="shared" si="25"/>
        <v>0</v>
      </c>
      <c r="O480" s="14">
        <f t="shared" si="27"/>
        <v>0</v>
      </c>
      <c r="P480" s="17">
        <f t="shared" si="28"/>
        <v>339</v>
      </c>
      <c r="Q480" s="1">
        <v>0</v>
      </c>
      <c r="R480" s="1">
        <v>0</v>
      </c>
      <c r="S480" s="20">
        <v>37257</v>
      </c>
      <c r="T480" s="1">
        <v>339</v>
      </c>
      <c r="U480" s="9">
        <v>339</v>
      </c>
      <c r="V480" s="9" t="s">
        <v>46</v>
      </c>
    </row>
    <row r="481" spans="1:22" x14ac:dyDescent="0.25">
      <c r="A481" s="10" t="s">
        <v>19</v>
      </c>
      <c r="B481" t="b">
        <v>0</v>
      </c>
      <c r="C481" t="b">
        <v>0</v>
      </c>
      <c r="D481" s="1">
        <v>0</v>
      </c>
      <c r="E481" s="1">
        <v>0</v>
      </c>
      <c r="F481" s="1">
        <v>0</v>
      </c>
      <c r="G481" s="1">
        <v>202</v>
      </c>
      <c r="H481" s="1">
        <v>0</v>
      </c>
      <c r="I481" s="1">
        <v>0</v>
      </c>
      <c r="J481" s="1">
        <f t="shared" si="26"/>
        <v>202</v>
      </c>
      <c r="K481" s="1">
        <v>73</v>
      </c>
      <c r="L481" s="1">
        <v>0</v>
      </c>
      <c r="M481" s="1">
        <v>0</v>
      </c>
      <c r="N481" s="1">
        <f t="shared" si="25"/>
        <v>73</v>
      </c>
      <c r="O481" s="14">
        <f t="shared" si="27"/>
        <v>73</v>
      </c>
      <c r="P481" s="17">
        <f t="shared" si="28"/>
        <v>202</v>
      </c>
      <c r="Q481" s="1">
        <v>0</v>
      </c>
      <c r="R481" s="1">
        <v>0</v>
      </c>
      <c r="S481" s="20">
        <v>37288</v>
      </c>
      <c r="T481" s="1">
        <v>275</v>
      </c>
      <c r="U481" s="9">
        <v>202</v>
      </c>
      <c r="V481" s="9" t="s">
        <v>46</v>
      </c>
    </row>
    <row r="482" spans="1:22" x14ac:dyDescent="0.25">
      <c r="A482" s="10" t="s">
        <v>19</v>
      </c>
      <c r="B482" t="b">
        <v>0</v>
      </c>
      <c r="C482" t="b">
        <v>0</v>
      </c>
      <c r="D482" s="1">
        <v>0</v>
      </c>
      <c r="E482" s="1">
        <v>0</v>
      </c>
      <c r="F482" s="1">
        <v>0</v>
      </c>
      <c r="G482" s="1">
        <v>246</v>
      </c>
      <c r="H482" s="1">
        <v>0</v>
      </c>
      <c r="I482" s="1">
        <v>0</v>
      </c>
      <c r="J482" s="1">
        <f t="shared" si="26"/>
        <v>246</v>
      </c>
      <c r="K482" s="1">
        <v>73</v>
      </c>
      <c r="L482" s="1">
        <v>0</v>
      </c>
      <c r="M482" s="1">
        <v>0</v>
      </c>
      <c r="N482" s="1">
        <f t="shared" si="25"/>
        <v>73</v>
      </c>
      <c r="O482" s="14">
        <f t="shared" si="27"/>
        <v>73</v>
      </c>
      <c r="P482" s="17">
        <f t="shared" si="28"/>
        <v>246</v>
      </c>
      <c r="Q482" s="1">
        <v>0</v>
      </c>
      <c r="R482" s="1">
        <v>0</v>
      </c>
      <c r="S482" s="20">
        <v>37316</v>
      </c>
      <c r="T482" s="1">
        <v>319</v>
      </c>
      <c r="U482" s="9">
        <v>246</v>
      </c>
      <c r="V482" s="9" t="s">
        <v>46</v>
      </c>
    </row>
    <row r="483" spans="1:22" x14ac:dyDescent="0.25">
      <c r="A483" s="10" t="s">
        <v>19</v>
      </c>
      <c r="B483" t="b">
        <v>0</v>
      </c>
      <c r="C483" t="b">
        <v>0</v>
      </c>
      <c r="D483" s="1">
        <v>0</v>
      </c>
      <c r="E483" s="1">
        <v>0</v>
      </c>
      <c r="F483" s="1">
        <v>0</v>
      </c>
      <c r="G483" s="1">
        <v>360</v>
      </c>
      <c r="H483" s="1">
        <v>0</v>
      </c>
      <c r="I483" s="1">
        <v>0</v>
      </c>
      <c r="J483" s="1">
        <f t="shared" si="26"/>
        <v>360</v>
      </c>
      <c r="K483" s="1">
        <v>55</v>
      </c>
      <c r="L483" s="1">
        <v>0</v>
      </c>
      <c r="M483" s="1">
        <v>0</v>
      </c>
      <c r="N483" s="1">
        <f t="shared" si="25"/>
        <v>55</v>
      </c>
      <c r="O483" s="14">
        <f t="shared" si="27"/>
        <v>55</v>
      </c>
      <c r="P483" s="17">
        <f t="shared" si="28"/>
        <v>360</v>
      </c>
      <c r="Q483" s="1">
        <v>0</v>
      </c>
      <c r="R483" s="1">
        <v>0</v>
      </c>
      <c r="S483" s="20">
        <v>37347</v>
      </c>
      <c r="T483" s="1">
        <v>415</v>
      </c>
      <c r="U483" s="9">
        <v>360</v>
      </c>
      <c r="V483" s="9" t="s">
        <v>46</v>
      </c>
    </row>
    <row r="484" spans="1:22" x14ac:dyDescent="0.25">
      <c r="A484" s="10" t="s">
        <v>19</v>
      </c>
      <c r="B484" t="b">
        <v>0</v>
      </c>
      <c r="C484" t="b">
        <v>0</v>
      </c>
      <c r="D484" s="1">
        <v>0</v>
      </c>
      <c r="E484" s="1">
        <v>0</v>
      </c>
      <c r="F484" s="1">
        <v>0</v>
      </c>
      <c r="G484" s="1">
        <v>685</v>
      </c>
      <c r="H484" s="1">
        <v>0</v>
      </c>
      <c r="I484" s="1">
        <v>0</v>
      </c>
      <c r="J484" s="1">
        <f t="shared" si="26"/>
        <v>685</v>
      </c>
      <c r="K484" s="1">
        <v>185</v>
      </c>
      <c r="L484" s="1">
        <v>0</v>
      </c>
      <c r="M484" s="1">
        <v>0</v>
      </c>
      <c r="N484" s="1">
        <f t="shared" si="25"/>
        <v>185</v>
      </c>
      <c r="O484" s="14">
        <f t="shared" si="27"/>
        <v>185</v>
      </c>
      <c r="P484" s="17">
        <f t="shared" si="28"/>
        <v>685</v>
      </c>
      <c r="Q484" s="1">
        <v>0</v>
      </c>
      <c r="R484" s="1">
        <v>0</v>
      </c>
      <c r="S484" s="20">
        <v>37377</v>
      </c>
      <c r="T484" s="1">
        <v>870</v>
      </c>
      <c r="U484" s="9">
        <v>685</v>
      </c>
      <c r="V484" s="9" t="s">
        <v>46</v>
      </c>
    </row>
    <row r="485" spans="1:22" x14ac:dyDescent="0.25">
      <c r="A485" s="10" t="s">
        <v>19</v>
      </c>
      <c r="B485" t="b">
        <v>0</v>
      </c>
      <c r="C485" t="b">
        <v>0</v>
      </c>
      <c r="D485" s="1">
        <v>0</v>
      </c>
      <c r="E485" s="1">
        <v>0</v>
      </c>
      <c r="F485" s="1">
        <v>0</v>
      </c>
      <c r="G485" s="1">
        <v>505</v>
      </c>
      <c r="H485" s="1">
        <v>0</v>
      </c>
      <c r="I485" s="1">
        <v>0</v>
      </c>
      <c r="J485" s="1">
        <f t="shared" si="26"/>
        <v>505</v>
      </c>
      <c r="K485" s="1">
        <v>96</v>
      </c>
      <c r="L485" s="1">
        <v>0</v>
      </c>
      <c r="M485" s="1">
        <v>0</v>
      </c>
      <c r="N485" s="1">
        <f t="shared" si="25"/>
        <v>96</v>
      </c>
      <c r="O485" s="14">
        <f t="shared" si="27"/>
        <v>96</v>
      </c>
      <c r="P485" s="17">
        <f t="shared" si="28"/>
        <v>505</v>
      </c>
      <c r="Q485" s="1">
        <v>0</v>
      </c>
      <c r="R485" s="1">
        <v>0</v>
      </c>
      <c r="S485" s="20">
        <v>37408</v>
      </c>
      <c r="T485" s="1">
        <v>601</v>
      </c>
      <c r="U485" s="9">
        <v>505</v>
      </c>
      <c r="V485" s="9" t="s">
        <v>46</v>
      </c>
    </row>
    <row r="486" spans="1:22" x14ac:dyDescent="0.25">
      <c r="A486" s="10" t="s">
        <v>19</v>
      </c>
      <c r="B486" t="b">
        <v>0</v>
      </c>
      <c r="C486" t="b">
        <v>0</v>
      </c>
      <c r="D486" s="1">
        <v>0</v>
      </c>
      <c r="E486" s="1">
        <v>0</v>
      </c>
      <c r="F486" s="1">
        <v>0</v>
      </c>
      <c r="G486" s="1">
        <v>570</v>
      </c>
      <c r="H486" s="1">
        <v>0</v>
      </c>
      <c r="I486" s="1">
        <v>0</v>
      </c>
      <c r="J486" s="1">
        <f t="shared" si="26"/>
        <v>570</v>
      </c>
      <c r="K486" s="1">
        <v>0</v>
      </c>
      <c r="L486" s="1">
        <v>0</v>
      </c>
      <c r="M486" s="1">
        <v>0</v>
      </c>
      <c r="N486" s="1">
        <f t="shared" si="25"/>
        <v>0</v>
      </c>
      <c r="O486" s="14">
        <f t="shared" si="27"/>
        <v>0</v>
      </c>
      <c r="P486" s="17">
        <f t="shared" si="28"/>
        <v>570</v>
      </c>
      <c r="Q486" s="1">
        <v>0</v>
      </c>
      <c r="R486" s="1">
        <v>0</v>
      </c>
      <c r="S486" s="20">
        <v>37438</v>
      </c>
      <c r="T486" s="1">
        <v>570</v>
      </c>
      <c r="U486" s="9">
        <v>570</v>
      </c>
      <c r="V486" s="9" t="s">
        <v>46</v>
      </c>
    </row>
    <row r="487" spans="1:22" x14ac:dyDescent="0.25">
      <c r="A487" s="10" t="s">
        <v>19</v>
      </c>
      <c r="B487" t="b">
        <v>0</v>
      </c>
      <c r="C487" t="b">
        <v>0</v>
      </c>
      <c r="D487" s="1">
        <v>0</v>
      </c>
      <c r="E487" s="1">
        <v>0</v>
      </c>
      <c r="F487" s="1">
        <v>0</v>
      </c>
      <c r="G487" s="1">
        <v>1193</v>
      </c>
      <c r="H487" s="1">
        <v>0</v>
      </c>
      <c r="I487" s="1">
        <v>0</v>
      </c>
      <c r="J487" s="1">
        <f t="shared" si="26"/>
        <v>1193</v>
      </c>
      <c r="K487" s="1">
        <v>286</v>
      </c>
      <c r="L487" s="1">
        <v>0</v>
      </c>
      <c r="M487" s="1">
        <v>0</v>
      </c>
      <c r="N487" s="1">
        <f t="shared" si="25"/>
        <v>286</v>
      </c>
      <c r="O487" s="14">
        <f t="shared" si="27"/>
        <v>286</v>
      </c>
      <c r="P487" s="17">
        <f t="shared" si="28"/>
        <v>1193</v>
      </c>
      <c r="Q487" s="1">
        <v>0</v>
      </c>
      <c r="R487" s="1">
        <v>0</v>
      </c>
      <c r="S487" s="20">
        <v>37469</v>
      </c>
      <c r="T487" s="1">
        <v>1479</v>
      </c>
      <c r="U487" s="9">
        <v>1193</v>
      </c>
      <c r="V487" s="9" t="s">
        <v>46</v>
      </c>
    </row>
    <row r="488" spans="1:22" x14ac:dyDescent="0.25">
      <c r="A488" s="10" t="s">
        <v>19</v>
      </c>
      <c r="B488" t="b">
        <v>0</v>
      </c>
      <c r="C488" t="b">
        <v>0</v>
      </c>
      <c r="D488" s="1">
        <v>0</v>
      </c>
      <c r="E488" s="1">
        <v>0</v>
      </c>
      <c r="F488" s="1">
        <v>0</v>
      </c>
      <c r="G488" s="1">
        <v>872</v>
      </c>
      <c r="H488" s="1">
        <v>0</v>
      </c>
      <c r="I488" s="1">
        <v>0</v>
      </c>
      <c r="J488" s="1">
        <f t="shared" si="26"/>
        <v>872</v>
      </c>
      <c r="K488" s="1">
        <v>423</v>
      </c>
      <c r="L488" s="1">
        <v>0</v>
      </c>
      <c r="M488" s="1">
        <v>0</v>
      </c>
      <c r="N488" s="1">
        <f t="shared" si="25"/>
        <v>423</v>
      </c>
      <c r="O488" s="14">
        <f t="shared" si="27"/>
        <v>423</v>
      </c>
      <c r="P488" s="17">
        <f t="shared" si="28"/>
        <v>872</v>
      </c>
      <c r="Q488" s="1">
        <v>0</v>
      </c>
      <c r="R488" s="1">
        <v>0</v>
      </c>
      <c r="S488" s="20">
        <v>37500</v>
      </c>
      <c r="T488" s="1">
        <v>1295</v>
      </c>
      <c r="U488" s="9">
        <v>872</v>
      </c>
      <c r="V488" s="9" t="s">
        <v>46</v>
      </c>
    </row>
    <row r="489" spans="1:22" x14ac:dyDescent="0.25">
      <c r="A489" s="10" t="s">
        <v>19</v>
      </c>
      <c r="B489" t="b">
        <v>0</v>
      </c>
      <c r="C489" t="b">
        <v>0</v>
      </c>
      <c r="D489" s="1">
        <v>0</v>
      </c>
      <c r="E489" s="1">
        <v>0</v>
      </c>
      <c r="F489" s="1">
        <v>0</v>
      </c>
      <c r="G489" s="1">
        <v>567</v>
      </c>
      <c r="H489" s="1">
        <v>0</v>
      </c>
      <c r="I489" s="1">
        <v>0</v>
      </c>
      <c r="J489" s="1">
        <f t="shared" si="26"/>
        <v>567</v>
      </c>
      <c r="K489" s="1">
        <v>219</v>
      </c>
      <c r="L489" s="1">
        <v>0</v>
      </c>
      <c r="M489" s="1">
        <v>0</v>
      </c>
      <c r="N489" s="1">
        <f t="shared" si="25"/>
        <v>219</v>
      </c>
      <c r="O489" s="14">
        <f t="shared" si="27"/>
        <v>219</v>
      </c>
      <c r="P489" s="17">
        <f t="shared" si="28"/>
        <v>567</v>
      </c>
      <c r="Q489" s="1">
        <v>0</v>
      </c>
      <c r="R489" s="1">
        <v>0</v>
      </c>
      <c r="S489" s="20">
        <v>37530</v>
      </c>
      <c r="T489" s="1">
        <v>786</v>
      </c>
      <c r="U489" s="9">
        <v>567</v>
      </c>
      <c r="V489" s="9" t="s">
        <v>46</v>
      </c>
    </row>
    <row r="490" spans="1:22" x14ac:dyDescent="0.25">
      <c r="A490" s="10" t="s">
        <v>19</v>
      </c>
      <c r="B490" t="b">
        <v>0</v>
      </c>
      <c r="C490" t="b">
        <v>0</v>
      </c>
      <c r="D490" s="1">
        <v>0</v>
      </c>
      <c r="E490" s="1">
        <v>0</v>
      </c>
      <c r="F490" s="1">
        <v>0</v>
      </c>
      <c r="G490" s="1">
        <v>378</v>
      </c>
      <c r="H490" s="1">
        <v>0</v>
      </c>
      <c r="I490" s="1">
        <v>0</v>
      </c>
      <c r="J490" s="1">
        <f t="shared" si="26"/>
        <v>378</v>
      </c>
      <c r="K490" s="1">
        <v>181</v>
      </c>
      <c r="L490" s="1">
        <v>0</v>
      </c>
      <c r="M490" s="1">
        <v>0</v>
      </c>
      <c r="N490" s="1">
        <f t="shared" si="25"/>
        <v>181</v>
      </c>
      <c r="O490" s="14">
        <f t="shared" si="27"/>
        <v>181</v>
      </c>
      <c r="P490" s="17">
        <f t="shared" si="28"/>
        <v>378</v>
      </c>
      <c r="Q490" s="1">
        <v>0</v>
      </c>
      <c r="R490" s="1">
        <v>0</v>
      </c>
      <c r="S490" s="20">
        <v>37561</v>
      </c>
      <c r="T490" s="1">
        <v>559</v>
      </c>
      <c r="U490" s="9">
        <v>378</v>
      </c>
      <c r="V490" s="9" t="s">
        <v>46</v>
      </c>
    </row>
    <row r="491" spans="1:22" x14ac:dyDescent="0.25">
      <c r="A491" s="10" t="s">
        <v>19</v>
      </c>
      <c r="B491" t="b">
        <v>0</v>
      </c>
      <c r="C491" t="b">
        <v>0</v>
      </c>
      <c r="D491" s="1">
        <v>0</v>
      </c>
      <c r="E491" s="1">
        <v>0</v>
      </c>
      <c r="F491" s="1">
        <v>0</v>
      </c>
      <c r="G491" s="1">
        <v>393</v>
      </c>
      <c r="H491" s="1">
        <v>0</v>
      </c>
      <c r="I491" s="1">
        <v>0</v>
      </c>
      <c r="J491" s="1">
        <f t="shared" si="26"/>
        <v>393</v>
      </c>
      <c r="K491" s="1">
        <v>228</v>
      </c>
      <c r="L491" s="1">
        <v>0</v>
      </c>
      <c r="M491" s="1">
        <v>0</v>
      </c>
      <c r="N491" s="1">
        <f t="shared" si="25"/>
        <v>228</v>
      </c>
      <c r="O491" s="14">
        <f t="shared" si="27"/>
        <v>228</v>
      </c>
      <c r="P491" s="17">
        <f t="shared" si="28"/>
        <v>393</v>
      </c>
      <c r="Q491" s="1">
        <v>0</v>
      </c>
      <c r="R491" s="1">
        <v>0</v>
      </c>
      <c r="S491" s="20">
        <v>37591</v>
      </c>
      <c r="T491" s="1">
        <v>621</v>
      </c>
      <c r="U491" s="9">
        <v>393</v>
      </c>
      <c r="V491" s="9" t="s">
        <v>46</v>
      </c>
    </row>
    <row r="492" spans="1:22" x14ac:dyDescent="0.25">
      <c r="A492" s="10" t="s">
        <v>19</v>
      </c>
      <c r="B492" t="b">
        <v>0</v>
      </c>
      <c r="C492" t="b">
        <v>0</v>
      </c>
      <c r="D492" s="1">
        <v>0</v>
      </c>
      <c r="E492" s="1">
        <v>0</v>
      </c>
      <c r="F492" s="1">
        <v>0</v>
      </c>
      <c r="G492" s="1">
        <v>420</v>
      </c>
      <c r="H492" s="1">
        <v>0</v>
      </c>
      <c r="I492" s="1">
        <v>0</v>
      </c>
      <c r="J492" s="1">
        <f t="shared" si="26"/>
        <v>420</v>
      </c>
      <c r="K492" s="1">
        <v>140</v>
      </c>
      <c r="L492" s="1">
        <v>0</v>
      </c>
      <c r="M492" s="1">
        <v>0</v>
      </c>
      <c r="N492" s="1">
        <f t="shared" si="25"/>
        <v>140</v>
      </c>
      <c r="O492" s="14">
        <f t="shared" si="27"/>
        <v>140</v>
      </c>
      <c r="P492" s="17">
        <f t="shared" si="28"/>
        <v>420</v>
      </c>
      <c r="Q492" s="1">
        <v>0</v>
      </c>
      <c r="R492" s="1">
        <v>0</v>
      </c>
      <c r="S492" s="20">
        <v>37622</v>
      </c>
      <c r="T492" s="1">
        <v>560</v>
      </c>
      <c r="U492" s="9">
        <v>420</v>
      </c>
      <c r="V492" s="9" t="s">
        <v>21</v>
      </c>
    </row>
    <row r="493" spans="1:22" x14ac:dyDescent="0.25">
      <c r="A493" s="10" t="s">
        <v>19</v>
      </c>
      <c r="B493" t="b">
        <v>0</v>
      </c>
      <c r="C493" t="b">
        <v>0</v>
      </c>
      <c r="D493" s="1">
        <v>0</v>
      </c>
      <c r="E493" s="1">
        <v>0</v>
      </c>
      <c r="F493" s="1">
        <v>0</v>
      </c>
      <c r="G493" s="1">
        <v>411</v>
      </c>
      <c r="H493" s="1">
        <v>0</v>
      </c>
      <c r="I493" s="1">
        <v>0</v>
      </c>
      <c r="J493" s="1">
        <f t="shared" si="26"/>
        <v>411</v>
      </c>
      <c r="K493" s="1">
        <v>12</v>
      </c>
      <c r="L493" s="1">
        <v>0</v>
      </c>
      <c r="M493" s="1">
        <v>0</v>
      </c>
      <c r="N493" s="1">
        <f t="shared" si="25"/>
        <v>12</v>
      </c>
      <c r="O493" s="14">
        <f t="shared" si="27"/>
        <v>12</v>
      </c>
      <c r="P493" s="17">
        <f t="shared" si="28"/>
        <v>411</v>
      </c>
      <c r="Q493" s="1">
        <v>0</v>
      </c>
      <c r="R493" s="1">
        <v>0</v>
      </c>
      <c r="S493" s="20">
        <v>37653</v>
      </c>
      <c r="T493" s="1">
        <v>423</v>
      </c>
      <c r="U493" s="9">
        <v>411</v>
      </c>
      <c r="V493" s="9" t="s">
        <v>21</v>
      </c>
    </row>
    <row r="494" spans="1:22" x14ac:dyDescent="0.25">
      <c r="A494" s="10" t="s">
        <v>19</v>
      </c>
      <c r="B494" t="b">
        <v>0</v>
      </c>
      <c r="C494" t="b">
        <v>0</v>
      </c>
      <c r="D494" s="1">
        <v>0</v>
      </c>
      <c r="E494" s="1">
        <v>0</v>
      </c>
      <c r="F494" s="1">
        <v>0</v>
      </c>
      <c r="G494" s="1">
        <v>410</v>
      </c>
      <c r="H494" s="1">
        <v>0</v>
      </c>
      <c r="I494" s="1">
        <v>0</v>
      </c>
      <c r="J494" s="1">
        <f t="shared" si="26"/>
        <v>410</v>
      </c>
      <c r="K494" s="1">
        <v>161</v>
      </c>
      <c r="L494" s="1">
        <v>0</v>
      </c>
      <c r="M494" s="1">
        <v>0</v>
      </c>
      <c r="N494" s="1">
        <f t="shared" si="25"/>
        <v>161</v>
      </c>
      <c r="O494" s="14">
        <f t="shared" si="27"/>
        <v>161</v>
      </c>
      <c r="P494" s="17">
        <f t="shared" si="28"/>
        <v>410</v>
      </c>
      <c r="Q494" s="1">
        <v>0</v>
      </c>
      <c r="R494" s="1">
        <v>0</v>
      </c>
      <c r="S494" s="20">
        <v>37681</v>
      </c>
      <c r="T494" s="1">
        <v>571</v>
      </c>
      <c r="U494" s="9">
        <v>410</v>
      </c>
      <c r="V494" s="9" t="s">
        <v>21</v>
      </c>
    </row>
    <row r="495" spans="1:22" x14ac:dyDescent="0.25">
      <c r="A495" s="10" t="s">
        <v>19</v>
      </c>
      <c r="B495" t="b">
        <v>0</v>
      </c>
      <c r="C495" t="b">
        <v>0</v>
      </c>
      <c r="D495" s="1">
        <v>0</v>
      </c>
      <c r="E495" s="1">
        <v>0</v>
      </c>
      <c r="F495" s="1">
        <v>0</v>
      </c>
      <c r="G495" s="1">
        <v>448</v>
      </c>
      <c r="H495" s="1">
        <v>0</v>
      </c>
      <c r="I495" s="1">
        <v>0</v>
      </c>
      <c r="J495" s="1">
        <f t="shared" si="26"/>
        <v>448</v>
      </c>
      <c r="K495" s="1">
        <v>143</v>
      </c>
      <c r="L495" s="1">
        <v>0</v>
      </c>
      <c r="M495" s="1">
        <v>0</v>
      </c>
      <c r="N495" s="1">
        <f t="shared" si="25"/>
        <v>143</v>
      </c>
      <c r="O495" s="14">
        <f t="shared" si="27"/>
        <v>143</v>
      </c>
      <c r="P495" s="17">
        <f t="shared" si="28"/>
        <v>448</v>
      </c>
      <c r="Q495" s="1">
        <v>0</v>
      </c>
      <c r="R495" s="1">
        <v>0</v>
      </c>
      <c r="S495" s="20">
        <v>37712</v>
      </c>
      <c r="T495" s="1">
        <v>591</v>
      </c>
      <c r="U495" s="9">
        <v>448</v>
      </c>
      <c r="V495" s="9" t="s">
        <v>21</v>
      </c>
    </row>
    <row r="496" spans="1:22" x14ac:dyDescent="0.25">
      <c r="A496" s="10" t="s">
        <v>19</v>
      </c>
      <c r="B496" t="b">
        <v>0</v>
      </c>
      <c r="C496" t="b">
        <v>0</v>
      </c>
      <c r="D496" s="1">
        <v>0</v>
      </c>
      <c r="E496" s="1">
        <v>0</v>
      </c>
      <c r="F496" s="1">
        <v>0</v>
      </c>
      <c r="G496" s="1">
        <v>899</v>
      </c>
      <c r="H496" s="1">
        <v>0</v>
      </c>
      <c r="I496" s="1">
        <v>0</v>
      </c>
      <c r="J496" s="1">
        <f t="shared" si="26"/>
        <v>899</v>
      </c>
      <c r="K496" s="1">
        <v>305</v>
      </c>
      <c r="L496" s="1">
        <v>0</v>
      </c>
      <c r="M496" s="1">
        <v>0</v>
      </c>
      <c r="N496" s="1">
        <f t="shared" si="25"/>
        <v>305</v>
      </c>
      <c r="O496" s="14">
        <f t="shared" si="27"/>
        <v>305</v>
      </c>
      <c r="P496" s="17">
        <f t="shared" si="28"/>
        <v>899</v>
      </c>
      <c r="Q496" s="1">
        <v>0</v>
      </c>
      <c r="R496" s="1">
        <v>0</v>
      </c>
      <c r="S496" s="20">
        <v>37742</v>
      </c>
      <c r="T496" s="1">
        <v>1204</v>
      </c>
      <c r="U496" s="9">
        <v>899</v>
      </c>
      <c r="V496" s="9" t="s">
        <v>21</v>
      </c>
    </row>
    <row r="497" spans="1:22" x14ac:dyDescent="0.25">
      <c r="A497" s="10" t="s">
        <v>19</v>
      </c>
      <c r="B497" t="b">
        <v>0</v>
      </c>
      <c r="C497" t="b">
        <v>0</v>
      </c>
      <c r="D497" s="1">
        <v>0</v>
      </c>
      <c r="E497" s="1">
        <v>0</v>
      </c>
      <c r="F497" s="1">
        <v>0</v>
      </c>
      <c r="G497" s="1">
        <v>851</v>
      </c>
      <c r="H497" s="1">
        <v>0</v>
      </c>
      <c r="I497" s="1">
        <v>0</v>
      </c>
      <c r="J497" s="1">
        <f t="shared" si="26"/>
        <v>851</v>
      </c>
      <c r="K497" s="1">
        <v>210</v>
      </c>
      <c r="L497" s="1">
        <v>0</v>
      </c>
      <c r="M497" s="1">
        <v>0</v>
      </c>
      <c r="N497" s="1">
        <f t="shared" si="25"/>
        <v>210</v>
      </c>
      <c r="O497" s="14">
        <f t="shared" si="27"/>
        <v>210</v>
      </c>
      <c r="P497" s="17">
        <f t="shared" si="28"/>
        <v>851</v>
      </c>
      <c r="Q497" s="1">
        <v>0</v>
      </c>
      <c r="R497" s="1">
        <v>0</v>
      </c>
      <c r="S497" s="20">
        <v>37773</v>
      </c>
      <c r="T497" s="1">
        <v>1061</v>
      </c>
      <c r="U497" s="9">
        <v>851</v>
      </c>
      <c r="V497" s="9" t="s">
        <v>21</v>
      </c>
    </row>
    <row r="498" spans="1:22" x14ac:dyDescent="0.25">
      <c r="A498" s="10" t="s">
        <v>19</v>
      </c>
      <c r="B498" t="b">
        <v>0</v>
      </c>
      <c r="C498" t="b">
        <v>0</v>
      </c>
      <c r="D498" s="1">
        <v>0</v>
      </c>
      <c r="E498" s="1">
        <v>0</v>
      </c>
      <c r="F498" s="1">
        <v>0</v>
      </c>
      <c r="G498" s="1">
        <v>701</v>
      </c>
      <c r="H498" s="1">
        <v>0</v>
      </c>
      <c r="I498" s="1">
        <v>0</v>
      </c>
      <c r="J498" s="1">
        <f t="shared" si="26"/>
        <v>701</v>
      </c>
      <c r="K498" s="1">
        <v>266</v>
      </c>
      <c r="L498" s="1">
        <v>0</v>
      </c>
      <c r="M498" s="1">
        <v>0</v>
      </c>
      <c r="N498" s="1">
        <f t="shared" si="25"/>
        <v>266</v>
      </c>
      <c r="O498" s="14">
        <f t="shared" si="27"/>
        <v>266</v>
      </c>
      <c r="P498" s="17">
        <f t="shared" si="28"/>
        <v>701</v>
      </c>
      <c r="Q498" s="1">
        <v>0</v>
      </c>
      <c r="R498" s="1">
        <v>0</v>
      </c>
      <c r="S498" s="20">
        <v>37803</v>
      </c>
      <c r="T498" s="1">
        <v>967</v>
      </c>
      <c r="U498" s="9">
        <v>701</v>
      </c>
      <c r="V498" s="9" t="s">
        <v>21</v>
      </c>
    </row>
    <row r="499" spans="1:22" x14ac:dyDescent="0.25">
      <c r="A499" s="10" t="s">
        <v>19</v>
      </c>
      <c r="B499" t="b">
        <v>0</v>
      </c>
      <c r="C499" t="b">
        <v>0</v>
      </c>
      <c r="D499" s="1">
        <v>0</v>
      </c>
      <c r="E499" s="1">
        <v>0</v>
      </c>
      <c r="F499" s="1">
        <v>0</v>
      </c>
      <c r="G499" s="1">
        <v>1280</v>
      </c>
      <c r="H499" s="1">
        <v>0</v>
      </c>
      <c r="I499" s="1">
        <v>0</v>
      </c>
      <c r="J499" s="1">
        <f t="shared" si="26"/>
        <v>1280</v>
      </c>
      <c r="K499" s="1">
        <v>258</v>
      </c>
      <c r="L499" s="1">
        <v>0</v>
      </c>
      <c r="M499" s="1">
        <v>0</v>
      </c>
      <c r="N499" s="1">
        <f t="shared" si="25"/>
        <v>258</v>
      </c>
      <c r="O499" s="14">
        <f t="shared" si="27"/>
        <v>258</v>
      </c>
      <c r="P499" s="17">
        <f t="shared" si="28"/>
        <v>1280</v>
      </c>
      <c r="Q499" s="1">
        <v>0</v>
      </c>
      <c r="R499" s="1">
        <v>0</v>
      </c>
      <c r="S499" s="20">
        <v>37834</v>
      </c>
      <c r="T499" s="1">
        <v>1538</v>
      </c>
      <c r="U499" s="9">
        <v>1280</v>
      </c>
      <c r="V499" s="9" t="s">
        <v>21</v>
      </c>
    </row>
    <row r="500" spans="1:22" x14ac:dyDescent="0.25">
      <c r="A500" s="10" t="s">
        <v>19</v>
      </c>
      <c r="B500" t="b">
        <v>0</v>
      </c>
      <c r="C500" t="b">
        <v>0</v>
      </c>
      <c r="D500" s="1">
        <v>0</v>
      </c>
      <c r="E500" s="1">
        <v>0</v>
      </c>
      <c r="F500" s="1">
        <v>0</v>
      </c>
      <c r="G500" s="1">
        <v>894</v>
      </c>
      <c r="H500" s="1">
        <v>0</v>
      </c>
      <c r="I500" s="1">
        <v>0</v>
      </c>
      <c r="J500" s="1">
        <f t="shared" si="26"/>
        <v>894</v>
      </c>
      <c r="K500" s="1">
        <v>429</v>
      </c>
      <c r="L500" s="1">
        <v>0</v>
      </c>
      <c r="M500" s="1">
        <v>0</v>
      </c>
      <c r="N500" s="1">
        <f t="shared" si="25"/>
        <v>429</v>
      </c>
      <c r="O500" s="14">
        <f t="shared" si="27"/>
        <v>429</v>
      </c>
      <c r="P500" s="17">
        <f t="shared" si="28"/>
        <v>894</v>
      </c>
      <c r="Q500" s="1">
        <v>0</v>
      </c>
      <c r="R500" s="1">
        <v>0</v>
      </c>
      <c r="S500" s="20">
        <v>37865</v>
      </c>
      <c r="T500" s="1">
        <v>1323</v>
      </c>
      <c r="U500" s="9">
        <v>894</v>
      </c>
      <c r="V500" s="9" t="s">
        <v>21</v>
      </c>
    </row>
    <row r="501" spans="1:22" x14ac:dyDescent="0.25">
      <c r="A501" s="10" t="s">
        <v>19</v>
      </c>
      <c r="B501" t="b">
        <v>0</v>
      </c>
      <c r="C501" t="b">
        <v>0</v>
      </c>
      <c r="D501" s="1">
        <v>0</v>
      </c>
      <c r="E501" s="1">
        <v>0</v>
      </c>
      <c r="F501" s="1">
        <v>0</v>
      </c>
      <c r="G501" s="1">
        <v>754</v>
      </c>
      <c r="H501" s="1">
        <v>0</v>
      </c>
      <c r="I501" s="1">
        <v>0</v>
      </c>
      <c r="J501" s="1">
        <f t="shared" si="26"/>
        <v>754</v>
      </c>
      <c r="K501" s="1">
        <v>310</v>
      </c>
      <c r="L501" s="1">
        <v>0</v>
      </c>
      <c r="M501" s="1">
        <v>0</v>
      </c>
      <c r="N501" s="1">
        <f>K501+L501+M501</f>
        <v>310</v>
      </c>
      <c r="O501" s="14">
        <f t="shared" si="27"/>
        <v>310</v>
      </c>
      <c r="P501" s="17">
        <f t="shared" si="28"/>
        <v>754</v>
      </c>
      <c r="Q501" s="1">
        <v>0</v>
      </c>
      <c r="R501" s="1">
        <v>0</v>
      </c>
      <c r="S501" s="20">
        <v>37895</v>
      </c>
      <c r="T501" s="1">
        <v>1064</v>
      </c>
      <c r="U501" s="9">
        <v>754</v>
      </c>
      <c r="V501" s="9" t="s">
        <v>21</v>
      </c>
    </row>
    <row r="502" spans="1:22" x14ac:dyDescent="0.25">
      <c r="A502" s="10" t="s">
        <v>19</v>
      </c>
      <c r="B502" t="b">
        <v>0</v>
      </c>
      <c r="C502" t="b">
        <v>0</v>
      </c>
      <c r="D502" s="1">
        <v>0</v>
      </c>
      <c r="E502" s="1">
        <v>0</v>
      </c>
      <c r="F502" s="1">
        <v>0</v>
      </c>
      <c r="G502" s="1">
        <v>337</v>
      </c>
      <c r="H502" s="1">
        <v>0</v>
      </c>
      <c r="I502" s="1">
        <v>0</v>
      </c>
      <c r="J502" s="1">
        <f t="shared" si="26"/>
        <v>337</v>
      </c>
      <c r="K502" s="1">
        <v>0</v>
      </c>
      <c r="L502" s="1">
        <v>0</v>
      </c>
      <c r="M502" s="1">
        <v>0</v>
      </c>
      <c r="N502" s="1">
        <f t="shared" ref="N502:N565" si="29">K502+L502+M502</f>
        <v>0</v>
      </c>
      <c r="O502" s="14">
        <f t="shared" si="27"/>
        <v>0</v>
      </c>
      <c r="P502" s="17">
        <f t="shared" si="28"/>
        <v>337</v>
      </c>
      <c r="Q502" s="1">
        <v>0</v>
      </c>
      <c r="R502" s="1">
        <v>0</v>
      </c>
      <c r="S502" s="20">
        <v>37926</v>
      </c>
      <c r="T502" s="1">
        <v>337</v>
      </c>
      <c r="U502" s="9">
        <v>337</v>
      </c>
      <c r="V502" s="9" t="s">
        <v>21</v>
      </c>
    </row>
    <row r="503" spans="1:22" x14ac:dyDescent="0.25">
      <c r="A503" s="10" t="s">
        <v>19</v>
      </c>
      <c r="B503" t="b">
        <v>0</v>
      </c>
      <c r="C503" t="b">
        <v>0</v>
      </c>
      <c r="D503" s="1">
        <v>0</v>
      </c>
      <c r="E503" s="1">
        <v>0</v>
      </c>
      <c r="F503" s="1">
        <v>0</v>
      </c>
      <c r="G503" s="1">
        <v>606</v>
      </c>
      <c r="H503" s="1">
        <v>0</v>
      </c>
      <c r="I503" s="1">
        <v>0</v>
      </c>
      <c r="J503" s="1">
        <f t="shared" si="26"/>
        <v>606</v>
      </c>
      <c r="K503" s="1">
        <v>0</v>
      </c>
      <c r="L503" s="1">
        <v>0</v>
      </c>
      <c r="M503" s="1">
        <v>0</v>
      </c>
      <c r="N503" s="1">
        <f t="shared" si="29"/>
        <v>0</v>
      </c>
      <c r="O503" s="14">
        <f t="shared" si="27"/>
        <v>0</v>
      </c>
      <c r="P503" s="17">
        <f t="shared" si="28"/>
        <v>606</v>
      </c>
      <c r="Q503" s="1">
        <v>0</v>
      </c>
      <c r="R503" s="1">
        <v>0</v>
      </c>
      <c r="S503" s="20">
        <v>37956</v>
      </c>
      <c r="T503" s="1">
        <v>606</v>
      </c>
      <c r="U503" s="9">
        <v>606</v>
      </c>
      <c r="V503" s="9" t="s">
        <v>21</v>
      </c>
    </row>
    <row r="504" spans="1:22" x14ac:dyDescent="0.25">
      <c r="A504" s="10" t="s">
        <v>19</v>
      </c>
      <c r="B504" t="b">
        <v>0</v>
      </c>
      <c r="C504" t="b">
        <v>0</v>
      </c>
      <c r="D504" s="1">
        <v>0</v>
      </c>
      <c r="E504" s="1">
        <v>0</v>
      </c>
      <c r="F504" s="1">
        <v>0</v>
      </c>
      <c r="G504" s="1">
        <v>1106</v>
      </c>
      <c r="H504" s="1">
        <v>0</v>
      </c>
      <c r="I504" s="1">
        <v>0</v>
      </c>
      <c r="J504" s="1">
        <f t="shared" si="26"/>
        <v>1106</v>
      </c>
      <c r="K504" s="1">
        <v>134</v>
      </c>
      <c r="L504" s="1">
        <v>0</v>
      </c>
      <c r="M504" s="1">
        <v>0</v>
      </c>
      <c r="N504" s="1">
        <f t="shared" si="29"/>
        <v>134</v>
      </c>
      <c r="O504" s="14">
        <f t="shared" si="27"/>
        <v>134</v>
      </c>
      <c r="P504" s="17">
        <f t="shared" si="28"/>
        <v>1106</v>
      </c>
      <c r="Q504" s="1">
        <v>0</v>
      </c>
      <c r="R504" s="1">
        <v>0</v>
      </c>
      <c r="S504" s="20">
        <v>37987</v>
      </c>
      <c r="T504" s="1">
        <v>1240</v>
      </c>
      <c r="U504" s="9">
        <v>1106</v>
      </c>
      <c r="V504" s="9" t="s">
        <v>41</v>
      </c>
    </row>
    <row r="505" spans="1:22" x14ac:dyDescent="0.25">
      <c r="A505" s="10" t="s">
        <v>19</v>
      </c>
      <c r="B505" t="b">
        <v>0</v>
      </c>
      <c r="C505" t="b">
        <v>0</v>
      </c>
      <c r="D505" s="1">
        <v>0</v>
      </c>
      <c r="E505" s="1">
        <v>0</v>
      </c>
      <c r="F505" s="1">
        <v>0</v>
      </c>
      <c r="G505" s="1">
        <v>1173</v>
      </c>
      <c r="H505" s="1">
        <v>0</v>
      </c>
      <c r="I505" s="1">
        <v>0</v>
      </c>
      <c r="J505" s="1">
        <f t="shared" si="26"/>
        <v>1173</v>
      </c>
      <c r="K505" s="1">
        <v>0</v>
      </c>
      <c r="L505" s="1">
        <v>0</v>
      </c>
      <c r="M505" s="1">
        <v>0</v>
      </c>
      <c r="N505" s="1">
        <f t="shared" si="29"/>
        <v>0</v>
      </c>
      <c r="O505" s="14">
        <f t="shared" si="27"/>
        <v>0</v>
      </c>
      <c r="P505" s="17">
        <f t="shared" si="28"/>
        <v>1173</v>
      </c>
      <c r="Q505" s="1">
        <v>0</v>
      </c>
      <c r="R505" s="1">
        <v>0</v>
      </c>
      <c r="S505" s="20">
        <v>38018</v>
      </c>
      <c r="T505" s="1">
        <v>1173</v>
      </c>
      <c r="U505" s="9">
        <v>1173</v>
      </c>
      <c r="V505" s="9" t="s">
        <v>41</v>
      </c>
    </row>
    <row r="506" spans="1:22" x14ac:dyDescent="0.25">
      <c r="A506" s="10" t="s">
        <v>19</v>
      </c>
      <c r="B506" t="b">
        <v>0</v>
      </c>
      <c r="C506" t="b">
        <v>0</v>
      </c>
      <c r="D506" s="1">
        <v>0</v>
      </c>
      <c r="E506" s="1">
        <v>0</v>
      </c>
      <c r="F506" s="1">
        <v>0</v>
      </c>
      <c r="G506" s="1">
        <v>571</v>
      </c>
      <c r="H506" s="1">
        <v>0</v>
      </c>
      <c r="I506" s="1">
        <v>0</v>
      </c>
      <c r="J506" s="1">
        <f t="shared" si="26"/>
        <v>571</v>
      </c>
      <c r="K506" s="1">
        <v>204</v>
      </c>
      <c r="L506" s="1">
        <v>0</v>
      </c>
      <c r="M506" s="1">
        <v>0</v>
      </c>
      <c r="N506" s="1">
        <f t="shared" si="29"/>
        <v>204</v>
      </c>
      <c r="O506" s="14">
        <f t="shared" si="27"/>
        <v>204</v>
      </c>
      <c r="P506" s="17">
        <f t="shared" si="28"/>
        <v>571</v>
      </c>
      <c r="Q506" s="1">
        <v>0</v>
      </c>
      <c r="R506" s="1">
        <v>0</v>
      </c>
      <c r="S506" s="20">
        <v>38047</v>
      </c>
      <c r="T506" s="1">
        <v>775</v>
      </c>
      <c r="U506" s="9">
        <v>571</v>
      </c>
      <c r="V506" s="9" t="s">
        <v>41</v>
      </c>
    </row>
    <row r="507" spans="1:22" x14ac:dyDescent="0.25">
      <c r="A507" s="10" t="s">
        <v>19</v>
      </c>
      <c r="B507" t="b">
        <v>0</v>
      </c>
      <c r="C507" t="b">
        <v>0</v>
      </c>
      <c r="D507" s="1">
        <v>0</v>
      </c>
      <c r="E507" s="1">
        <v>0</v>
      </c>
      <c r="F507" s="1">
        <v>0</v>
      </c>
      <c r="G507" s="1">
        <v>737</v>
      </c>
      <c r="H507" s="1">
        <v>0</v>
      </c>
      <c r="I507" s="1">
        <v>0</v>
      </c>
      <c r="J507" s="1">
        <f t="shared" si="26"/>
        <v>737</v>
      </c>
      <c r="K507" s="1">
        <v>254</v>
      </c>
      <c r="L507" s="1">
        <v>0</v>
      </c>
      <c r="M507" s="1">
        <v>0</v>
      </c>
      <c r="N507" s="1">
        <f t="shared" si="29"/>
        <v>254</v>
      </c>
      <c r="O507" s="14">
        <f t="shared" si="27"/>
        <v>254</v>
      </c>
      <c r="P507" s="17">
        <f t="shared" si="28"/>
        <v>737</v>
      </c>
      <c r="Q507" s="1">
        <v>0</v>
      </c>
      <c r="R507" s="1">
        <v>0</v>
      </c>
      <c r="S507" s="20">
        <v>38078</v>
      </c>
      <c r="T507" s="1">
        <v>991</v>
      </c>
      <c r="U507" s="9">
        <v>737</v>
      </c>
      <c r="V507" s="9" t="s">
        <v>41</v>
      </c>
    </row>
    <row r="508" spans="1:22" x14ac:dyDescent="0.25">
      <c r="A508" s="10" t="s">
        <v>19</v>
      </c>
      <c r="B508" t="b">
        <v>0</v>
      </c>
      <c r="C508" t="b">
        <v>0</v>
      </c>
      <c r="D508" s="1">
        <v>0</v>
      </c>
      <c r="E508" s="1">
        <v>0</v>
      </c>
      <c r="F508" s="1">
        <v>0</v>
      </c>
      <c r="G508" s="1">
        <v>1068</v>
      </c>
      <c r="H508" s="1">
        <v>0</v>
      </c>
      <c r="I508" s="1">
        <v>0</v>
      </c>
      <c r="J508" s="1">
        <f t="shared" si="26"/>
        <v>1068</v>
      </c>
      <c r="K508" s="1">
        <v>266</v>
      </c>
      <c r="L508" s="1">
        <v>0</v>
      </c>
      <c r="M508" s="1">
        <v>0</v>
      </c>
      <c r="N508" s="1">
        <f t="shared" si="29"/>
        <v>266</v>
      </c>
      <c r="O508" s="14">
        <f t="shared" si="27"/>
        <v>266</v>
      </c>
      <c r="P508" s="17">
        <f t="shared" si="28"/>
        <v>1068</v>
      </c>
      <c r="Q508" s="1">
        <v>0</v>
      </c>
      <c r="R508" s="1">
        <v>0</v>
      </c>
      <c r="S508" s="20">
        <v>38108</v>
      </c>
      <c r="T508" s="1">
        <v>1334</v>
      </c>
      <c r="U508" s="9">
        <v>1068</v>
      </c>
      <c r="V508" s="9" t="s">
        <v>41</v>
      </c>
    </row>
    <row r="509" spans="1:22" x14ac:dyDescent="0.25">
      <c r="A509" s="10" t="s">
        <v>19</v>
      </c>
      <c r="B509" t="b">
        <v>0</v>
      </c>
      <c r="C509" t="b">
        <v>0</v>
      </c>
      <c r="D509" s="1">
        <v>0</v>
      </c>
      <c r="E509" s="1">
        <v>0</v>
      </c>
      <c r="F509" s="1">
        <v>0</v>
      </c>
      <c r="G509" s="1">
        <v>957</v>
      </c>
      <c r="H509" s="1">
        <v>0</v>
      </c>
      <c r="I509" s="1">
        <v>0</v>
      </c>
      <c r="J509" s="1">
        <f t="shared" si="26"/>
        <v>957</v>
      </c>
      <c r="K509" s="1">
        <v>252</v>
      </c>
      <c r="L509" s="1">
        <v>0</v>
      </c>
      <c r="M509" s="1">
        <v>0</v>
      </c>
      <c r="N509" s="1">
        <f t="shared" si="29"/>
        <v>252</v>
      </c>
      <c r="O509" s="14">
        <f t="shared" si="27"/>
        <v>252</v>
      </c>
      <c r="P509" s="17">
        <f t="shared" si="28"/>
        <v>957</v>
      </c>
      <c r="Q509" s="1">
        <v>0</v>
      </c>
      <c r="R509" s="1">
        <v>0</v>
      </c>
      <c r="S509" s="20">
        <v>38139</v>
      </c>
      <c r="T509" s="1">
        <v>1209</v>
      </c>
      <c r="U509" s="9">
        <v>957</v>
      </c>
      <c r="V509" s="9" t="s">
        <v>41</v>
      </c>
    </row>
    <row r="510" spans="1:22" x14ac:dyDescent="0.25">
      <c r="A510" s="10" t="s">
        <v>19</v>
      </c>
      <c r="B510" t="b">
        <v>0</v>
      </c>
      <c r="C510" t="b">
        <v>0</v>
      </c>
      <c r="D510" s="1">
        <v>0</v>
      </c>
      <c r="E510" s="1">
        <v>0</v>
      </c>
      <c r="F510" s="1">
        <v>0</v>
      </c>
      <c r="G510" s="1">
        <v>769</v>
      </c>
      <c r="H510" s="1">
        <v>0</v>
      </c>
      <c r="I510" s="1">
        <v>0</v>
      </c>
      <c r="J510" s="1">
        <f t="shared" si="26"/>
        <v>769</v>
      </c>
      <c r="K510" s="1">
        <v>311</v>
      </c>
      <c r="L510" s="1">
        <v>0</v>
      </c>
      <c r="M510" s="1">
        <v>0</v>
      </c>
      <c r="N510" s="1">
        <f t="shared" si="29"/>
        <v>311</v>
      </c>
      <c r="O510" s="14">
        <f t="shared" si="27"/>
        <v>311</v>
      </c>
      <c r="P510" s="17">
        <f t="shared" si="28"/>
        <v>769</v>
      </c>
      <c r="Q510" s="1">
        <v>0</v>
      </c>
      <c r="R510" s="1">
        <v>0</v>
      </c>
      <c r="S510" s="20">
        <v>38169</v>
      </c>
      <c r="T510" s="1">
        <v>1080</v>
      </c>
      <c r="U510" s="9">
        <v>769</v>
      </c>
      <c r="V510" s="9" t="s">
        <v>41</v>
      </c>
    </row>
    <row r="511" spans="1:22" x14ac:dyDescent="0.25">
      <c r="A511" s="10" t="s">
        <v>19</v>
      </c>
      <c r="B511" t="b">
        <v>0</v>
      </c>
      <c r="C511" t="b">
        <v>0</v>
      </c>
      <c r="D511" s="1">
        <v>0</v>
      </c>
      <c r="E511" s="1">
        <v>0</v>
      </c>
      <c r="F511" s="1">
        <v>0</v>
      </c>
      <c r="G511" s="1">
        <v>1243</v>
      </c>
      <c r="H511" s="1">
        <v>0</v>
      </c>
      <c r="I511" s="1">
        <v>0</v>
      </c>
      <c r="J511" s="1">
        <f t="shared" si="26"/>
        <v>1243</v>
      </c>
      <c r="K511" s="1">
        <v>342</v>
      </c>
      <c r="L511" s="1">
        <v>0</v>
      </c>
      <c r="M511" s="1">
        <v>0</v>
      </c>
      <c r="N511" s="1">
        <f t="shared" si="29"/>
        <v>342</v>
      </c>
      <c r="O511" s="14">
        <f t="shared" si="27"/>
        <v>342</v>
      </c>
      <c r="P511" s="17">
        <f t="shared" si="28"/>
        <v>1243</v>
      </c>
      <c r="Q511" s="1">
        <v>0</v>
      </c>
      <c r="R511" s="1">
        <v>0</v>
      </c>
      <c r="S511" s="20">
        <v>38200</v>
      </c>
      <c r="T511" s="1">
        <v>1585</v>
      </c>
      <c r="U511" s="9">
        <v>1243</v>
      </c>
      <c r="V511" s="9" t="s">
        <v>41</v>
      </c>
    </row>
    <row r="512" spans="1:22" x14ac:dyDescent="0.25">
      <c r="A512" s="10" t="s">
        <v>19</v>
      </c>
      <c r="B512" t="b">
        <v>0</v>
      </c>
      <c r="C512" t="b">
        <v>0</v>
      </c>
      <c r="D512" s="1">
        <v>0</v>
      </c>
      <c r="E512" s="1">
        <v>0</v>
      </c>
      <c r="F512" s="1">
        <v>0</v>
      </c>
      <c r="G512" s="1">
        <v>916</v>
      </c>
      <c r="H512" s="1">
        <v>0</v>
      </c>
      <c r="I512" s="1">
        <v>0</v>
      </c>
      <c r="J512" s="1">
        <f t="shared" si="26"/>
        <v>916</v>
      </c>
      <c r="K512" s="1">
        <v>491</v>
      </c>
      <c r="L512" s="1">
        <v>0</v>
      </c>
      <c r="M512" s="1">
        <v>0</v>
      </c>
      <c r="N512" s="1">
        <f t="shared" si="29"/>
        <v>491</v>
      </c>
      <c r="O512" s="14">
        <f t="shared" si="27"/>
        <v>491</v>
      </c>
      <c r="P512" s="17">
        <f t="shared" si="28"/>
        <v>916</v>
      </c>
      <c r="Q512" s="1">
        <v>0</v>
      </c>
      <c r="R512" s="1">
        <v>0</v>
      </c>
      <c r="S512" s="20">
        <v>38231</v>
      </c>
      <c r="T512" s="1">
        <v>1407</v>
      </c>
      <c r="U512" s="9">
        <v>916</v>
      </c>
      <c r="V512" s="9" t="s">
        <v>41</v>
      </c>
    </row>
    <row r="513" spans="1:22" x14ac:dyDescent="0.25">
      <c r="A513" s="10" t="s">
        <v>19</v>
      </c>
      <c r="B513" t="b">
        <v>0</v>
      </c>
      <c r="C513" t="b">
        <v>0</v>
      </c>
      <c r="D513" s="1">
        <v>0</v>
      </c>
      <c r="E513" s="1">
        <v>0</v>
      </c>
      <c r="F513" s="1">
        <v>0</v>
      </c>
      <c r="G513" s="1">
        <v>904</v>
      </c>
      <c r="H513" s="1">
        <v>0</v>
      </c>
      <c r="I513" s="1">
        <v>0</v>
      </c>
      <c r="J513" s="1">
        <f t="shared" si="26"/>
        <v>904</v>
      </c>
      <c r="K513" s="1">
        <v>388</v>
      </c>
      <c r="L513" s="1">
        <v>0</v>
      </c>
      <c r="M513" s="1">
        <v>0</v>
      </c>
      <c r="N513" s="1">
        <f t="shared" si="29"/>
        <v>388</v>
      </c>
      <c r="O513" s="14">
        <f t="shared" si="27"/>
        <v>388</v>
      </c>
      <c r="P513" s="17">
        <f t="shared" si="28"/>
        <v>904</v>
      </c>
      <c r="Q513" s="1">
        <v>0</v>
      </c>
      <c r="R513" s="1">
        <v>0</v>
      </c>
      <c r="S513" s="20">
        <v>38261</v>
      </c>
      <c r="T513" s="1">
        <v>1292</v>
      </c>
      <c r="U513" s="9">
        <v>904</v>
      </c>
      <c r="V513" s="9" t="s">
        <v>41</v>
      </c>
    </row>
    <row r="514" spans="1:22" x14ac:dyDescent="0.25">
      <c r="A514" s="10" t="s">
        <v>19</v>
      </c>
      <c r="B514" t="b">
        <v>0</v>
      </c>
      <c r="C514" t="b">
        <v>0</v>
      </c>
      <c r="D514" s="1">
        <v>0</v>
      </c>
      <c r="E514" s="1">
        <v>0</v>
      </c>
      <c r="F514" s="1">
        <v>0</v>
      </c>
      <c r="G514" s="1">
        <v>451</v>
      </c>
      <c r="H514" s="1">
        <v>0</v>
      </c>
      <c r="I514" s="1">
        <v>0</v>
      </c>
      <c r="J514" s="1">
        <f t="shared" si="26"/>
        <v>451</v>
      </c>
      <c r="K514" s="1">
        <v>327</v>
      </c>
      <c r="L514" s="1">
        <v>0</v>
      </c>
      <c r="M514" s="1">
        <v>0</v>
      </c>
      <c r="N514" s="1">
        <f t="shared" si="29"/>
        <v>327</v>
      </c>
      <c r="O514" s="14">
        <f t="shared" si="27"/>
        <v>327</v>
      </c>
      <c r="P514" s="17">
        <f t="shared" si="28"/>
        <v>451</v>
      </c>
      <c r="Q514" s="1">
        <v>0</v>
      </c>
      <c r="R514" s="1">
        <v>0</v>
      </c>
      <c r="S514" s="20">
        <v>38292</v>
      </c>
      <c r="T514" s="1">
        <v>778</v>
      </c>
      <c r="U514" s="9">
        <v>451</v>
      </c>
      <c r="V514" s="9" t="s">
        <v>41</v>
      </c>
    </row>
    <row r="515" spans="1:22" x14ac:dyDescent="0.25">
      <c r="A515" s="10" t="s">
        <v>19</v>
      </c>
      <c r="B515" t="b">
        <v>0</v>
      </c>
      <c r="C515" t="b">
        <v>0</v>
      </c>
      <c r="D515" s="1">
        <v>0</v>
      </c>
      <c r="E515" s="1">
        <v>0</v>
      </c>
      <c r="F515" s="1">
        <v>0</v>
      </c>
      <c r="G515" s="1">
        <v>564</v>
      </c>
      <c r="H515" s="1">
        <v>0</v>
      </c>
      <c r="I515" s="1">
        <v>0</v>
      </c>
      <c r="J515" s="1">
        <f t="shared" si="26"/>
        <v>564</v>
      </c>
      <c r="K515" s="1">
        <v>0</v>
      </c>
      <c r="L515" s="1">
        <v>0</v>
      </c>
      <c r="M515" s="1">
        <v>0</v>
      </c>
      <c r="N515" s="1">
        <f t="shared" si="29"/>
        <v>0</v>
      </c>
      <c r="O515" s="14">
        <f t="shared" si="27"/>
        <v>0</v>
      </c>
      <c r="P515" s="17">
        <f t="shared" si="28"/>
        <v>564</v>
      </c>
      <c r="Q515" s="1">
        <v>0</v>
      </c>
      <c r="R515" s="1">
        <v>0</v>
      </c>
      <c r="S515" s="20">
        <v>38322</v>
      </c>
      <c r="T515" s="1">
        <v>564</v>
      </c>
      <c r="U515" s="9">
        <v>564</v>
      </c>
      <c r="V515" s="9" t="s">
        <v>41</v>
      </c>
    </row>
    <row r="516" spans="1:22" x14ac:dyDescent="0.25">
      <c r="A516" s="10" t="s">
        <v>19</v>
      </c>
      <c r="B516" t="b">
        <v>0</v>
      </c>
      <c r="C516" t="b">
        <v>0</v>
      </c>
      <c r="D516" s="1">
        <v>0</v>
      </c>
      <c r="E516" s="1">
        <v>0</v>
      </c>
      <c r="F516" s="1">
        <v>0</v>
      </c>
      <c r="G516" s="1">
        <v>526</v>
      </c>
      <c r="H516" s="1">
        <v>0</v>
      </c>
      <c r="I516" s="1">
        <v>0</v>
      </c>
      <c r="J516" s="1">
        <f t="shared" si="26"/>
        <v>526</v>
      </c>
      <c r="K516" s="1">
        <v>0</v>
      </c>
      <c r="L516" s="1">
        <v>0</v>
      </c>
      <c r="M516" s="1">
        <v>0</v>
      </c>
      <c r="N516" s="1">
        <f t="shared" si="29"/>
        <v>0</v>
      </c>
      <c r="O516" s="14">
        <f t="shared" si="27"/>
        <v>0</v>
      </c>
      <c r="P516" s="17">
        <f t="shared" si="28"/>
        <v>526</v>
      </c>
      <c r="Q516" s="1">
        <v>0</v>
      </c>
      <c r="R516" s="1">
        <v>0</v>
      </c>
      <c r="S516" s="20">
        <v>38353</v>
      </c>
      <c r="T516" s="1">
        <v>526</v>
      </c>
      <c r="U516" s="9">
        <v>526</v>
      </c>
      <c r="V516" s="9" t="s">
        <v>21</v>
      </c>
    </row>
    <row r="517" spans="1:22" x14ac:dyDescent="0.25">
      <c r="A517" s="10" t="s">
        <v>19</v>
      </c>
      <c r="B517" t="b">
        <v>0</v>
      </c>
      <c r="C517" t="b">
        <v>0</v>
      </c>
      <c r="D517" s="1">
        <v>0</v>
      </c>
      <c r="E517" s="1">
        <v>0</v>
      </c>
      <c r="F517" s="1">
        <v>0</v>
      </c>
      <c r="G517" s="1">
        <v>745</v>
      </c>
      <c r="H517" s="1">
        <v>0</v>
      </c>
      <c r="I517" s="1">
        <v>0</v>
      </c>
      <c r="J517" s="1">
        <f t="shared" si="26"/>
        <v>745</v>
      </c>
      <c r="K517" s="1">
        <v>248</v>
      </c>
      <c r="L517" s="1">
        <v>0</v>
      </c>
      <c r="M517" s="1">
        <v>0</v>
      </c>
      <c r="N517" s="1">
        <f t="shared" si="29"/>
        <v>248</v>
      </c>
      <c r="O517" s="14">
        <f t="shared" si="27"/>
        <v>248</v>
      </c>
      <c r="P517" s="17">
        <f t="shared" si="28"/>
        <v>745</v>
      </c>
      <c r="Q517" s="1">
        <v>0</v>
      </c>
      <c r="R517" s="1">
        <v>0</v>
      </c>
      <c r="S517" s="20">
        <v>38384</v>
      </c>
      <c r="T517" s="1">
        <v>993</v>
      </c>
      <c r="U517" s="9">
        <v>745</v>
      </c>
      <c r="V517" s="9" t="s">
        <v>21</v>
      </c>
    </row>
    <row r="518" spans="1:22" x14ac:dyDescent="0.25">
      <c r="A518" s="10" t="s">
        <v>19</v>
      </c>
      <c r="B518" t="b">
        <v>0</v>
      </c>
      <c r="C518" t="b">
        <v>0</v>
      </c>
      <c r="D518" s="1">
        <v>0</v>
      </c>
      <c r="E518" s="1">
        <v>0</v>
      </c>
      <c r="F518" s="1">
        <v>0</v>
      </c>
      <c r="G518" s="1">
        <v>401</v>
      </c>
      <c r="H518" s="1">
        <v>0</v>
      </c>
      <c r="I518" s="1">
        <v>0</v>
      </c>
      <c r="J518" s="1">
        <f t="shared" si="26"/>
        <v>401</v>
      </c>
      <c r="K518" s="1">
        <v>435</v>
      </c>
      <c r="L518" s="1">
        <v>0</v>
      </c>
      <c r="M518" s="1">
        <v>0</v>
      </c>
      <c r="N518" s="1">
        <f t="shared" si="29"/>
        <v>435</v>
      </c>
      <c r="O518" s="14">
        <f t="shared" si="27"/>
        <v>435</v>
      </c>
      <c r="P518" s="17">
        <f t="shared" si="28"/>
        <v>401</v>
      </c>
      <c r="Q518" s="1">
        <v>0</v>
      </c>
      <c r="R518" s="1">
        <v>0</v>
      </c>
      <c r="S518" s="20">
        <v>38412</v>
      </c>
      <c r="T518" s="1">
        <v>836</v>
      </c>
      <c r="U518" s="9">
        <v>401</v>
      </c>
      <c r="V518" s="9" t="s">
        <v>21</v>
      </c>
    </row>
    <row r="519" spans="1:22" x14ac:dyDescent="0.25">
      <c r="A519" s="10" t="s">
        <v>19</v>
      </c>
      <c r="B519" t="b">
        <v>0</v>
      </c>
      <c r="C519" t="b">
        <v>0</v>
      </c>
      <c r="D519" s="1">
        <v>0</v>
      </c>
      <c r="E519" s="1">
        <v>0</v>
      </c>
      <c r="F519" s="1">
        <v>0</v>
      </c>
      <c r="G519" s="1">
        <v>863</v>
      </c>
      <c r="H519" s="1">
        <v>0</v>
      </c>
      <c r="I519" s="1">
        <v>0</v>
      </c>
      <c r="J519" s="1">
        <f t="shared" si="26"/>
        <v>863</v>
      </c>
      <c r="K519" s="1">
        <v>342</v>
      </c>
      <c r="L519" s="1">
        <v>0</v>
      </c>
      <c r="M519" s="1">
        <v>0</v>
      </c>
      <c r="N519" s="1">
        <f t="shared" si="29"/>
        <v>342</v>
      </c>
      <c r="O519" s="14">
        <f t="shared" si="27"/>
        <v>342</v>
      </c>
      <c r="P519" s="17">
        <f t="shared" si="28"/>
        <v>863</v>
      </c>
      <c r="Q519" s="1">
        <v>0</v>
      </c>
      <c r="R519" s="1">
        <v>0</v>
      </c>
      <c r="S519" s="20">
        <v>38443</v>
      </c>
      <c r="T519" s="1">
        <v>1205</v>
      </c>
      <c r="U519" s="9">
        <v>863</v>
      </c>
      <c r="V519" s="9" t="s">
        <v>21</v>
      </c>
    </row>
    <row r="520" spans="1:22" x14ac:dyDescent="0.25">
      <c r="A520" s="10" t="s">
        <v>19</v>
      </c>
      <c r="B520" t="b">
        <v>0</v>
      </c>
      <c r="C520" t="b">
        <v>0</v>
      </c>
      <c r="D520" s="1">
        <v>0</v>
      </c>
      <c r="E520" s="1">
        <v>0</v>
      </c>
      <c r="F520" s="1">
        <v>0</v>
      </c>
      <c r="G520" s="1">
        <v>1215</v>
      </c>
      <c r="H520" s="1">
        <v>0</v>
      </c>
      <c r="I520" s="1">
        <v>0</v>
      </c>
      <c r="J520" s="1">
        <f t="shared" si="26"/>
        <v>1215</v>
      </c>
      <c r="K520" s="1">
        <v>440</v>
      </c>
      <c r="L520" s="1">
        <v>0</v>
      </c>
      <c r="M520" s="1">
        <v>0</v>
      </c>
      <c r="N520" s="1">
        <f t="shared" si="29"/>
        <v>440</v>
      </c>
      <c r="O520" s="14">
        <f t="shared" si="27"/>
        <v>440</v>
      </c>
      <c r="P520" s="17">
        <f t="shared" si="28"/>
        <v>1215</v>
      </c>
      <c r="Q520" s="1">
        <v>0</v>
      </c>
      <c r="R520" s="1">
        <v>0</v>
      </c>
      <c r="S520" s="20">
        <v>38473</v>
      </c>
      <c r="T520" s="1">
        <v>1654</v>
      </c>
      <c r="U520" s="9">
        <v>1215</v>
      </c>
      <c r="V520" s="9" t="s">
        <v>21</v>
      </c>
    </row>
    <row r="521" spans="1:22" x14ac:dyDescent="0.25">
      <c r="A521" s="10" t="s">
        <v>19</v>
      </c>
      <c r="B521" t="b">
        <v>0</v>
      </c>
      <c r="C521" t="b">
        <v>0</v>
      </c>
      <c r="D521" s="1">
        <v>0</v>
      </c>
      <c r="E521" s="1">
        <v>0</v>
      </c>
      <c r="F521" s="1">
        <v>0</v>
      </c>
      <c r="G521" s="1">
        <v>1036</v>
      </c>
      <c r="H521" s="1">
        <v>0</v>
      </c>
      <c r="I521" s="1">
        <v>0</v>
      </c>
      <c r="J521" s="1">
        <f t="shared" si="26"/>
        <v>1036</v>
      </c>
      <c r="K521" s="1">
        <v>336</v>
      </c>
      <c r="L521" s="1">
        <v>0</v>
      </c>
      <c r="M521" s="1">
        <v>0</v>
      </c>
      <c r="N521" s="1">
        <f t="shared" si="29"/>
        <v>336</v>
      </c>
      <c r="O521" s="14">
        <f t="shared" si="27"/>
        <v>336</v>
      </c>
      <c r="P521" s="17">
        <f t="shared" si="28"/>
        <v>1036</v>
      </c>
      <c r="Q521" s="1">
        <v>0</v>
      </c>
      <c r="R521" s="1">
        <v>0</v>
      </c>
      <c r="S521" s="20">
        <v>38504</v>
      </c>
      <c r="T521" s="1">
        <v>1372</v>
      </c>
      <c r="U521" s="9">
        <v>1036</v>
      </c>
      <c r="V521" s="9" t="s">
        <v>21</v>
      </c>
    </row>
    <row r="522" spans="1:22" x14ac:dyDescent="0.25">
      <c r="A522" s="10" t="s">
        <v>19</v>
      </c>
      <c r="B522" t="b">
        <v>0</v>
      </c>
      <c r="C522" t="b">
        <v>0</v>
      </c>
      <c r="D522" s="1">
        <v>0</v>
      </c>
      <c r="E522" s="1">
        <v>0</v>
      </c>
      <c r="F522" s="1">
        <v>0</v>
      </c>
      <c r="G522" s="1">
        <v>942</v>
      </c>
      <c r="H522" s="1">
        <v>0</v>
      </c>
      <c r="I522" s="1">
        <v>0</v>
      </c>
      <c r="J522" s="1">
        <f t="shared" si="26"/>
        <v>942</v>
      </c>
      <c r="K522" s="1">
        <v>400</v>
      </c>
      <c r="L522" s="1">
        <v>0</v>
      </c>
      <c r="M522" s="1">
        <v>0</v>
      </c>
      <c r="N522" s="1">
        <f t="shared" si="29"/>
        <v>400</v>
      </c>
      <c r="O522" s="14">
        <f t="shared" si="27"/>
        <v>400</v>
      </c>
      <c r="P522" s="17">
        <f t="shared" si="28"/>
        <v>942</v>
      </c>
      <c r="Q522" s="1">
        <v>0</v>
      </c>
      <c r="R522" s="1">
        <v>0</v>
      </c>
      <c r="S522" s="20">
        <v>38534</v>
      </c>
      <c r="T522" s="1">
        <v>1343</v>
      </c>
      <c r="U522" s="9">
        <v>942</v>
      </c>
      <c r="V522" s="9" t="s">
        <v>21</v>
      </c>
    </row>
    <row r="523" spans="1:22" x14ac:dyDescent="0.25">
      <c r="A523" s="10" t="s">
        <v>19</v>
      </c>
      <c r="B523" t="b">
        <v>0</v>
      </c>
      <c r="C523" t="b">
        <v>0</v>
      </c>
      <c r="D523" s="1">
        <v>0</v>
      </c>
      <c r="E523" s="1">
        <v>0</v>
      </c>
      <c r="F523" s="1">
        <v>0</v>
      </c>
      <c r="G523" s="1">
        <v>1381</v>
      </c>
      <c r="H523" s="1">
        <v>0</v>
      </c>
      <c r="I523" s="1">
        <v>0</v>
      </c>
      <c r="J523" s="1">
        <f t="shared" si="26"/>
        <v>1381</v>
      </c>
      <c r="K523" s="1">
        <v>249</v>
      </c>
      <c r="L523" s="1">
        <v>0</v>
      </c>
      <c r="M523" s="1">
        <v>0</v>
      </c>
      <c r="N523" s="1">
        <f t="shared" si="29"/>
        <v>249</v>
      </c>
      <c r="O523" s="14">
        <f t="shared" si="27"/>
        <v>249</v>
      </c>
      <c r="P523" s="17">
        <f t="shared" si="28"/>
        <v>1381</v>
      </c>
      <c r="Q523" s="1">
        <v>0</v>
      </c>
      <c r="R523" s="1">
        <v>0</v>
      </c>
      <c r="S523" s="20">
        <v>38565</v>
      </c>
      <c r="T523" s="1">
        <v>1630</v>
      </c>
      <c r="U523" s="9">
        <v>1381</v>
      </c>
      <c r="V523" s="9" t="s">
        <v>21</v>
      </c>
    </row>
    <row r="524" spans="1:22" x14ac:dyDescent="0.25">
      <c r="A524" s="10" t="s">
        <v>19</v>
      </c>
      <c r="B524" t="b">
        <v>0</v>
      </c>
      <c r="C524" t="b">
        <v>0</v>
      </c>
      <c r="D524" s="1">
        <v>0</v>
      </c>
      <c r="E524" s="1">
        <v>0</v>
      </c>
      <c r="F524" s="1">
        <v>0</v>
      </c>
      <c r="G524" s="1">
        <v>1091</v>
      </c>
      <c r="H524" s="1">
        <v>0</v>
      </c>
      <c r="I524" s="1">
        <v>0</v>
      </c>
      <c r="J524" s="1">
        <f t="shared" si="26"/>
        <v>1091</v>
      </c>
      <c r="K524" s="1">
        <v>506</v>
      </c>
      <c r="L524" s="1">
        <v>0</v>
      </c>
      <c r="M524" s="1">
        <v>0</v>
      </c>
      <c r="N524" s="1">
        <f t="shared" si="29"/>
        <v>506</v>
      </c>
      <c r="O524" s="14">
        <f t="shared" si="27"/>
        <v>506</v>
      </c>
      <c r="P524" s="17">
        <f t="shared" si="28"/>
        <v>1091</v>
      </c>
      <c r="Q524" s="1">
        <v>0</v>
      </c>
      <c r="R524" s="1">
        <v>0</v>
      </c>
      <c r="S524" s="20">
        <v>38596</v>
      </c>
      <c r="T524" s="1">
        <v>1597</v>
      </c>
      <c r="U524" s="9">
        <v>1091</v>
      </c>
      <c r="V524" s="9" t="s">
        <v>21</v>
      </c>
    </row>
    <row r="525" spans="1:22" x14ac:dyDescent="0.25">
      <c r="A525" s="10" t="s">
        <v>19</v>
      </c>
      <c r="B525" t="b">
        <v>0</v>
      </c>
      <c r="C525" t="b">
        <v>0</v>
      </c>
      <c r="D525" s="1">
        <v>0</v>
      </c>
      <c r="E525" s="1">
        <v>0</v>
      </c>
      <c r="F525" s="1">
        <v>0</v>
      </c>
      <c r="G525" s="1">
        <v>906</v>
      </c>
      <c r="H525" s="1">
        <v>0</v>
      </c>
      <c r="I525" s="1">
        <v>0</v>
      </c>
      <c r="J525" s="1">
        <f t="shared" si="26"/>
        <v>906</v>
      </c>
      <c r="K525" s="1">
        <v>298</v>
      </c>
      <c r="L525" s="1">
        <v>0</v>
      </c>
      <c r="M525" s="1">
        <v>0</v>
      </c>
      <c r="N525" s="1">
        <f t="shared" si="29"/>
        <v>298</v>
      </c>
      <c r="O525" s="14">
        <f t="shared" si="27"/>
        <v>298</v>
      </c>
      <c r="P525" s="17">
        <f t="shared" si="28"/>
        <v>906</v>
      </c>
      <c r="Q525" s="1">
        <v>0</v>
      </c>
      <c r="R525" s="1">
        <v>0</v>
      </c>
      <c r="S525" s="20">
        <v>38626</v>
      </c>
      <c r="T525" s="1">
        <v>1204</v>
      </c>
      <c r="U525" s="9">
        <v>906</v>
      </c>
      <c r="V525" s="9" t="s">
        <v>21</v>
      </c>
    </row>
    <row r="526" spans="1:22" x14ac:dyDescent="0.25">
      <c r="A526" s="10" t="s">
        <v>19</v>
      </c>
      <c r="B526" t="b">
        <v>0</v>
      </c>
      <c r="C526" t="b">
        <v>0</v>
      </c>
      <c r="D526" s="1">
        <v>0</v>
      </c>
      <c r="E526" s="1">
        <v>0</v>
      </c>
      <c r="F526" s="1">
        <v>0</v>
      </c>
      <c r="G526" s="1">
        <v>366</v>
      </c>
      <c r="H526" s="1">
        <v>0</v>
      </c>
      <c r="I526" s="1">
        <v>0</v>
      </c>
      <c r="J526" s="1">
        <f t="shared" si="26"/>
        <v>366</v>
      </c>
      <c r="K526" s="1">
        <v>0</v>
      </c>
      <c r="L526" s="1">
        <v>0</v>
      </c>
      <c r="M526" s="1">
        <v>0</v>
      </c>
      <c r="N526" s="1">
        <f t="shared" si="29"/>
        <v>0</v>
      </c>
      <c r="O526" s="14">
        <f t="shared" si="27"/>
        <v>0</v>
      </c>
      <c r="P526" s="17">
        <f t="shared" si="28"/>
        <v>366</v>
      </c>
      <c r="Q526" s="1">
        <v>0</v>
      </c>
      <c r="R526" s="1">
        <v>0</v>
      </c>
      <c r="S526" s="20">
        <v>38657</v>
      </c>
      <c r="T526" s="1">
        <v>366</v>
      </c>
      <c r="U526" s="9">
        <v>366</v>
      </c>
      <c r="V526" s="9" t="s">
        <v>21</v>
      </c>
    </row>
    <row r="527" spans="1:22" x14ac:dyDescent="0.25">
      <c r="A527" s="10" t="s">
        <v>19</v>
      </c>
      <c r="B527" t="b">
        <v>0</v>
      </c>
      <c r="C527" t="b">
        <v>0</v>
      </c>
      <c r="D527" s="1">
        <v>0</v>
      </c>
      <c r="E527" s="1">
        <v>0</v>
      </c>
      <c r="F527" s="1">
        <v>0</v>
      </c>
      <c r="G527" s="1">
        <v>366</v>
      </c>
      <c r="H527" s="1">
        <v>0</v>
      </c>
      <c r="I527" s="1">
        <v>0</v>
      </c>
      <c r="J527" s="1">
        <f t="shared" si="26"/>
        <v>366</v>
      </c>
      <c r="K527" s="1">
        <v>0</v>
      </c>
      <c r="L527" s="1">
        <v>0</v>
      </c>
      <c r="M527" s="1">
        <v>0</v>
      </c>
      <c r="N527" s="1">
        <f t="shared" si="29"/>
        <v>0</v>
      </c>
      <c r="O527" s="14">
        <f t="shared" si="27"/>
        <v>0</v>
      </c>
      <c r="P527" s="17">
        <f t="shared" si="28"/>
        <v>366</v>
      </c>
      <c r="Q527" s="1">
        <v>0</v>
      </c>
      <c r="R527" s="1">
        <v>0</v>
      </c>
      <c r="S527" s="20">
        <v>38687</v>
      </c>
      <c r="T527" s="1">
        <v>366</v>
      </c>
      <c r="U527" s="9">
        <v>366</v>
      </c>
      <c r="V527" s="9" t="s">
        <v>21</v>
      </c>
    </row>
    <row r="528" spans="1:22" x14ac:dyDescent="0.25">
      <c r="A528" s="10" t="s">
        <v>19</v>
      </c>
      <c r="B528" t="b">
        <v>0</v>
      </c>
      <c r="C528" t="b">
        <v>0</v>
      </c>
      <c r="D528" s="1">
        <v>0</v>
      </c>
      <c r="E528" s="1">
        <v>0</v>
      </c>
      <c r="F528" s="1">
        <v>0</v>
      </c>
      <c r="G528" s="1">
        <v>366</v>
      </c>
      <c r="H528" s="1">
        <v>0</v>
      </c>
      <c r="I528" s="1">
        <v>0</v>
      </c>
      <c r="J528" s="1">
        <f t="shared" si="26"/>
        <v>366</v>
      </c>
      <c r="K528" s="1">
        <v>0</v>
      </c>
      <c r="L528" s="1">
        <v>0</v>
      </c>
      <c r="M528" s="1">
        <v>0</v>
      </c>
      <c r="N528" s="1">
        <f t="shared" si="29"/>
        <v>0</v>
      </c>
      <c r="O528" s="14">
        <f t="shared" si="27"/>
        <v>0</v>
      </c>
      <c r="P528" s="17">
        <f t="shared" si="28"/>
        <v>366</v>
      </c>
      <c r="Q528" s="1">
        <v>0</v>
      </c>
      <c r="R528" s="1">
        <v>0</v>
      </c>
      <c r="S528" s="20">
        <v>38718</v>
      </c>
      <c r="T528" s="1">
        <v>366</v>
      </c>
      <c r="U528" s="9">
        <v>366</v>
      </c>
      <c r="V528" s="9" t="s">
        <v>21</v>
      </c>
    </row>
    <row r="529" spans="1:22" x14ac:dyDescent="0.25">
      <c r="A529" s="10" t="s">
        <v>19</v>
      </c>
      <c r="B529" t="b">
        <v>0</v>
      </c>
      <c r="C529" t="b">
        <v>0</v>
      </c>
      <c r="D529" s="1">
        <v>0</v>
      </c>
      <c r="E529" s="1">
        <v>0</v>
      </c>
      <c r="F529" s="1">
        <v>0</v>
      </c>
      <c r="G529" s="1">
        <v>366</v>
      </c>
      <c r="H529" s="1">
        <v>0</v>
      </c>
      <c r="I529" s="1">
        <v>0</v>
      </c>
      <c r="J529" s="1">
        <f t="shared" si="26"/>
        <v>366</v>
      </c>
      <c r="K529" s="1">
        <v>0</v>
      </c>
      <c r="L529" s="1">
        <v>0</v>
      </c>
      <c r="M529" s="1">
        <v>0</v>
      </c>
      <c r="N529" s="1">
        <f t="shared" si="29"/>
        <v>0</v>
      </c>
      <c r="O529" s="14">
        <f t="shared" si="27"/>
        <v>0</v>
      </c>
      <c r="P529" s="17">
        <f t="shared" si="28"/>
        <v>366</v>
      </c>
      <c r="Q529" s="1">
        <v>0</v>
      </c>
      <c r="R529" s="1">
        <v>0</v>
      </c>
      <c r="S529" s="20">
        <v>38749</v>
      </c>
      <c r="T529" s="1">
        <v>366</v>
      </c>
      <c r="U529" s="9">
        <v>366</v>
      </c>
      <c r="V529" s="9" t="s">
        <v>21</v>
      </c>
    </row>
    <row r="530" spans="1:22" x14ac:dyDescent="0.25">
      <c r="A530" s="10" t="s">
        <v>19</v>
      </c>
      <c r="B530" t="b">
        <v>0</v>
      </c>
      <c r="C530" t="b">
        <v>0</v>
      </c>
      <c r="D530" s="1">
        <v>0</v>
      </c>
      <c r="E530" s="1">
        <v>0</v>
      </c>
      <c r="F530" s="1">
        <v>0</v>
      </c>
      <c r="G530" s="1">
        <v>366</v>
      </c>
      <c r="H530" s="1">
        <v>0</v>
      </c>
      <c r="I530" s="1">
        <v>0</v>
      </c>
      <c r="J530" s="1">
        <f t="shared" si="26"/>
        <v>366</v>
      </c>
      <c r="K530" s="1">
        <v>0</v>
      </c>
      <c r="L530" s="1">
        <v>0</v>
      </c>
      <c r="M530" s="1">
        <v>0</v>
      </c>
      <c r="N530" s="1">
        <f t="shared" si="29"/>
        <v>0</v>
      </c>
      <c r="O530" s="14">
        <f t="shared" si="27"/>
        <v>0</v>
      </c>
      <c r="P530" s="17">
        <f t="shared" si="28"/>
        <v>366</v>
      </c>
      <c r="Q530" s="1">
        <v>0</v>
      </c>
      <c r="R530" s="1">
        <v>0</v>
      </c>
      <c r="S530" s="20">
        <v>38777</v>
      </c>
      <c r="T530" s="1">
        <v>366</v>
      </c>
      <c r="U530" s="9">
        <v>366</v>
      </c>
      <c r="V530" s="9" t="s">
        <v>21</v>
      </c>
    </row>
    <row r="531" spans="1:22" x14ac:dyDescent="0.25">
      <c r="A531" s="10" t="s">
        <v>19</v>
      </c>
      <c r="B531" t="b">
        <v>0</v>
      </c>
      <c r="C531" t="b">
        <v>0</v>
      </c>
      <c r="D531" s="1">
        <v>0</v>
      </c>
      <c r="E531" s="1">
        <v>0</v>
      </c>
      <c r="F531" s="1">
        <v>0</v>
      </c>
      <c r="G531" s="1">
        <v>366</v>
      </c>
      <c r="H531" s="1">
        <v>0</v>
      </c>
      <c r="I531" s="1">
        <v>0</v>
      </c>
      <c r="J531" s="1">
        <f t="shared" si="26"/>
        <v>366</v>
      </c>
      <c r="K531" s="1">
        <v>0</v>
      </c>
      <c r="L531" s="1">
        <v>0</v>
      </c>
      <c r="M531" s="1">
        <v>0</v>
      </c>
      <c r="N531" s="1">
        <f t="shared" si="29"/>
        <v>0</v>
      </c>
      <c r="O531" s="14">
        <f t="shared" si="27"/>
        <v>0</v>
      </c>
      <c r="P531" s="17">
        <f t="shared" si="28"/>
        <v>366</v>
      </c>
      <c r="Q531" s="1">
        <v>0</v>
      </c>
      <c r="R531" s="1">
        <v>0</v>
      </c>
      <c r="S531" s="20">
        <v>38808</v>
      </c>
      <c r="T531" s="1">
        <v>366</v>
      </c>
      <c r="U531" s="9">
        <v>366</v>
      </c>
      <c r="V531" s="9" t="s">
        <v>21</v>
      </c>
    </row>
    <row r="532" spans="1:22" x14ac:dyDescent="0.25">
      <c r="A532" s="10" t="s">
        <v>19</v>
      </c>
      <c r="B532" t="b">
        <v>0</v>
      </c>
      <c r="C532" t="b">
        <v>0</v>
      </c>
      <c r="D532" s="1">
        <v>0</v>
      </c>
      <c r="E532" s="1">
        <v>0</v>
      </c>
      <c r="F532" s="1">
        <v>0</v>
      </c>
      <c r="G532" s="1">
        <v>1345</v>
      </c>
      <c r="H532" s="1">
        <v>0</v>
      </c>
      <c r="I532" s="1">
        <v>0</v>
      </c>
      <c r="J532" s="1">
        <f t="shared" si="26"/>
        <v>1345</v>
      </c>
      <c r="K532" s="1">
        <v>524</v>
      </c>
      <c r="L532" s="1">
        <v>0</v>
      </c>
      <c r="M532" s="1">
        <v>0</v>
      </c>
      <c r="N532" s="1">
        <f t="shared" si="29"/>
        <v>524</v>
      </c>
      <c r="O532" s="14">
        <f t="shared" si="27"/>
        <v>524</v>
      </c>
      <c r="P532" s="17">
        <f t="shared" si="28"/>
        <v>1345</v>
      </c>
      <c r="Q532" s="1">
        <v>0</v>
      </c>
      <c r="R532" s="1">
        <v>0</v>
      </c>
      <c r="S532" s="20">
        <v>38838</v>
      </c>
      <c r="T532" s="1">
        <v>1869</v>
      </c>
      <c r="U532" s="9">
        <v>1345</v>
      </c>
      <c r="V532" s="9" t="s">
        <v>21</v>
      </c>
    </row>
    <row r="533" spans="1:22" x14ac:dyDescent="0.25">
      <c r="A533" s="10" t="s">
        <v>19</v>
      </c>
      <c r="B533" t="b">
        <v>0</v>
      </c>
      <c r="C533" t="b">
        <v>0</v>
      </c>
      <c r="D533" s="1">
        <v>0</v>
      </c>
      <c r="E533" s="1">
        <v>0</v>
      </c>
      <c r="F533" s="1">
        <v>0</v>
      </c>
      <c r="G533" s="1">
        <v>1171</v>
      </c>
      <c r="H533" s="1">
        <v>0</v>
      </c>
      <c r="I533" s="1">
        <v>0</v>
      </c>
      <c r="J533" s="1">
        <f t="shared" si="26"/>
        <v>1171</v>
      </c>
      <c r="K533" s="1">
        <v>308</v>
      </c>
      <c r="L533" s="1">
        <v>0</v>
      </c>
      <c r="M533" s="1">
        <v>0</v>
      </c>
      <c r="N533" s="1">
        <f t="shared" si="29"/>
        <v>308</v>
      </c>
      <c r="O533" s="14">
        <f t="shared" si="27"/>
        <v>308</v>
      </c>
      <c r="P533" s="17">
        <f t="shared" si="28"/>
        <v>1171</v>
      </c>
      <c r="Q533" s="1">
        <v>0</v>
      </c>
      <c r="R533" s="1">
        <v>0</v>
      </c>
      <c r="S533" s="20">
        <v>38869</v>
      </c>
      <c r="T533" s="1">
        <v>1479</v>
      </c>
      <c r="U533" s="9">
        <v>1171</v>
      </c>
      <c r="V533" s="9" t="s">
        <v>21</v>
      </c>
    </row>
    <row r="534" spans="1:22" x14ac:dyDescent="0.25">
      <c r="A534" s="10" t="s">
        <v>19</v>
      </c>
      <c r="B534" t="b">
        <v>0</v>
      </c>
      <c r="C534" t="b">
        <v>0</v>
      </c>
      <c r="D534" s="1">
        <v>0</v>
      </c>
      <c r="E534" s="1">
        <v>0</v>
      </c>
      <c r="F534" s="1">
        <v>0</v>
      </c>
      <c r="G534" s="1">
        <v>928</v>
      </c>
      <c r="H534" s="1">
        <v>0</v>
      </c>
      <c r="I534" s="1">
        <v>0</v>
      </c>
      <c r="J534" s="1">
        <f t="shared" si="26"/>
        <v>928</v>
      </c>
      <c r="K534" s="1">
        <v>297</v>
      </c>
      <c r="L534" s="1">
        <v>0</v>
      </c>
      <c r="M534" s="1">
        <v>0</v>
      </c>
      <c r="N534" s="1">
        <f t="shared" si="29"/>
        <v>297</v>
      </c>
      <c r="O534" s="14">
        <f t="shared" si="27"/>
        <v>297</v>
      </c>
      <c r="P534" s="17">
        <f t="shared" si="28"/>
        <v>928</v>
      </c>
      <c r="Q534" s="1">
        <v>0</v>
      </c>
      <c r="R534" s="1">
        <v>0</v>
      </c>
      <c r="S534" s="20">
        <v>38899</v>
      </c>
      <c r="T534" s="1">
        <v>1225</v>
      </c>
      <c r="U534" s="9">
        <v>928</v>
      </c>
      <c r="V534" s="9" t="s">
        <v>21</v>
      </c>
    </row>
    <row r="535" spans="1:22" x14ac:dyDescent="0.25">
      <c r="A535" s="10" t="s">
        <v>19</v>
      </c>
      <c r="B535" t="b">
        <v>0</v>
      </c>
      <c r="C535" t="b">
        <v>0</v>
      </c>
      <c r="D535" s="1">
        <v>0</v>
      </c>
      <c r="E535" s="1">
        <v>0</v>
      </c>
      <c r="F535" s="1">
        <v>0</v>
      </c>
      <c r="G535" s="1">
        <v>1451</v>
      </c>
      <c r="H535" s="1">
        <v>0</v>
      </c>
      <c r="I535" s="1">
        <v>0</v>
      </c>
      <c r="J535" s="1">
        <f t="shared" si="26"/>
        <v>1451</v>
      </c>
      <c r="K535" s="1">
        <v>238</v>
      </c>
      <c r="L535" s="1">
        <v>0</v>
      </c>
      <c r="M535" s="1">
        <v>0</v>
      </c>
      <c r="N535" s="1">
        <f t="shared" si="29"/>
        <v>238</v>
      </c>
      <c r="O535" s="14">
        <f t="shared" si="27"/>
        <v>238</v>
      </c>
      <c r="P535" s="17">
        <f t="shared" si="28"/>
        <v>1451</v>
      </c>
      <c r="Q535" s="1">
        <v>0</v>
      </c>
      <c r="R535" s="1">
        <v>0</v>
      </c>
      <c r="S535" s="20">
        <v>38930</v>
      </c>
      <c r="T535" s="1">
        <v>1689</v>
      </c>
      <c r="U535" s="9">
        <v>1451</v>
      </c>
      <c r="V535" s="9" t="s">
        <v>21</v>
      </c>
    </row>
    <row r="536" spans="1:22" x14ac:dyDescent="0.25">
      <c r="A536" s="10" t="s">
        <v>19</v>
      </c>
      <c r="B536" t="b">
        <v>0</v>
      </c>
      <c r="C536" t="b">
        <v>0</v>
      </c>
      <c r="D536" s="1">
        <v>0</v>
      </c>
      <c r="E536" s="1">
        <v>0</v>
      </c>
      <c r="F536" s="1">
        <v>0</v>
      </c>
      <c r="G536" s="1">
        <v>969</v>
      </c>
      <c r="H536" s="1">
        <v>0</v>
      </c>
      <c r="I536" s="1">
        <v>0</v>
      </c>
      <c r="J536" s="1">
        <f t="shared" si="26"/>
        <v>969</v>
      </c>
      <c r="K536" s="1">
        <v>277</v>
      </c>
      <c r="L536" s="1">
        <v>0</v>
      </c>
      <c r="M536" s="1">
        <v>0</v>
      </c>
      <c r="N536" s="1">
        <f t="shared" si="29"/>
        <v>277</v>
      </c>
      <c r="O536" s="14">
        <f t="shared" si="27"/>
        <v>277</v>
      </c>
      <c r="P536" s="17">
        <f t="shared" si="28"/>
        <v>969</v>
      </c>
      <c r="Q536" s="1">
        <v>0</v>
      </c>
      <c r="R536" s="1">
        <v>0</v>
      </c>
      <c r="S536" s="20">
        <v>38961</v>
      </c>
      <c r="T536" s="1">
        <v>1246</v>
      </c>
      <c r="U536" s="9">
        <v>969</v>
      </c>
      <c r="V536" s="9" t="s">
        <v>21</v>
      </c>
    </row>
    <row r="537" spans="1:22" x14ac:dyDescent="0.25">
      <c r="A537" s="10" t="s">
        <v>19</v>
      </c>
      <c r="B537" t="b">
        <v>0</v>
      </c>
      <c r="C537" t="b">
        <v>0</v>
      </c>
      <c r="D537" s="1">
        <v>0</v>
      </c>
      <c r="E537" s="1">
        <v>0</v>
      </c>
      <c r="F537" s="1">
        <v>0</v>
      </c>
      <c r="G537" s="1">
        <v>366</v>
      </c>
      <c r="H537" s="1">
        <v>0</v>
      </c>
      <c r="I537" s="1">
        <v>0</v>
      </c>
      <c r="J537" s="1">
        <f t="shared" si="26"/>
        <v>366</v>
      </c>
      <c r="K537" s="1">
        <v>0</v>
      </c>
      <c r="L537" s="1">
        <v>0</v>
      </c>
      <c r="M537" s="1">
        <v>0</v>
      </c>
      <c r="N537" s="1">
        <f t="shared" si="29"/>
        <v>0</v>
      </c>
      <c r="O537" s="14">
        <f t="shared" si="27"/>
        <v>0</v>
      </c>
      <c r="P537" s="17">
        <f t="shared" si="28"/>
        <v>366</v>
      </c>
      <c r="Q537" s="1">
        <v>0</v>
      </c>
      <c r="R537" s="1">
        <v>0</v>
      </c>
      <c r="S537" s="20">
        <v>38991</v>
      </c>
      <c r="T537" s="1">
        <v>366</v>
      </c>
      <c r="U537" s="9">
        <v>366</v>
      </c>
      <c r="V537" s="9" t="s">
        <v>21</v>
      </c>
    </row>
    <row r="538" spans="1:22" x14ac:dyDescent="0.25">
      <c r="A538" s="10" t="s">
        <v>19</v>
      </c>
      <c r="B538" t="b">
        <v>0</v>
      </c>
      <c r="C538" t="b">
        <v>0</v>
      </c>
      <c r="D538" s="1">
        <v>0</v>
      </c>
      <c r="E538" s="1">
        <v>0</v>
      </c>
      <c r="F538" s="1">
        <v>0</v>
      </c>
      <c r="G538" s="1">
        <v>366</v>
      </c>
      <c r="H538" s="1">
        <v>0</v>
      </c>
      <c r="I538" s="1">
        <v>0</v>
      </c>
      <c r="J538" s="1">
        <f t="shared" si="26"/>
        <v>366</v>
      </c>
      <c r="K538" s="1">
        <v>0</v>
      </c>
      <c r="L538" s="1">
        <v>0</v>
      </c>
      <c r="M538" s="1">
        <v>0</v>
      </c>
      <c r="N538" s="1">
        <f t="shared" si="29"/>
        <v>0</v>
      </c>
      <c r="O538" s="14">
        <f t="shared" si="27"/>
        <v>0</v>
      </c>
      <c r="P538" s="17">
        <f t="shared" si="28"/>
        <v>366</v>
      </c>
      <c r="Q538" s="1">
        <v>0</v>
      </c>
      <c r="R538" s="1">
        <v>0</v>
      </c>
      <c r="S538" s="20">
        <v>39022</v>
      </c>
      <c r="T538" s="1">
        <v>366</v>
      </c>
      <c r="U538" s="9">
        <v>366</v>
      </c>
      <c r="V538" s="9" t="s">
        <v>21</v>
      </c>
    </row>
    <row r="539" spans="1:22" x14ac:dyDescent="0.25">
      <c r="A539" s="10" t="s">
        <v>19</v>
      </c>
      <c r="B539" t="b">
        <v>0</v>
      </c>
      <c r="C539" t="b">
        <v>0</v>
      </c>
      <c r="D539" s="1">
        <v>0</v>
      </c>
      <c r="E539" s="1">
        <v>0</v>
      </c>
      <c r="F539" s="1">
        <v>0</v>
      </c>
      <c r="G539" s="1">
        <v>366</v>
      </c>
      <c r="H539" s="1">
        <v>0</v>
      </c>
      <c r="I539" s="1">
        <v>0</v>
      </c>
      <c r="J539" s="1">
        <f t="shared" ref="J539:J602" si="30">D539+E539+F539+G539+H539+I539</f>
        <v>366</v>
      </c>
      <c r="K539" s="1">
        <v>0</v>
      </c>
      <c r="L539" s="1">
        <v>0</v>
      </c>
      <c r="M539" s="1">
        <v>0</v>
      </c>
      <c r="N539" s="1">
        <f t="shared" si="29"/>
        <v>0</v>
      </c>
      <c r="O539" s="14">
        <f t="shared" ref="O539:O602" si="31">K539</f>
        <v>0</v>
      </c>
      <c r="P539" s="17">
        <f t="shared" ref="P539:P602" si="32">J539</f>
        <v>366</v>
      </c>
      <c r="Q539" s="1">
        <v>0</v>
      </c>
      <c r="R539" s="1">
        <v>0</v>
      </c>
      <c r="S539" s="20">
        <v>39052</v>
      </c>
      <c r="T539" s="1">
        <v>366</v>
      </c>
      <c r="U539" s="9">
        <v>366</v>
      </c>
      <c r="V539" s="9" t="s">
        <v>21</v>
      </c>
    </row>
    <row r="540" spans="1:22" x14ac:dyDescent="0.25">
      <c r="A540" s="10" t="s">
        <v>19</v>
      </c>
      <c r="B540" t="b">
        <v>0</v>
      </c>
      <c r="C540" t="b">
        <v>0</v>
      </c>
      <c r="D540" s="1">
        <v>0</v>
      </c>
      <c r="E540" s="1">
        <v>0</v>
      </c>
      <c r="F540" s="1">
        <v>0</v>
      </c>
      <c r="G540" s="1">
        <v>366</v>
      </c>
      <c r="H540" s="1">
        <v>0</v>
      </c>
      <c r="I540" s="1">
        <v>0</v>
      </c>
      <c r="J540" s="1">
        <f t="shared" si="30"/>
        <v>366</v>
      </c>
      <c r="K540" s="1">
        <v>0</v>
      </c>
      <c r="L540" s="1">
        <v>0</v>
      </c>
      <c r="M540" s="1">
        <v>0</v>
      </c>
      <c r="N540" s="1">
        <f t="shared" si="29"/>
        <v>0</v>
      </c>
      <c r="O540" s="14">
        <f t="shared" si="31"/>
        <v>0</v>
      </c>
      <c r="P540" s="17">
        <f t="shared" si="32"/>
        <v>366</v>
      </c>
      <c r="Q540" s="1">
        <v>0</v>
      </c>
      <c r="R540" s="1">
        <v>0</v>
      </c>
      <c r="S540" s="20">
        <v>39083</v>
      </c>
      <c r="T540" s="1">
        <v>366</v>
      </c>
      <c r="U540" s="9">
        <v>366</v>
      </c>
      <c r="V540" s="9" t="s">
        <v>41</v>
      </c>
    </row>
    <row r="541" spans="1:22" x14ac:dyDescent="0.25">
      <c r="A541" s="10" t="s">
        <v>19</v>
      </c>
      <c r="B541" t="b">
        <v>0</v>
      </c>
      <c r="C541" t="b">
        <v>0</v>
      </c>
      <c r="D541" s="1">
        <v>0</v>
      </c>
      <c r="E541" s="1">
        <v>0</v>
      </c>
      <c r="F541" s="1">
        <v>0</v>
      </c>
      <c r="G541" s="1">
        <v>366</v>
      </c>
      <c r="H541" s="1">
        <v>0</v>
      </c>
      <c r="I541" s="1">
        <v>0</v>
      </c>
      <c r="J541" s="1">
        <f t="shared" si="30"/>
        <v>366</v>
      </c>
      <c r="K541" s="1">
        <v>0</v>
      </c>
      <c r="L541" s="1">
        <v>0</v>
      </c>
      <c r="M541" s="1">
        <v>0</v>
      </c>
      <c r="N541" s="1">
        <f t="shared" si="29"/>
        <v>0</v>
      </c>
      <c r="O541" s="14">
        <f t="shared" si="31"/>
        <v>0</v>
      </c>
      <c r="P541" s="17">
        <f t="shared" si="32"/>
        <v>366</v>
      </c>
      <c r="Q541" s="1">
        <v>0</v>
      </c>
      <c r="R541" s="1">
        <v>0</v>
      </c>
      <c r="S541" s="20">
        <v>39114</v>
      </c>
      <c r="T541" s="1">
        <v>366</v>
      </c>
      <c r="U541" s="9">
        <v>366</v>
      </c>
      <c r="V541" s="9" t="s">
        <v>41</v>
      </c>
    </row>
    <row r="542" spans="1:22" x14ac:dyDescent="0.25">
      <c r="A542" s="10" t="s">
        <v>19</v>
      </c>
      <c r="B542" t="b">
        <v>0</v>
      </c>
      <c r="C542" t="b">
        <v>0</v>
      </c>
      <c r="D542" s="1">
        <v>0</v>
      </c>
      <c r="E542" s="1">
        <v>0</v>
      </c>
      <c r="F542" s="1">
        <v>0</v>
      </c>
      <c r="G542" s="1">
        <v>388</v>
      </c>
      <c r="H542" s="1">
        <v>0</v>
      </c>
      <c r="I542" s="1">
        <v>0</v>
      </c>
      <c r="J542" s="1">
        <f t="shared" si="30"/>
        <v>388</v>
      </c>
      <c r="K542" s="1">
        <v>228</v>
      </c>
      <c r="L542" s="1">
        <v>0</v>
      </c>
      <c r="M542" s="1">
        <v>0</v>
      </c>
      <c r="N542" s="1">
        <f t="shared" si="29"/>
        <v>228</v>
      </c>
      <c r="O542" s="14">
        <f t="shared" si="31"/>
        <v>228</v>
      </c>
      <c r="P542" s="17">
        <f t="shared" si="32"/>
        <v>388</v>
      </c>
      <c r="Q542" s="1">
        <v>0</v>
      </c>
      <c r="R542" s="1">
        <v>0</v>
      </c>
      <c r="S542" s="20">
        <v>39142</v>
      </c>
      <c r="T542" s="1">
        <v>616</v>
      </c>
      <c r="U542" s="9">
        <v>388</v>
      </c>
      <c r="V542" s="9" t="s">
        <v>41</v>
      </c>
    </row>
    <row r="543" spans="1:22" x14ac:dyDescent="0.25">
      <c r="A543" s="10" t="s">
        <v>19</v>
      </c>
      <c r="B543" t="b">
        <v>0</v>
      </c>
      <c r="C543" t="b">
        <v>0</v>
      </c>
      <c r="D543" s="1">
        <v>0</v>
      </c>
      <c r="E543" s="1">
        <v>0</v>
      </c>
      <c r="F543" s="1">
        <v>0</v>
      </c>
      <c r="G543" s="1">
        <v>652</v>
      </c>
      <c r="H543" s="1">
        <v>0</v>
      </c>
      <c r="I543" s="1">
        <v>0</v>
      </c>
      <c r="J543" s="1">
        <f t="shared" si="30"/>
        <v>652</v>
      </c>
      <c r="K543" s="1">
        <v>219</v>
      </c>
      <c r="L543" s="1">
        <v>0</v>
      </c>
      <c r="M543" s="1">
        <v>0</v>
      </c>
      <c r="N543" s="1">
        <f t="shared" si="29"/>
        <v>219</v>
      </c>
      <c r="O543" s="14">
        <f t="shared" si="31"/>
        <v>219</v>
      </c>
      <c r="P543" s="17">
        <f t="shared" si="32"/>
        <v>652</v>
      </c>
      <c r="Q543" s="1">
        <v>0</v>
      </c>
      <c r="R543" s="1">
        <v>0</v>
      </c>
      <c r="S543" s="20">
        <v>39173</v>
      </c>
      <c r="T543" s="1">
        <v>871</v>
      </c>
      <c r="U543" s="9">
        <v>652</v>
      </c>
      <c r="V543" s="9" t="s">
        <v>41</v>
      </c>
    </row>
    <row r="544" spans="1:22" x14ac:dyDescent="0.25">
      <c r="A544" s="10" t="s">
        <v>19</v>
      </c>
      <c r="B544" t="b">
        <v>0</v>
      </c>
      <c r="C544" t="b">
        <v>0</v>
      </c>
      <c r="D544" s="1">
        <v>0</v>
      </c>
      <c r="E544" s="1">
        <v>0</v>
      </c>
      <c r="F544" s="1">
        <v>0</v>
      </c>
      <c r="G544" s="1">
        <v>1405</v>
      </c>
      <c r="H544" s="1">
        <v>0</v>
      </c>
      <c r="I544" s="1">
        <v>0</v>
      </c>
      <c r="J544" s="1">
        <f t="shared" si="30"/>
        <v>1405</v>
      </c>
      <c r="K544" s="1">
        <v>468</v>
      </c>
      <c r="L544" s="1">
        <v>0</v>
      </c>
      <c r="M544" s="1">
        <v>0</v>
      </c>
      <c r="N544" s="1">
        <f t="shared" si="29"/>
        <v>468</v>
      </c>
      <c r="O544" s="14">
        <f t="shared" si="31"/>
        <v>468</v>
      </c>
      <c r="P544" s="17">
        <f t="shared" si="32"/>
        <v>1405</v>
      </c>
      <c r="Q544" s="1">
        <v>0</v>
      </c>
      <c r="R544" s="1">
        <v>0</v>
      </c>
      <c r="S544" s="20">
        <v>39203</v>
      </c>
      <c r="T544" s="1">
        <v>1873</v>
      </c>
      <c r="U544" s="9">
        <v>1405</v>
      </c>
      <c r="V544" s="9" t="s">
        <v>41</v>
      </c>
    </row>
    <row r="545" spans="1:22" x14ac:dyDescent="0.25">
      <c r="A545" s="10" t="s">
        <v>19</v>
      </c>
      <c r="B545" t="b">
        <v>0</v>
      </c>
      <c r="C545" t="b">
        <v>0</v>
      </c>
      <c r="D545" s="1">
        <v>0</v>
      </c>
      <c r="E545" s="1">
        <v>0</v>
      </c>
      <c r="F545" s="1">
        <v>0</v>
      </c>
      <c r="G545" s="1">
        <v>1092</v>
      </c>
      <c r="H545" s="1">
        <v>0</v>
      </c>
      <c r="I545" s="1">
        <v>0</v>
      </c>
      <c r="J545" s="1">
        <f t="shared" si="30"/>
        <v>1092</v>
      </c>
      <c r="K545" s="1">
        <v>370</v>
      </c>
      <c r="L545" s="1">
        <v>0</v>
      </c>
      <c r="M545" s="1">
        <v>0</v>
      </c>
      <c r="N545" s="1">
        <f t="shared" si="29"/>
        <v>370</v>
      </c>
      <c r="O545" s="14">
        <f t="shared" si="31"/>
        <v>370</v>
      </c>
      <c r="P545" s="17">
        <f t="shared" si="32"/>
        <v>1092</v>
      </c>
      <c r="Q545" s="1">
        <v>0</v>
      </c>
      <c r="R545" s="1">
        <v>0</v>
      </c>
      <c r="S545" s="20">
        <v>39234</v>
      </c>
      <c r="T545" s="1">
        <v>1462</v>
      </c>
      <c r="U545" s="9">
        <v>1092</v>
      </c>
      <c r="V545" s="9" t="s">
        <v>41</v>
      </c>
    </row>
    <row r="546" spans="1:22" x14ac:dyDescent="0.25">
      <c r="A546" s="10" t="s">
        <v>19</v>
      </c>
      <c r="B546" t="b">
        <v>0</v>
      </c>
      <c r="C546" t="b">
        <v>0</v>
      </c>
      <c r="D546" s="1">
        <v>0</v>
      </c>
      <c r="E546" s="1">
        <v>0</v>
      </c>
      <c r="F546" s="1">
        <v>0</v>
      </c>
      <c r="G546" s="1">
        <v>1003</v>
      </c>
      <c r="H546" s="1">
        <v>0</v>
      </c>
      <c r="I546" s="1">
        <v>0</v>
      </c>
      <c r="J546" s="1">
        <f t="shared" si="30"/>
        <v>1003</v>
      </c>
      <c r="K546" s="1">
        <v>384</v>
      </c>
      <c r="L546" s="1">
        <v>0</v>
      </c>
      <c r="M546" s="1">
        <v>0</v>
      </c>
      <c r="N546" s="1">
        <f t="shared" si="29"/>
        <v>384</v>
      </c>
      <c r="O546" s="14">
        <f t="shared" si="31"/>
        <v>384</v>
      </c>
      <c r="P546" s="17">
        <f t="shared" si="32"/>
        <v>1003</v>
      </c>
      <c r="Q546" s="1">
        <v>0</v>
      </c>
      <c r="R546" s="1">
        <v>0</v>
      </c>
      <c r="S546" s="20">
        <v>39264</v>
      </c>
      <c r="T546" s="1">
        <v>1387</v>
      </c>
      <c r="U546" s="9">
        <v>1003</v>
      </c>
      <c r="V546" s="9" t="s">
        <v>41</v>
      </c>
    </row>
    <row r="547" spans="1:22" x14ac:dyDescent="0.25">
      <c r="A547" s="10" t="s">
        <v>19</v>
      </c>
      <c r="B547" t="b">
        <v>0</v>
      </c>
      <c r="C547" t="b">
        <v>0</v>
      </c>
      <c r="D547" s="1">
        <v>0</v>
      </c>
      <c r="E547" s="1">
        <v>0</v>
      </c>
      <c r="F547" s="1">
        <v>0</v>
      </c>
      <c r="G547" s="1">
        <v>1528</v>
      </c>
      <c r="H547" s="1">
        <v>0</v>
      </c>
      <c r="I547" s="1">
        <v>0</v>
      </c>
      <c r="J547" s="1">
        <f t="shared" si="30"/>
        <v>1528</v>
      </c>
      <c r="K547" s="1">
        <v>325</v>
      </c>
      <c r="L547" s="1">
        <v>0</v>
      </c>
      <c r="M547" s="1">
        <v>0</v>
      </c>
      <c r="N547" s="1">
        <f t="shared" si="29"/>
        <v>325</v>
      </c>
      <c r="O547" s="14">
        <f t="shared" si="31"/>
        <v>325</v>
      </c>
      <c r="P547" s="17">
        <f t="shared" si="32"/>
        <v>1528</v>
      </c>
      <c r="Q547" s="1">
        <v>0</v>
      </c>
      <c r="R547" s="1">
        <v>0</v>
      </c>
      <c r="S547" s="20">
        <v>39295</v>
      </c>
      <c r="T547" s="1">
        <v>1853</v>
      </c>
      <c r="U547" s="9">
        <v>1528</v>
      </c>
      <c r="V547" s="9" t="s">
        <v>41</v>
      </c>
    </row>
    <row r="548" spans="1:22" x14ac:dyDescent="0.25">
      <c r="A548" s="10" t="s">
        <v>19</v>
      </c>
      <c r="B548" t="b">
        <v>0</v>
      </c>
      <c r="C548" t="b">
        <v>0</v>
      </c>
      <c r="D548" s="1">
        <v>0</v>
      </c>
      <c r="E548" s="1">
        <v>0</v>
      </c>
      <c r="F548" s="1">
        <v>0</v>
      </c>
      <c r="G548" s="1">
        <v>1123</v>
      </c>
      <c r="H548" s="1">
        <v>0</v>
      </c>
      <c r="I548" s="1">
        <v>0</v>
      </c>
      <c r="J548" s="1">
        <f t="shared" si="30"/>
        <v>1123</v>
      </c>
      <c r="K548" s="1">
        <v>365</v>
      </c>
      <c r="L548" s="1">
        <v>0</v>
      </c>
      <c r="M548" s="1">
        <v>0</v>
      </c>
      <c r="N548" s="1">
        <f t="shared" si="29"/>
        <v>365</v>
      </c>
      <c r="O548" s="14">
        <f t="shared" si="31"/>
        <v>365</v>
      </c>
      <c r="P548" s="17">
        <f t="shared" si="32"/>
        <v>1123</v>
      </c>
      <c r="Q548" s="1">
        <v>0</v>
      </c>
      <c r="R548" s="1">
        <v>0</v>
      </c>
      <c r="S548" s="20">
        <v>39326</v>
      </c>
      <c r="T548" s="1">
        <v>1488</v>
      </c>
      <c r="U548" s="9">
        <v>1123</v>
      </c>
      <c r="V548" s="9" t="s">
        <v>41</v>
      </c>
    </row>
    <row r="549" spans="1:22" x14ac:dyDescent="0.25">
      <c r="A549" s="10" t="s">
        <v>19</v>
      </c>
      <c r="B549" t="b">
        <v>0</v>
      </c>
      <c r="C549" t="b">
        <v>0</v>
      </c>
      <c r="D549" s="1">
        <v>0</v>
      </c>
      <c r="E549" s="1">
        <v>0</v>
      </c>
      <c r="F549" s="1">
        <v>0</v>
      </c>
      <c r="G549" s="1">
        <v>1000</v>
      </c>
      <c r="H549" s="1">
        <v>495</v>
      </c>
      <c r="I549" s="1">
        <v>0</v>
      </c>
      <c r="J549" s="1">
        <f t="shared" si="30"/>
        <v>1495</v>
      </c>
      <c r="K549" s="1">
        <v>298</v>
      </c>
      <c r="L549" s="1">
        <v>128</v>
      </c>
      <c r="M549" s="1">
        <v>0</v>
      </c>
      <c r="N549" s="1">
        <f t="shared" si="29"/>
        <v>426</v>
      </c>
      <c r="O549" s="14">
        <f t="shared" si="31"/>
        <v>298</v>
      </c>
      <c r="P549" s="17">
        <f t="shared" si="32"/>
        <v>1495</v>
      </c>
      <c r="Q549" s="1">
        <v>0</v>
      </c>
      <c r="R549" s="1">
        <v>0</v>
      </c>
      <c r="S549" s="20">
        <v>39356</v>
      </c>
      <c r="T549" s="1">
        <v>1921</v>
      </c>
      <c r="U549" s="9">
        <v>1495</v>
      </c>
      <c r="V549" s="9" t="s">
        <v>41</v>
      </c>
    </row>
    <row r="550" spans="1:22" x14ac:dyDescent="0.25">
      <c r="A550" s="10" t="s">
        <v>19</v>
      </c>
      <c r="B550" t="b">
        <v>0</v>
      </c>
      <c r="C550" t="b">
        <v>0</v>
      </c>
      <c r="D550" s="1">
        <v>0</v>
      </c>
      <c r="E550" s="1">
        <v>0</v>
      </c>
      <c r="F550" s="1">
        <v>0</v>
      </c>
      <c r="G550" s="1">
        <v>362</v>
      </c>
      <c r="H550" s="1">
        <v>0</v>
      </c>
      <c r="I550" s="1">
        <v>0</v>
      </c>
      <c r="J550" s="1">
        <f t="shared" si="30"/>
        <v>362</v>
      </c>
      <c r="K550" s="1">
        <v>0</v>
      </c>
      <c r="L550" s="1">
        <v>16</v>
      </c>
      <c r="M550" s="1">
        <v>0</v>
      </c>
      <c r="N550" s="1">
        <f t="shared" si="29"/>
        <v>16</v>
      </c>
      <c r="O550" s="14">
        <f t="shared" si="31"/>
        <v>0</v>
      </c>
      <c r="P550" s="17">
        <f t="shared" si="32"/>
        <v>362</v>
      </c>
      <c r="Q550" s="1">
        <v>0</v>
      </c>
      <c r="R550" s="1">
        <v>0</v>
      </c>
      <c r="S550" s="20">
        <v>39387</v>
      </c>
      <c r="T550" s="1">
        <v>378</v>
      </c>
      <c r="U550" s="9">
        <v>362</v>
      </c>
      <c r="V550" s="9" t="s">
        <v>41</v>
      </c>
    </row>
    <row r="551" spans="1:22" x14ac:dyDescent="0.25">
      <c r="A551" s="10" t="s">
        <v>19</v>
      </c>
      <c r="B551" t="b">
        <v>0</v>
      </c>
      <c r="C551" t="b">
        <v>0</v>
      </c>
      <c r="D551" s="1">
        <v>0</v>
      </c>
      <c r="E551" s="1">
        <v>0</v>
      </c>
      <c r="F551" s="1">
        <v>0</v>
      </c>
      <c r="G551" s="1">
        <v>337</v>
      </c>
      <c r="H551" s="1">
        <v>0</v>
      </c>
      <c r="I551" s="1">
        <v>0</v>
      </c>
      <c r="J551" s="1">
        <f t="shared" si="30"/>
        <v>337</v>
      </c>
      <c r="K551" s="1">
        <v>0</v>
      </c>
      <c r="L551" s="1">
        <v>10</v>
      </c>
      <c r="M551" s="1">
        <v>0</v>
      </c>
      <c r="N551" s="1">
        <f t="shared" si="29"/>
        <v>10</v>
      </c>
      <c r="O551" s="14">
        <f t="shared" si="31"/>
        <v>0</v>
      </c>
      <c r="P551" s="17">
        <f t="shared" si="32"/>
        <v>337</v>
      </c>
      <c r="Q551" s="1">
        <v>0</v>
      </c>
      <c r="R551" s="1">
        <v>0</v>
      </c>
      <c r="S551" s="20">
        <v>39417</v>
      </c>
      <c r="T551" s="1">
        <v>347</v>
      </c>
      <c r="U551" s="9">
        <v>337</v>
      </c>
      <c r="V551" s="9" t="s">
        <v>41</v>
      </c>
    </row>
    <row r="552" spans="1:22" x14ac:dyDescent="0.25">
      <c r="A552" s="10" t="s">
        <v>19</v>
      </c>
      <c r="B552" t="b">
        <v>0</v>
      </c>
      <c r="C552" t="b">
        <v>0</v>
      </c>
      <c r="D552" s="1">
        <v>0</v>
      </c>
      <c r="E552" s="1">
        <v>0</v>
      </c>
      <c r="F552" s="1">
        <v>0</v>
      </c>
      <c r="G552" s="1">
        <v>208</v>
      </c>
      <c r="H552" s="1">
        <v>0</v>
      </c>
      <c r="I552" s="1">
        <v>0</v>
      </c>
      <c r="J552" s="1">
        <f t="shared" si="30"/>
        <v>208</v>
      </c>
      <c r="K552" s="1">
        <v>0</v>
      </c>
      <c r="L552" s="1">
        <v>13</v>
      </c>
      <c r="M552" s="1">
        <v>0</v>
      </c>
      <c r="N552" s="1">
        <f t="shared" si="29"/>
        <v>13</v>
      </c>
      <c r="O552" s="14">
        <f t="shared" si="31"/>
        <v>0</v>
      </c>
      <c r="P552" s="17">
        <f t="shared" si="32"/>
        <v>208</v>
      </c>
      <c r="Q552" s="1">
        <v>0</v>
      </c>
      <c r="R552" s="1">
        <v>0</v>
      </c>
      <c r="S552" s="20">
        <v>39448</v>
      </c>
      <c r="T552" s="1">
        <v>221</v>
      </c>
      <c r="U552" s="9">
        <v>208</v>
      </c>
      <c r="V552" s="9" t="s">
        <v>46</v>
      </c>
    </row>
    <row r="553" spans="1:22" x14ac:dyDescent="0.25">
      <c r="A553" s="10" t="s">
        <v>19</v>
      </c>
      <c r="B553" t="b">
        <v>0</v>
      </c>
      <c r="C553" t="b">
        <v>0</v>
      </c>
      <c r="D553" s="1">
        <v>0</v>
      </c>
      <c r="E553" s="1">
        <v>0</v>
      </c>
      <c r="F553" s="1">
        <v>0</v>
      </c>
      <c r="G553" s="1">
        <v>289</v>
      </c>
      <c r="H553" s="1">
        <v>0</v>
      </c>
      <c r="I553" s="1">
        <v>0</v>
      </c>
      <c r="J553" s="1">
        <f t="shared" si="30"/>
        <v>289</v>
      </c>
      <c r="K553" s="1">
        <v>0</v>
      </c>
      <c r="L553" s="1">
        <v>0</v>
      </c>
      <c r="M553" s="1">
        <v>0</v>
      </c>
      <c r="N553" s="1">
        <f t="shared" si="29"/>
        <v>0</v>
      </c>
      <c r="O553" s="14">
        <f t="shared" si="31"/>
        <v>0</v>
      </c>
      <c r="P553" s="17">
        <f t="shared" si="32"/>
        <v>289</v>
      </c>
      <c r="Q553" s="1">
        <v>0</v>
      </c>
      <c r="R553" s="1">
        <v>0</v>
      </c>
      <c r="S553" s="20">
        <v>39479</v>
      </c>
      <c r="T553" s="1">
        <v>289</v>
      </c>
      <c r="U553" s="9">
        <v>289</v>
      </c>
      <c r="V553" s="9" t="s">
        <v>46</v>
      </c>
    </row>
    <row r="554" spans="1:22" x14ac:dyDescent="0.25">
      <c r="A554" s="10" t="s">
        <v>19</v>
      </c>
      <c r="B554" t="b">
        <v>0</v>
      </c>
      <c r="C554" t="b">
        <v>0</v>
      </c>
      <c r="D554" s="1">
        <v>0</v>
      </c>
      <c r="E554" s="1">
        <v>0</v>
      </c>
      <c r="F554" s="1">
        <v>0</v>
      </c>
      <c r="G554" s="1">
        <v>483</v>
      </c>
      <c r="H554" s="1">
        <v>0</v>
      </c>
      <c r="I554" s="1">
        <v>0</v>
      </c>
      <c r="J554" s="1">
        <f t="shared" si="30"/>
        <v>483</v>
      </c>
      <c r="K554" s="1">
        <v>312</v>
      </c>
      <c r="L554" s="1">
        <v>0</v>
      </c>
      <c r="M554" s="1">
        <v>0</v>
      </c>
      <c r="N554" s="1">
        <f t="shared" si="29"/>
        <v>312</v>
      </c>
      <c r="O554" s="14">
        <f t="shared" si="31"/>
        <v>312</v>
      </c>
      <c r="P554" s="17">
        <f t="shared" si="32"/>
        <v>483</v>
      </c>
      <c r="Q554" s="1">
        <v>0</v>
      </c>
      <c r="R554" s="1">
        <v>0</v>
      </c>
      <c r="S554" s="20">
        <v>39508</v>
      </c>
      <c r="T554" s="1">
        <v>795</v>
      </c>
      <c r="U554" s="9">
        <v>483</v>
      </c>
      <c r="V554" s="9" t="s">
        <v>46</v>
      </c>
    </row>
    <row r="555" spans="1:22" x14ac:dyDescent="0.25">
      <c r="A555" s="10" t="s">
        <v>19</v>
      </c>
      <c r="B555" t="b">
        <v>0</v>
      </c>
      <c r="C555" t="b">
        <v>0</v>
      </c>
      <c r="D555" s="1">
        <v>0</v>
      </c>
      <c r="E555" s="1">
        <v>0</v>
      </c>
      <c r="F555" s="1">
        <v>0</v>
      </c>
      <c r="G555" s="1">
        <v>773</v>
      </c>
      <c r="H555" s="1">
        <v>0</v>
      </c>
      <c r="I555" s="1">
        <v>0</v>
      </c>
      <c r="J555" s="1">
        <f t="shared" si="30"/>
        <v>773</v>
      </c>
      <c r="K555" s="1">
        <v>267</v>
      </c>
      <c r="L555" s="1">
        <v>0</v>
      </c>
      <c r="M555" s="1">
        <v>0</v>
      </c>
      <c r="N555" s="1">
        <f t="shared" si="29"/>
        <v>267</v>
      </c>
      <c r="O555" s="14">
        <f t="shared" si="31"/>
        <v>267</v>
      </c>
      <c r="P555" s="17">
        <f t="shared" si="32"/>
        <v>773</v>
      </c>
      <c r="Q555" s="1">
        <v>0</v>
      </c>
      <c r="R555" s="1">
        <v>0</v>
      </c>
      <c r="S555" s="20">
        <v>39539</v>
      </c>
      <c r="T555" s="1">
        <v>1040</v>
      </c>
      <c r="U555" s="9">
        <v>773</v>
      </c>
      <c r="V555" s="9" t="s">
        <v>46</v>
      </c>
    </row>
    <row r="556" spans="1:22" x14ac:dyDescent="0.25">
      <c r="A556" s="10" t="s">
        <v>19</v>
      </c>
      <c r="B556" t="b">
        <v>0</v>
      </c>
      <c r="C556" t="b">
        <v>0</v>
      </c>
      <c r="D556" s="1">
        <v>0</v>
      </c>
      <c r="E556" s="1">
        <v>0</v>
      </c>
      <c r="F556" s="1">
        <v>0</v>
      </c>
      <c r="G556" s="1">
        <v>1641</v>
      </c>
      <c r="H556" s="1">
        <v>0</v>
      </c>
      <c r="I556" s="1">
        <v>0</v>
      </c>
      <c r="J556" s="1">
        <f t="shared" si="30"/>
        <v>1641</v>
      </c>
      <c r="K556" s="1">
        <v>578</v>
      </c>
      <c r="L556" s="1">
        <v>0</v>
      </c>
      <c r="M556" s="1">
        <v>0</v>
      </c>
      <c r="N556" s="1">
        <f t="shared" si="29"/>
        <v>578</v>
      </c>
      <c r="O556" s="14">
        <f t="shared" si="31"/>
        <v>578</v>
      </c>
      <c r="P556" s="17">
        <f t="shared" si="32"/>
        <v>1641</v>
      </c>
      <c r="Q556" s="1">
        <v>0</v>
      </c>
      <c r="R556" s="1">
        <v>0</v>
      </c>
      <c r="S556" s="20">
        <v>39569</v>
      </c>
      <c r="T556" s="1">
        <v>2219</v>
      </c>
      <c r="U556" s="9">
        <v>1641</v>
      </c>
      <c r="V556" s="9" t="s">
        <v>46</v>
      </c>
    </row>
    <row r="557" spans="1:22" x14ac:dyDescent="0.25">
      <c r="A557" s="10" t="s">
        <v>19</v>
      </c>
      <c r="B557" t="b">
        <v>0</v>
      </c>
      <c r="C557" t="b">
        <v>0</v>
      </c>
      <c r="D557" s="1">
        <v>0</v>
      </c>
      <c r="E557" s="1">
        <v>0</v>
      </c>
      <c r="F557" s="1">
        <v>0</v>
      </c>
      <c r="G557" s="1">
        <v>1295</v>
      </c>
      <c r="H557" s="1">
        <v>0</v>
      </c>
      <c r="I557" s="1">
        <v>0</v>
      </c>
      <c r="J557" s="1">
        <f t="shared" si="30"/>
        <v>1295</v>
      </c>
      <c r="K557" s="1">
        <v>473</v>
      </c>
      <c r="L557" s="1">
        <v>0</v>
      </c>
      <c r="M557" s="1">
        <v>0</v>
      </c>
      <c r="N557" s="1">
        <f t="shared" si="29"/>
        <v>473</v>
      </c>
      <c r="O557" s="14">
        <f t="shared" si="31"/>
        <v>473</v>
      </c>
      <c r="P557" s="17">
        <f t="shared" si="32"/>
        <v>1295</v>
      </c>
      <c r="Q557" s="1">
        <v>0</v>
      </c>
      <c r="R557" s="1">
        <v>0</v>
      </c>
      <c r="S557" s="20">
        <v>39600</v>
      </c>
      <c r="T557" s="1">
        <v>1768</v>
      </c>
      <c r="U557" s="9">
        <v>1295</v>
      </c>
      <c r="V557" s="9" t="s">
        <v>46</v>
      </c>
    </row>
    <row r="558" spans="1:22" x14ac:dyDescent="0.25">
      <c r="A558" s="10" t="s">
        <v>19</v>
      </c>
      <c r="B558" t="b">
        <v>0</v>
      </c>
      <c r="C558" t="b">
        <v>0</v>
      </c>
      <c r="D558" s="1">
        <v>0</v>
      </c>
      <c r="E558" s="1">
        <v>0</v>
      </c>
      <c r="F558" s="1">
        <v>0</v>
      </c>
      <c r="G558" s="1">
        <v>1451</v>
      </c>
      <c r="H558" s="1">
        <v>0</v>
      </c>
      <c r="I558" s="1">
        <v>0</v>
      </c>
      <c r="J558" s="1">
        <f t="shared" si="30"/>
        <v>1451</v>
      </c>
      <c r="K558" s="1">
        <v>552</v>
      </c>
      <c r="L558" s="1">
        <v>0</v>
      </c>
      <c r="M558" s="1">
        <v>0</v>
      </c>
      <c r="N558" s="1">
        <f t="shared" si="29"/>
        <v>552</v>
      </c>
      <c r="O558" s="14">
        <f t="shared" si="31"/>
        <v>552</v>
      </c>
      <c r="P558" s="17">
        <f t="shared" si="32"/>
        <v>1451</v>
      </c>
      <c r="Q558" s="1">
        <v>0</v>
      </c>
      <c r="R558" s="1">
        <v>0</v>
      </c>
      <c r="S558" s="20">
        <v>39630</v>
      </c>
      <c r="T558" s="1">
        <v>2003</v>
      </c>
      <c r="U558" s="9">
        <v>1451</v>
      </c>
      <c r="V558" s="9" t="s">
        <v>46</v>
      </c>
    </row>
    <row r="559" spans="1:22" x14ac:dyDescent="0.25">
      <c r="A559" s="10" t="s">
        <v>19</v>
      </c>
      <c r="B559" t="b">
        <v>0</v>
      </c>
      <c r="C559" t="b">
        <v>0</v>
      </c>
      <c r="D559" s="1">
        <v>0</v>
      </c>
      <c r="E559" s="1">
        <v>0</v>
      </c>
      <c r="F559" s="1">
        <v>0</v>
      </c>
      <c r="G559" s="1">
        <v>1677</v>
      </c>
      <c r="H559" s="1">
        <v>0</v>
      </c>
      <c r="I559" s="1">
        <v>0</v>
      </c>
      <c r="J559" s="1">
        <f t="shared" si="30"/>
        <v>1677</v>
      </c>
      <c r="K559" s="1">
        <v>409</v>
      </c>
      <c r="L559" s="1">
        <v>0</v>
      </c>
      <c r="M559" s="1">
        <v>0</v>
      </c>
      <c r="N559" s="1">
        <f t="shared" si="29"/>
        <v>409</v>
      </c>
      <c r="O559" s="14">
        <f t="shared" si="31"/>
        <v>409</v>
      </c>
      <c r="P559" s="17">
        <f t="shared" si="32"/>
        <v>1677</v>
      </c>
      <c r="Q559" s="1">
        <v>0</v>
      </c>
      <c r="R559" s="1">
        <v>0</v>
      </c>
      <c r="S559" s="20">
        <v>39661</v>
      </c>
      <c r="T559" s="1">
        <v>2086</v>
      </c>
      <c r="U559" s="9">
        <v>1677</v>
      </c>
      <c r="V559" s="9" t="s">
        <v>46</v>
      </c>
    </row>
    <row r="560" spans="1:22" x14ac:dyDescent="0.25">
      <c r="A560" s="10" t="s">
        <v>19</v>
      </c>
      <c r="B560" t="b">
        <v>0</v>
      </c>
      <c r="C560" t="b">
        <v>0</v>
      </c>
      <c r="D560" s="1">
        <v>0</v>
      </c>
      <c r="E560" s="1">
        <v>0</v>
      </c>
      <c r="F560" s="1">
        <v>0</v>
      </c>
      <c r="G560" s="1">
        <v>1150</v>
      </c>
      <c r="H560" s="1">
        <v>0</v>
      </c>
      <c r="I560" s="1">
        <v>0</v>
      </c>
      <c r="J560" s="1">
        <f t="shared" si="30"/>
        <v>1150</v>
      </c>
      <c r="K560" s="1">
        <v>434</v>
      </c>
      <c r="L560" s="1">
        <v>0</v>
      </c>
      <c r="M560" s="1">
        <v>0</v>
      </c>
      <c r="N560" s="1">
        <f t="shared" si="29"/>
        <v>434</v>
      </c>
      <c r="O560" s="14">
        <f t="shared" si="31"/>
        <v>434</v>
      </c>
      <c r="P560" s="17">
        <f t="shared" si="32"/>
        <v>1150</v>
      </c>
      <c r="Q560" s="1">
        <v>0</v>
      </c>
      <c r="R560" s="1">
        <v>0</v>
      </c>
      <c r="S560" s="20">
        <v>39692</v>
      </c>
      <c r="T560" s="1">
        <v>1584</v>
      </c>
      <c r="U560" s="9">
        <v>1150</v>
      </c>
      <c r="V560" s="9" t="s">
        <v>46</v>
      </c>
    </row>
    <row r="561" spans="1:22" x14ac:dyDescent="0.25">
      <c r="A561" s="10" t="s">
        <v>19</v>
      </c>
      <c r="B561" t="b">
        <v>0</v>
      </c>
      <c r="C561" t="b">
        <v>0</v>
      </c>
      <c r="D561" s="1">
        <v>0</v>
      </c>
      <c r="E561" s="1">
        <v>0</v>
      </c>
      <c r="F561" s="1">
        <v>0</v>
      </c>
      <c r="G561" s="1">
        <v>1070</v>
      </c>
      <c r="H561" s="1">
        <v>0</v>
      </c>
      <c r="I561" s="1">
        <v>0</v>
      </c>
      <c r="J561" s="1">
        <f t="shared" si="30"/>
        <v>1070</v>
      </c>
      <c r="K561" s="1">
        <v>378</v>
      </c>
      <c r="L561" s="1">
        <v>0</v>
      </c>
      <c r="M561" s="1">
        <v>0</v>
      </c>
      <c r="N561" s="1">
        <f t="shared" si="29"/>
        <v>378</v>
      </c>
      <c r="O561" s="14">
        <f t="shared" si="31"/>
        <v>378</v>
      </c>
      <c r="P561" s="17">
        <f t="shared" si="32"/>
        <v>1070</v>
      </c>
      <c r="Q561" s="1">
        <v>0</v>
      </c>
      <c r="R561" s="1">
        <v>0</v>
      </c>
      <c r="S561" s="20">
        <v>39722</v>
      </c>
      <c r="T561" s="1">
        <v>1448</v>
      </c>
      <c r="U561" s="9">
        <v>1070</v>
      </c>
      <c r="V561" s="9" t="s">
        <v>46</v>
      </c>
    </row>
    <row r="562" spans="1:22" x14ac:dyDescent="0.25">
      <c r="A562" s="10" t="s">
        <v>19</v>
      </c>
      <c r="B562" t="b">
        <v>0</v>
      </c>
      <c r="C562" t="b">
        <v>0</v>
      </c>
      <c r="D562" s="1">
        <v>0</v>
      </c>
      <c r="E562" s="1">
        <v>0</v>
      </c>
      <c r="F562" s="1">
        <v>0</v>
      </c>
      <c r="G562" s="1">
        <v>991</v>
      </c>
      <c r="H562" s="1">
        <v>0</v>
      </c>
      <c r="I562" s="1">
        <v>0</v>
      </c>
      <c r="J562" s="1">
        <f t="shared" si="30"/>
        <v>991</v>
      </c>
      <c r="K562" s="1">
        <v>53</v>
      </c>
      <c r="L562" s="1">
        <v>0</v>
      </c>
      <c r="M562" s="1">
        <v>0</v>
      </c>
      <c r="N562" s="1">
        <f t="shared" si="29"/>
        <v>53</v>
      </c>
      <c r="O562" s="14">
        <f t="shared" si="31"/>
        <v>53</v>
      </c>
      <c r="P562" s="17">
        <f t="shared" si="32"/>
        <v>991</v>
      </c>
      <c r="Q562" s="1">
        <v>0</v>
      </c>
      <c r="R562" s="1">
        <v>0</v>
      </c>
      <c r="S562" s="20">
        <v>39753</v>
      </c>
      <c r="T562" s="1">
        <v>1044</v>
      </c>
      <c r="U562" s="9">
        <v>991</v>
      </c>
      <c r="V562" s="9" t="s">
        <v>46</v>
      </c>
    </row>
    <row r="563" spans="1:22" x14ac:dyDescent="0.25">
      <c r="A563" s="10" t="s">
        <v>19</v>
      </c>
      <c r="B563" t="b">
        <v>0</v>
      </c>
      <c r="C563" t="b">
        <v>0</v>
      </c>
      <c r="D563" s="1">
        <v>0</v>
      </c>
      <c r="E563" s="1">
        <v>0</v>
      </c>
      <c r="F563" s="1">
        <v>0</v>
      </c>
      <c r="G563" s="1">
        <v>863</v>
      </c>
      <c r="H563" s="1">
        <v>0</v>
      </c>
      <c r="I563" s="1">
        <v>0</v>
      </c>
      <c r="J563" s="1">
        <f t="shared" si="30"/>
        <v>863</v>
      </c>
      <c r="K563" s="1">
        <v>28</v>
      </c>
      <c r="L563" s="1">
        <v>0</v>
      </c>
      <c r="M563" s="1">
        <v>0</v>
      </c>
      <c r="N563" s="1">
        <f t="shared" si="29"/>
        <v>28</v>
      </c>
      <c r="O563" s="14">
        <f t="shared" si="31"/>
        <v>28</v>
      </c>
      <c r="P563" s="17">
        <f t="shared" si="32"/>
        <v>863</v>
      </c>
      <c r="Q563" s="1">
        <v>0</v>
      </c>
      <c r="R563" s="1">
        <v>0</v>
      </c>
      <c r="S563" s="20">
        <v>39783</v>
      </c>
      <c r="T563" s="1">
        <v>891</v>
      </c>
      <c r="U563" s="9">
        <v>863</v>
      </c>
      <c r="V563" s="9" t="s">
        <v>46</v>
      </c>
    </row>
    <row r="564" spans="1:22" x14ac:dyDescent="0.25">
      <c r="A564" s="10" t="s">
        <v>19</v>
      </c>
      <c r="B564" t="b">
        <v>0</v>
      </c>
      <c r="C564" t="b">
        <v>0</v>
      </c>
      <c r="D564" s="1">
        <v>0</v>
      </c>
      <c r="E564" s="1">
        <v>0</v>
      </c>
      <c r="F564" s="1">
        <v>0</v>
      </c>
      <c r="G564" s="1">
        <v>911</v>
      </c>
      <c r="H564" s="1">
        <v>0</v>
      </c>
      <c r="I564" s="1">
        <v>0</v>
      </c>
      <c r="J564" s="1">
        <f t="shared" si="30"/>
        <v>911</v>
      </c>
      <c r="K564" s="1">
        <v>39</v>
      </c>
      <c r="L564" s="1">
        <v>0</v>
      </c>
      <c r="M564" s="1">
        <v>0</v>
      </c>
      <c r="N564" s="1">
        <f t="shared" si="29"/>
        <v>39</v>
      </c>
      <c r="O564" s="14">
        <f t="shared" si="31"/>
        <v>39</v>
      </c>
      <c r="P564" s="17">
        <f t="shared" si="32"/>
        <v>911</v>
      </c>
      <c r="Q564" s="1">
        <v>0</v>
      </c>
      <c r="R564" s="1">
        <v>0</v>
      </c>
      <c r="S564" s="20">
        <v>39814</v>
      </c>
      <c r="T564" s="1">
        <v>950</v>
      </c>
      <c r="U564" s="9">
        <v>911</v>
      </c>
      <c r="V564" s="9" t="s">
        <v>41</v>
      </c>
    </row>
    <row r="565" spans="1:22" x14ac:dyDescent="0.25">
      <c r="A565" s="10" t="s">
        <v>19</v>
      </c>
      <c r="B565" t="b">
        <v>0</v>
      </c>
      <c r="C565" t="b">
        <v>0</v>
      </c>
      <c r="D565" s="1">
        <v>0</v>
      </c>
      <c r="E565" s="1">
        <v>0</v>
      </c>
      <c r="F565" s="1">
        <v>0</v>
      </c>
      <c r="G565" s="1">
        <v>1295</v>
      </c>
      <c r="H565" s="1">
        <v>0</v>
      </c>
      <c r="I565" s="1">
        <v>0</v>
      </c>
      <c r="J565" s="1">
        <f t="shared" si="30"/>
        <v>1295</v>
      </c>
      <c r="K565" s="1">
        <v>17</v>
      </c>
      <c r="L565" s="1">
        <v>0</v>
      </c>
      <c r="M565" s="1">
        <v>0</v>
      </c>
      <c r="N565" s="1">
        <f t="shared" si="29"/>
        <v>17</v>
      </c>
      <c r="O565" s="14">
        <f t="shared" si="31"/>
        <v>17</v>
      </c>
      <c r="P565" s="17">
        <f t="shared" si="32"/>
        <v>1295</v>
      </c>
      <c r="Q565" s="1">
        <v>0</v>
      </c>
      <c r="R565" s="1">
        <v>0</v>
      </c>
      <c r="S565" s="20">
        <v>39845</v>
      </c>
      <c r="T565" s="1">
        <v>1312</v>
      </c>
      <c r="U565" s="9">
        <v>1295</v>
      </c>
      <c r="V565" s="9" t="s">
        <v>41</v>
      </c>
    </row>
    <row r="566" spans="1:22" x14ac:dyDescent="0.25">
      <c r="A566" s="10" t="s">
        <v>19</v>
      </c>
      <c r="B566" t="b">
        <v>0</v>
      </c>
      <c r="C566" t="b">
        <v>0</v>
      </c>
      <c r="D566" s="1">
        <v>0</v>
      </c>
      <c r="E566" s="1">
        <v>0</v>
      </c>
      <c r="F566" s="1">
        <v>0</v>
      </c>
      <c r="G566" s="1">
        <v>1827</v>
      </c>
      <c r="H566" s="1">
        <v>0</v>
      </c>
      <c r="I566" s="1">
        <v>0</v>
      </c>
      <c r="J566" s="1">
        <f t="shared" si="30"/>
        <v>1827</v>
      </c>
      <c r="K566" s="1">
        <v>0</v>
      </c>
      <c r="L566" s="1">
        <v>0</v>
      </c>
      <c r="M566" s="1">
        <v>0</v>
      </c>
      <c r="N566" s="1">
        <f t="shared" ref="N566:N629" si="33">K566+L566+M566</f>
        <v>0</v>
      </c>
      <c r="O566" s="14">
        <f t="shared" si="31"/>
        <v>0</v>
      </c>
      <c r="P566" s="17">
        <f t="shared" si="32"/>
        <v>1827</v>
      </c>
      <c r="Q566" s="1">
        <v>0</v>
      </c>
      <c r="R566" s="1">
        <v>0</v>
      </c>
      <c r="S566" s="20">
        <v>39873</v>
      </c>
      <c r="T566" s="1">
        <v>1827</v>
      </c>
      <c r="U566" s="9">
        <v>1827</v>
      </c>
      <c r="V566" s="9" t="s">
        <v>41</v>
      </c>
    </row>
    <row r="567" spans="1:22" x14ac:dyDescent="0.25">
      <c r="A567" s="10" t="s">
        <v>19</v>
      </c>
      <c r="B567" t="b">
        <v>0</v>
      </c>
      <c r="C567" t="b">
        <v>0</v>
      </c>
      <c r="D567" s="1">
        <v>0</v>
      </c>
      <c r="E567" s="1">
        <v>0</v>
      </c>
      <c r="F567" s="1">
        <v>0</v>
      </c>
      <c r="G567" s="1">
        <v>2047</v>
      </c>
      <c r="H567" s="1">
        <v>0</v>
      </c>
      <c r="I567" s="1">
        <v>0</v>
      </c>
      <c r="J567" s="1">
        <f t="shared" si="30"/>
        <v>2047</v>
      </c>
      <c r="K567" s="1">
        <v>17</v>
      </c>
      <c r="L567" s="1">
        <v>0</v>
      </c>
      <c r="M567" s="1">
        <v>0</v>
      </c>
      <c r="N567" s="1">
        <f t="shared" si="33"/>
        <v>17</v>
      </c>
      <c r="O567" s="14">
        <f t="shared" si="31"/>
        <v>17</v>
      </c>
      <c r="P567" s="17">
        <f t="shared" si="32"/>
        <v>2047</v>
      </c>
      <c r="Q567" s="1">
        <v>0</v>
      </c>
      <c r="R567" s="1">
        <v>0</v>
      </c>
      <c r="S567" s="20">
        <v>39904</v>
      </c>
      <c r="T567" s="1">
        <v>2064</v>
      </c>
      <c r="U567" s="9">
        <v>2047</v>
      </c>
      <c r="V567" s="9" t="s">
        <v>41</v>
      </c>
    </row>
    <row r="568" spans="1:22" x14ac:dyDescent="0.25">
      <c r="A568" s="10" t="s">
        <v>19</v>
      </c>
      <c r="B568" t="b">
        <v>0</v>
      </c>
      <c r="C568" t="b">
        <v>0</v>
      </c>
      <c r="D568" s="1">
        <v>0</v>
      </c>
      <c r="E568" s="1">
        <v>0</v>
      </c>
      <c r="F568" s="1">
        <v>0</v>
      </c>
      <c r="G568" s="1">
        <v>3180</v>
      </c>
      <c r="H568" s="1">
        <v>0</v>
      </c>
      <c r="I568" s="1">
        <v>0</v>
      </c>
      <c r="J568" s="1">
        <f t="shared" si="30"/>
        <v>3180</v>
      </c>
      <c r="K568" s="1">
        <v>34</v>
      </c>
      <c r="L568" s="1">
        <v>0</v>
      </c>
      <c r="M568" s="1">
        <v>0</v>
      </c>
      <c r="N568" s="1">
        <f t="shared" si="33"/>
        <v>34</v>
      </c>
      <c r="O568" s="14">
        <f t="shared" si="31"/>
        <v>34</v>
      </c>
      <c r="P568" s="17">
        <f t="shared" si="32"/>
        <v>3180</v>
      </c>
      <c r="Q568" s="1">
        <v>0</v>
      </c>
      <c r="R568" s="1">
        <v>0</v>
      </c>
      <c r="S568" s="20">
        <v>39934</v>
      </c>
      <c r="T568" s="1">
        <v>3305</v>
      </c>
      <c r="U568" s="9">
        <v>3180</v>
      </c>
      <c r="V568" s="9" t="s">
        <v>41</v>
      </c>
    </row>
    <row r="569" spans="1:22" x14ac:dyDescent="0.25">
      <c r="A569" s="10" t="s">
        <v>19</v>
      </c>
      <c r="B569" t="b">
        <v>0</v>
      </c>
      <c r="C569" t="b">
        <v>0</v>
      </c>
      <c r="D569" s="1">
        <v>0</v>
      </c>
      <c r="E569" s="1">
        <v>0</v>
      </c>
      <c r="F569" s="1">
        <v>0</v>
      </c>
      <c r="G569" s="1">
        <v>2471</v>
      </c>
      <c r="H569" s="1">
        <v>0</v>
      </c>
      <c r="I569" s="1">
        <v>0</v>
      </c>
      <c r="J569" s="1">
        <f t="shared" si="30"/>
        <v>2471</v>
      </c>
      <c r="K569" s="1">
        <v>194</v>
      </c>
      <c r="L569" s="1">
        <v>0</v>
      </c>
      <c r="M569" s="1">
        <v>0</v>
      </c>
      <c r="N569" s="1">
        <f t="shared" si="33"/>
        <v>194</v>
      </c>
      <c r="O569" s="14">
        <f t="shared" si="31"/>
        <v>194</v>
      </c>
      <c r="P569" s="17">
        <f t="shared" si="32"/>
        <v>2471</v>
      </c>
      <c r="Q569" s="1">
        <v>0</v>
      </c>
      <c r="R569" s="1">
        <v>0</v>
      </c>
      <c r="S569" s="20">
        <v>39965</v>
      </c>
      <c r="T569" s="1">
        <v>2746</v>
      </c>
      <c r="U569" s="9">
        <v>2471</v>
      </c>
      <c r="V569" s="9" t="s">
        <v>41</v>
      </c>
    </row>
    <row r="570" spans="1:22" x14ac:dyDescent="0.25">
      <c r="A570" s="10" t="s">
        <v>19</v>
      </c>
      <c r="B570" t="b">
        <v>0</v>
      </c>
      <c r="C570" t="b">
        <v>0</v>
      </c>
      <c r="D570" s="1">
        <v>0</v>
      </c>
      <c r="E570" s="1">
        <v>0</v>
      </c>
      <c r="F570" s="1">
        <v>0</v>
      </c>
      <c r="G570" s="1">
        <v>1012</v>
      </c>
      <c r="H570" s="1">
        <v>722</v>
      </c>
      <c r="I570" s="1">
        <v>0</v>
      </c>
      <c r="J570" s="1">
        <f t="shared" si="30"/>
        <v>1734</v>
      </c>
      <c r="K570" s="1">
        <v>266</v>
      </c>
      <c r="L570" s="1">
        <v>0</v>
      </c>
      <c r="M570" s="1">
        <v>0</v>
      </c>
      <c r="N570" s="1">
        <f t="shared" si="33"/>
        <v>266</v>
      </c>
      <c r="O570" s="14">
        <f t="shared" si="31"/>
        <v>266</v>
      </c>
      <c r="P570" s="17">
        <f t="shared" si="32"/>
        <v>1734</v>
      </c>
      <c r="Q570" s="1">
        <v>0</v>
      </c>
      <c r="R570" s="1">
        <v>0</v>
      </c>
      <c r="S570" s="20">
        <v>39995</v>
      </c>
      <c r="T570" s="1">
        <v>2000</v>
      </c>
      <c r="U570" s="9">
        <v>1734</v>
      </c>
      <c r="V570" s="9" t="s">
        <v>41</v>
      </c>
    </row>
    <row r="571" spans="1:22" x14ac:dyDescent="0.25">
      <c r="A571" s="10" t="s">
        <v>19</v>
      </c>
      <c r="B571" t="b">
        <v>0</v>
      </c>
      <c r="C571" t="b">
        <v>0</v>
      </c>
      <c r="D571" s="1">
        <v>0</v>
      </c>
      <c r="E571" s="1">
        <v>0</v>
      </c>
      <c r="F571" s="1">
        <v>0</v>
      </c>
      <c r="G571" s="1">
        <v>1326</v>
      </c>
      <c r="H571" s="1">
        <v>700</v>
      </c>
      <c r="I571" s="1">
        <v>0</v>
      </c>
      <c r="J571" s="1">
        <f t="shared" si="30"/>
        <v>2026</v>
      </c>
      <c r="K571" s="1">
        <v>32</v>
      </c>
      <c r="L571" s="1">
        <v>0</v>
      </c>
      <c r="M571" s="1">
        <v>0</v>
      </c>
      <c r="N571" s="1">
        <f t="shared" si="33"/>
        <v>32</v>
      </c>
      <c r="O571" s="14">
        <f t="shared" si="31"/>
        <v>32</v>
      </c>
      <c r="P571" s="17">
        <f t="shared" si="32"/>
        <v>2026</v>
      </c>
      <c r="Q571" s="1">
        <v>0</v>
      </c>
      <c r="R571" s="1">
        <v>0</v>
      </c>
      <c r="S571" s="20">
        <v>40026</v>
      </c>
      <c r="T571" s="1">
        <v>2058</v>
      </c>
      <c r="U571" s="9">
        <v>2026</v>
      </c>
      <c r="V571" s="9" t="s">
        <v>41</v>
      </c>
    </row>
    <row r="572" spans="1:22" x14ac:dyDescent="0.25">
      <c r="A572" s="10" t="s">
        <v>19</v>
      </c>
      <c r="B572" t="b">
        <v>0</v>
      </c>
      <c r="C572" t="b">
        <v>0</v>
      </c>
      <c r="D572" s="1">
        <v>0</v>
      </c>
      <c r="E572" s="1">
        <v>0</v>
      </c>
      <c r="F572" s="1">
        <v>0</v>
      </c>
      <c r="G572" s="1">
        <v>964</v>
      </c>
      <c r="H572" s="1">
        <v>477</v>
      </c>
      <c r="I572" s="1">
        <v>0</v>
      </c>
      <c r="J572" s="1">
        <f t="shared" si="30"/>
        <v>1441</v>
      </c>
      <c r="K572" s="1">
        <v>40</v>
      </c>
      <c r="L572" s="1">
        <v>0</v>
      </c>
      <c r="M572" s="1">
        <v>0</v>
      </c>
      <c r="N572" s="1">
        <f t="shared" si="33"/>
        <v>40</v>
      </c>
      <c r="O572" s="14">
        <f t="shared" si="31"/>
        <v>40</v>
      </c>
      <c r="P572" s="17">
        <f t="shared" si="32"/>
        <v>1441</v>
      </c>
      <c r="Q572" s="1">
        <v>0</v>
      </c>
      <c r="R572" s="1">
        <v>0</v>
      </c>
      <c r="S572" s="20">
        <v>40057</v>
      </c>
      <c r="T572" s="1">
        <v>1481</v>
      </c>
      <c r="U572" s="9">
        <v>1441</v>
      </c>
      <c r="V572" s="9" t="s">
        <v>41</v>
      </c>
    </row>
    <row r="573" spans="1:22" x14ac:dyDescent="0.25">
      <c r="A573" s="10" t="s">
        <v>19</v>
      </c>
      <c r="B573" t="b">
        <v>0</v>
      </c>
      <c r="C573" t="b">
        <v>0</v>
      </c>
      <c r="D573" s="1">
        <v>0</v>
      </c>
      <c r="E573" s="1">
        <v>0</v>
      </c>
      <c r="F573" s="1">
        <v>0</v>
      </c>
      <c r="G573" s="1">
        <v>1552</v>
      </c>
      <c r="H573" s="1">
        <v>0</v>
      </c>
      <c r="I573" s="1">
        <v>0</v>
      </c>
      <c r="J573" s="1">
        <f t="shared" si="30"/>
        <v>1552</v>
      </c>
      <c r="K573" s="1">
        <v>28</v>
      </c>
      <c r="L573" s="1">
        <v>0</v>
      </c>
      <c r="M573" s="1">
        <v>0</v>
      </c>
      <c r="N573" s="1">
        <f t="shared" si="33"/>
        <v>28</v>
      </c>
      <c r="O573" s="14">
        <f t="shared" si="31"/>
        <v>28</v>
      </c>
      <c r="P573" s="17">
        <f t="shared" si="32"/>
        <v>1552</v>
      </c>
      <c r="Q573" s="1">
        <v>0</v>
      </c>
      <c r="R573" s="1">
        <v>0</v>
      </c>
      <c r="S573" s="20">
        <v>40087</v>
      </c>
      <c r="T573" s="1">
        <v>1580</v>
      </c>
      <c r="U573" s="9">
        <v>1552</v>
      </c>
      <c r="V573" s="9" t="s">
        <v>41</v>
      </c>
    </row>
    <row r="574" spans="1:22" x14ac:dyDescent="0.25">
      <c r="A574" s="10" t="s">
        <v>19</v>
      </c>
      <c r="B574" t="b">
        <v>0</v>
      </c>
      <c r="C574" t="b">
        <v>0</v>
      </c>
      <c r="D574" s="1">
        <v>0</v>
      </c>
      <c r="E574" s="1">
        <v>0</v>
      </c>
      <c r="F574" s="1">
        <v>0</v>
      </c>
      <c r="G574" s="1">
        <v>1786</v>
      </c>
      <c r="H574" s="1">
        <v>0</v>
      </c>
      <c r="I574" s="1">
        <v>0</v>
      </c>
      <c r="J574" s="1">
        <f t="shared" si="30"/>
        <v>1786</v>
      </c>
      <c r="K574" s="1">
        <v>17</v>
      </c>
      <c r="L574" s="1">
        <v>0</v>
      </c>
      <c r="M574" s="1">
        <v>0</v>
      </c>
      <c r="N574" s="1">
        <f t="shared" si="33"/>
        <v>17</v>
      </c>
      <c r="O574" s="14">
        <f t="shared" si="31"/>
        <v>17</v>
      </c>
      <c r="P574" s="17">
        <f t="shared" si="32"/>
        <v>1786</v>
      </c>
      <c r="Q574" s="1">
        <v>0</v>
      </c>
      <c r="R574" s="1">
        <v>0</v>
      </c>
      <c r="S574" s="20">
        <v>40118</v>
      </c>
      <c r="T574" s="1">
        <v>1803</v>
      </c>
      <c r="U574" s="9">
        <v>1786</v>
      </c>
      <c r="V574" s="9" t="s">
        <v>41</v>
      </c>
    </row>
    <row r="575" spans="1:22" x14ac:dyDescent="0.25">
      <c r="A575" s="10" t="s">
        <v>19</v>
      </c>
      <c r="B575" t="b">
        <v>0</v>
      </c>
      <c r="C575" t="b">
        <v>0</v>
      </c>
      <c r="D575" s="1">
        <v>0</v>
      </c>
      <c r="E575" s="1">
        <v>0</v>
      </c>
      <c r="F575" s="1">
        <v>0</v>
      </c>
      <c r="G575" s="1">
        <v>1152</v>
      </c>
      <c r="H575" s="1">
        <v>0</v>
      </c>
      <c r="I575" s="1">
        <v>0</v>
      </c>
      <c r="J575" s="1">
        <f t="shared" si="30"/>
        <v>1152</v>
      </c>
      <c r="K575" s="1">
        <v>0</v>
      </c>
      <c r="L575" s="1">
        <v>13</v>
      </c>
      <c r="M575" s="1">
        <v>0</v>
      </c>
      <c r="N575" s="1">
        <f t="shared" si="33"/>
        <v>13</v>
      </c>
      <c r="O575" s="14">
        <f t="shared" si="31"/>
        <v>0</v>
      </c>
      <c r="P575" s="17">
        <f t="shared" si="32"/>
        <v>1152</v>
      </c>
      <c r="Q575" s="1">
        <v>0</v>
      </c>
      <c r="R575" s="1">
        <v>0</v>
      </c>
      <c r="S575" s="20">
        <v>40148</v>
      </c>
      <c r="T575" s="1">
        <v>1183</v>
      </c>
      <c r="U575" s="9">
        <v>1152</v>
      </c>
      <c r="V575" s="9" t="s">
        <v>41</v>
      </c>
    </row>
    <row r="576" spans="1:22" x14ac:dyDescent="0.25">
      <c r="A576" s="10" t="s">
        <v>19</v>
      </c>
      <c r="B576" t="b">
        <v>0</v>
      </c>
      <c r="C576" t="b">
        <v>0</v>
      </c>
      <c r="D576" s="1">
        <v>0</v>
      </c>
      <c r="E576" s="1">
        <v>0</v>
      </c>
      <c r="F576" s="1">
        <v>0</v>
      </c>
      <c r="G576" s="1">
        <v>666</v>
      </c>
      <c r="H576" s="1">
        <v>0</v>
      </c>
      <c r="I576" s="1">
        <v>0</v>
      </c>
      <c r="J576" s="1">
        <f t="shared" si="30"/>
        <v>666</v>
      </c>
      <c r="K576" s="1">
        <v>0</v>
      </c>
      <c r="L576" s="1">
        <v>0</v>
      </c>
      <c r="M576" s="1">
        <v>0</v>
      </c>
      <c r="N576" s="1">
        <f t="shared" si="33"/>
        <v>0</v>
      </c>
      <c r="O576" s="14">
        <f t="shared" si="31"/>
        <v>0</v>
      </c>
      <c r="P576" s="17">
        <f t="shared" si="32"/>
        <v>666</v>
      </c>
      <c r="Q576" s="1">
        <v>0</v>
      </c>
      <c r="R576" s="1">
        <v>0</v>
      </c>
      <c r="S576" s="20">
        <v>40179</v>
      </c>
      <c r="T576" s="1">
        <v>666</v>
      </c>
      <c r="U576" s="9">
        <v>666</v>
      </c>
      <c r="V576" s="9" t="s">
        <v>21</v>
      </c>
    </row>
    <row r="577" spans="1:22" x14ac:dyDescent="0.25">
      <c r="A577" s="10" t="s">
        <v>19</v>
      </c>
      <c r="B577" t="b">
        <v>0</v>
      </c>
      <c r="C577" t="b">
        <v>0</v>
      </c>
      <c r="D577" s="1">
        <v>0</v>
      </c>
      <c r="E577" s="1">
        <v>0</v>
      </c>
      <c r="F577" s="1">
        <v>0</v>
      </c>
      <c r="G577" s="1">
        <v>1171</v>
      </c>
      <c r="H577" s="1">
        <v>0</v>
      </c>
      <c r="I577" s="1">
        <v>0</v>
      </c>
      <c r="J577" s="1">
        <f t="shared" si="30"/>
        <v>1171</v>
      </c>
      <c r="K577" s="1">
        <v>0</v>
      </c>
      <c r="L577" s="1">
        <v>0</v>
      </c>
      <c r="M577" s="1">
        <v>0</v>
      </c>
      <c r="N577" s="1">
        <f t="shared" si="33"/>
        <v>0</v>
      </c>
      <c r="O577" s="14">
        <f t="shared" si="31"/>
        <v>0</v>
      </c>
      <c r="P577" s="17">
        <f t="shared" si="32"/>
        <v>1171</v>
      </c>
      <c r="Q577" s="1">
        <v>0</v>
      </c>
      <c r="R577" s="1">
        <v>0</v>
      </c>
      <c r="S577" s="20">
        <v>40210</v>
      </c>
      <c r="T577" s="1">
        <v>1171</v>
      </c>
      <c r="U577" s="9">
        <v>1171</v>
      </c>
      <c r="V577" s="9" t="s">
        <v>21</v>
      </c>
    </row>
    <row r="578" spans="1:22" x14ac:dyDescent="0.25">
      <c r="A578" s="10" t="s">
        <v>19</v>
      </c>
      <c r="B578" t="b">
        <v>0</v>
      </c>
      <c r="C578" t="b">
        <v>0</v>
      </c>
      <c r="D578" s="1">
        <v>0</v>
      </c>
      <c r="E578" s="1">
        <v>0</v>
      </c>
      <c r="F578" s="1">
        <v>0</v>
      </c>
      <c r="G578" s="1">
        <v>1355</v>
      </c>
      <c r="H578" s="1">
        <v>0</v>
      </c>
      <c r="I578" s="1">
        <v>0</v>
      </c>
      <c r="J578" s="1">
        <f t="shared" si="30"/>
        <v>1355</v>
      </c>
      <c r="K578" s="1">
        <v>0</v>
      </c>
      <c r="L578" s="1">
        <v>0</v>
      </c>
      <c r="M578" s="1">
        <v>0</v>
      </c>
      <c r="N578" s="1">
        <f t="shared" si="33"/>
        <v>0</v>
      </c>
      <c r="O578" s="14">
        <f t="shared" si="31"/>
        <v>0</v>
      </c>
      <c r="P578" s="17">
        <f t="shared" si="32"/>
        <v>1355</v>
      </c>
      <c r="Q578" s="1">
        <v>0</v>
      </c>
      <c r="R578" s="1">
        <v>0</v>
      </c>
      <c r="S578" s="20">
        <v>40238</v>
      </c>
      <c r="T578" s="1">
        <v>1355</v>
      </c>
      <c r="U578" s="9">
        <v>1355</v>
      </c>
      <c r="V578" s="9" t="s">
        <v>21</v>
      </c>
    </row>
    <row r="579" spans="1:22" x14ac:dyDescent="0.25">
      <c r="A579" s="10" t="s">
        <v>19</v>
      </c>
      <c r="B579" t="b">
        <v>0</v>
      </c>
      <c r="C579" t="b">
        <v>0</v>
      </c>
      <c r="D579" s="1">
        <v>0</v>
      </c>
      <c r="E579" s="1">
        <v>0</v>
      </c>
      <c r="F579" s="1">
        <v>0</v>
      </c>
      <c r="G579" s="1">
        <v>1087</v>
      </c>
      <c r="H579" s="1">
        <v>0</v>
      </c>
      <c r="I579" s="1">
        <v>0</v>
      </c>
      <c r="J579" s="1">
        <f t="shared" si="30"/>
        <v>1087</v>
      </c>
      <c r="K579" s="1">
        <v>0</v>
      </c>
      <c r="L579" s="1">
        <v>0</v>
      </c>
      <c r="M579" s="1">
        <v>0</v>
      </c>
      <c r="N579" s="1">
        <f t="shared" si="33"/>
        <v>0</v>
      </c>
      <c r="O579" s="14">
        <f t="shared" si="31"/>
        <v>0</v>
      </c>
      <c r="P579" s="17">
        <f t="shared" si="32"/>
        <v>1087</v>
      </c>
      <c r="Q579" s="1">
        <v>0</v>
      </c>
      <c r="R579" s="1">
        <v>0</v>
      </c>
      <c r="S579" s="20">
        <v>40269</v>
      </c>
      <c r="T579" s="1">
        <v>1087</v>
      </c>
      <c r="U579" s="9">
        <v>1087</v>
      </c>
      <c r="V579" s="9" t="s">
        <v>21</v>
      </c>
    </row>
    <row r="580" spans="1:22" x14ac:dyDescent="0.25">
      <c r="A580" s="10" t="s">
        <v>19</v>
      </c>
      <c r="B580" t="b">
        <v>0</v>
      </c>
      <c r="C580" t="b">
        <v>0</v>
      </c>
      <c r="D580" s="1">
        <v>0</v>
      </c>
      <c r="E580" s="1">
        <v>0</v>
      </c>
      <c r="F580" s="1">
        <v>0</v>
      </c>
      <c r="G580" s="1">
        <v>2046</v>
      </c>
      <c r="H580" s="1">
        <v>0</v>
      </c>
      <c r="I580" s="1">
        <v>0</v>
      </c>
      <c r="J580" s="1">
        <f t="shared" si="30"/>
        <v>2046</v>
      </c>
      <c r="K580" s="1">
        <v>0</v>
      </c>
      <c r="L580" s="1">
        <v>0</v>
      </c>
      <c r="M580" s="1">
        <v>0</v>
      </c>
      <c r="N580" s="1">
        <f t="shared" si="33"/>
        <v>0</v>
      </c>
      <c r="O580" s="14">
        <f t="shared" si="31"/>
        <v>0</v>
      </c>
      <c r="P580" s="17">
        <f t="shared" si="32"/>
        <v>2046</v>
      </c>
      <c r="Q580" s="1">
        <v>0</v>
      </c>
      <c r="R580" s="1">
        <v>0</v>
      </c>
      <c r="S580" s="20">
        <v>40299</v>
      </c>
      <c r="T580" s="1">
        <v>2046</v>
      </c>
      <c r="U580" s="9">
        <v>2046</v>
      </c>
      <c r="V580" s="9" t="s">
        <v>21</v>
      </c>
    </row>
    <row r="581" spans="1:22" x14ac:dyDescent="0.25">
      <c r="A581" s="10" t="s">
        <v>19</v>
      </c>
      <c r="B581" t="b">
        <v>0</v>
      </c>
      <c r="C581" t="b">
        <v>0</v>
      </c>
      <c r="D581" s="1">
        <v>0</v>
      </c>
      <c r="E581" s="1">
        <v>0</v>
      </c>
      <c r="F581" s="1">
        <v>0</v>
      </c>
      <c r="G581" s="1">
        <v>2109</v>
      </c>
      <c r="H581" s="1">
        <v>0</v>
      </c>
      <c r="I581" s="1">
        <v>0</v>
      </c>
      <c r="J581" s="1">
        <f t="shared" si="30"/>
        <v>2109</v>
      </c>
      <c r="K581" s="1">
        <v>0</v>
      </c>
      <c r="L581" s="1">
        <v>0</v>
      </c>
      <c r="M581" s="1">
        <v>0</v>
      </c>
      <c r="N581" s="1">
        <f t="shared" si="33"/>
        <v>0</v>
      </c>
      <c r="O581" s="14">
        <f t="shared" si="31"/>
        <v>0</v>
      </c>
      <c r="P581" s="17">
        <f t="shared" si="32"/>
        <v>2109</v>
      </c>
      <c r="Q581" s="1">
        <v>0</v>
      </c>
      <c r="R581" s="1">
        <v>0</v>
      </c>
      <c r="S581" s="20">
        <v>40330</v>
      </c>
      <c r="T581" s="1">
        <v>2109</v>
      </c>
      <c r="U581" s="9">
        <v>2109</v>
      </c>
      <c r="V581" s="9" t="s">
        <v>21</v>
      </c>
    </row>
    <row r="582" spans="1:22" x14ac:dyDescent="0.25">
      <c r="A582" s="10" t="s">
        <v>19</v>
      </c>
      <c r="B582" t="b">
        <v>0</v>
      </c>
      <c r="C582" t="b">
        <v>0</v>
      </c>
      <c r="D582" s="1">
        <v>0</v>
      </c>
      <c r="E582" s="1">
        <v>0</v>
      </c>
      <c r="F582" s="1">
        <v>0</v>
      </c>
      <c r="G582" s="1">
        <v>4521</v>
      </c>
      <c r="H582" s="1">
        <v>0</v>
      </c>
      <c r="I582" s="1">
        <v>0</v>
      </c>
      <c r="J582" s="1">
        <f t="shared" si="30"/>
        <v>4521</v>
      </c>
      <c r="K582" s="1">
        <v>0</v>
      </c>
      <c r="L582" s="1">
        <v>0</v>
      </c>
      <c r="M582" s="1">
        <v>0</v>
      </c>
      <c r="N582" s="1">
        <f t="shared" si="33"/>
        <v>0</v>
      </c>
      <c r="O582" s="14">
        <f t="shared" si="31"/>
        <v>0</v>
      </c>
      <c r="P582" s="17">
        <f t="shared" si="32"/>
        <v>4521</v>
      </c>
      <c r="Q582" s="1">
        <v>0</v>
      </c>
      <c r="R582" s="1">
        <v>0</v>
      </c>
      <c r="S582" s="20">
        <v>40360</v>
      </c>
      <c r="T582" s="1">
        <v>4521</v>
      </c>
      <c r="U582" s="9">
        <v>4521</v>
      </c>
      <c r="V582" s="9" t="s">
        <v>21</v>
      </c>
    </row>
    <row r="583" spans="1:22" x14ac:dyDescent="0.25">
      <c r="A583" s="10" t="s">
        <v>19</v>
      </c>
      <c r="B583" t="b">
        <v>0</v>
      </c>
      <c r="C583" t="b">
        <v>0</v>
      </c>
      <c r="D583" s="1">
        <v>0</v>
      </c>
      <c r="E583" s="1">
        <v>0</v>
      </c>
      <c r="F583" s="1">
        <v>0</v>
      </c>
      <c r="G583" s="1">
        <v>4152</v>
      </c>
      <c r="H583" s="1">
        <v>0</v>
      </c>
      <c r="I583" s="1">
        <v>0</v>
      </c>
      <c r="J583" s="1">
        <f t="shared" si="30"/>
        <v>4152</v>
      </c>
      <c r="K583" s="1">
        <v>0</v>
      </c>
      <c r="L583" s="1">
        <v>0</v>
      </c>
      <c r="M583" s="1">
        <v>0</v>
      </c>
      <c r="N583" s="1">
        <f t="shared" si="33"/>
        <v>0</v>
      </c>
      <c r="O583" s="14">
        <f t="shared" si="31"/>
        <v>0</v>
      </c>
      <c r="P583" s="17">
        <f t="shared" si="32"/>
        <v>4152</v>
      </c>
      <c r="Q583" s="1">
        <v>0</v>
      </c>
      <c r="R583" s="1">
        <v>0</v>
      </c>
      <c r="S583" s="20">
        <v>40391</v>
      </c>
      <c r="T583" s="1">
        <v>4152</v>
      </c>
      <c r="U583" s="9">
        <v>4152</v>
      </c>
      <c r="V583" s="9" t="s">
        <v>21</v>
      </c>
    </row>
    <row r="584" spans="1:22" x14ac:dyDescent="0.25">
      <c r="A584" s="10" t="s">
        <v>19</v>
      </c>
      <c r="B584" t="b">
        <v>0</v>
      </c>
      <c r="C584" t="b">
        <v>0</v>
      </c>
      <c r="D584" s="1">
        <v>0</v>
      </c>
      <c r="E584" s="1">
        <v>0</v>
      </c>
      <c r="F584" s="1">
        <v>0</v>
      </c>
      <c r="G584" s="1">
        <v>263</v>
      </c>
      <c r="H584" s="1">
        <v>422</v>
      </c>
      <c r="I584" s="1">
        <v>0</v>
      </c>
      <c r="J584" s="1">
        <f t="shared" si="30"/>
        <v>685</v>
      </c>
      <c r="K584" s="1">
        <v>0</v>
      </c>
      <c r="L584" s="1">
        <v>0</v>
      </c>
      <c r="M584" s="1">
        <v>0</v>
      </c>
      <c r="N584" s="1">
        <f t="shared" si="33"/>
        <v>0</v>
      </c>
      <c r="O584" s="14">
        <f t="shared" si="31"/>
        <v>0</v>
      </c>
      <c r="P584" s="17">
        <f t="shared" si="32"/>
        <v>685</v>
      </c>
      <c r="Q584" s="1">
        <v>0</v>
      </c>
      <c r="R584" s="1">
        <v>0</v>
      </c>
      <c r="S584" s="20">
        <v>40422</v>
      </c>
      <c r="T584" s="1">
        <v>685</v>
      </c>
      <c r="U584" s="9">
        <v>685</v>
      </c>
      <c r="V584" s="9" t="s">
        <v>21</v>
      </c>
    </row>
    <row r="585" spans="1:22" x14ac:dyDescent="0.25">
      <c r="A585" s="10" t="s">
        <v>19</v>
      </c>
      <c r="B585" t="b">
        <v>0</v>
      </c>
      <c r="C585" t="b">
        <v>0</v>
      </c>
      <c r="D585" s="1">
        <v>0</v>
      </c>
      <c r="E585" s="1">
        <v>0</v>
      </c>
      <c r="F585" s="1">
        <v>0</v>
      </c>
      <c r="G585" s="1">
        <v>200</v>
      </c>
      <c r="H585" s="1">
        <v>0</v>
      </c>
      <c r="I585" s="1">
        <v>0</v>
      </c>
      <c r="J585" s="1">
        <f t="shared" si="30"/>
        <v>200</v>
      </c>
      <c r="K585" s="1">
        <v>0</v>
      </c>
      <c r="L585" s="1">
        <v>0</v>
      </c>
      <c r="M585" s="1">
        <v>0</v>
      </c>
      <c r="N585" s="1">
        <f t="shared" si="33"/>
        <v>0</v>
      </c>
      <c r="O585" s="14">
        <f t="shared" si="31"/>
        <v>0</v>
      </c>
      <c r="P585" s="17">
        <f t="shared" si="32"/>
        <v>200</v>
      </c>
      <c r="Q585" s="1">
        <v>0</v>
      </c>
      <c r="R585" s="1">
        <v>0</v>
      </c>
      <c r="S585" s="20">
        <v>40452</v>
      </c>
      <c r="T585" s="1">
        <v>200</v>
      </c>
      <c r="U585" s="9">
        <v>200</v>
      </c>
      <c r="V585" s="9" t="s">
        <v>21</v>
      </c>
    </row>
    <row r="586" spans="1:22" x14ac:dyDescent="0.25">
      <c r="A586" s="10" t="s">
        <v>19</v>
      </c>
      <c r="B586" t="b">
        <v>0</v>
      </c>
      <c r="C586" t="b">
        <v>0</v>
      </c>
      <c r="D586" s="1">
        <v>0</v>
      </c>
      <c r="E586" s="1">
        <v>0</v>
      </c>
      <c r="F586" s="1">
        <v>0</v>
      </c>
      <c r="G586" s="1">
        <v>566</v>
      </c>
      <c r="H586" s="1">
        <v>0</v>
      </c>
      <c r="I586" s="1">
        <v>0</v>
      </c>
      <c r="J586" s="1">
        <f t="shared" si="30"/>
        <v>566</v>
      </c>
      <c r="K586" s="1">
        <v>0</v>
      </c>
      <c r="L586" s="1">
        <v>0</v>
      </c>
      <c r="M586" s="1">
        <v>0</v>
      </c>
      <c r="N586" s="1">
        <f t="shared" si="33"/>
        <v>0</v>
      </c>
      <c r="O586" s="14">
        <f t="shared" si="31"/>
        <v>0</v>
      </c>
      <c r="P586" s="17">
        <f t="shared" si="32"/>
        <v>566</v>
      </c>
      <c r="Q586" s="1">
        <v>0</v>
      </c>
      <c r="R586" s="1">
        <v>0</v>
      </c>
      <c r="S586" s="20">
        <v>40483</v>
      </c>
      <c r="T586" s="1">
        <v>566</v>
      </c>
      <c r="U586" s="9">
        <v>566</v>
      </c>
      <c r="V586" s="9" t="s">
        <v>21</v>
      </c>
    </row>
    <row r="587" spans="1:22" x14ac:dyDescent="0.25">
      <c r="A587" s="10" t="s">
        <v>19</v>
      </c>
      <c r="B587" t="b">
        <v>0</v>
      </c>
      <c r="C587" t="b">
        <v>0</v>
      </c>
      <c r="D587" s="1">
        <v>0</v>
      </c>
      <c r="E587" s="1">
        <v>0</v>
      </c>
      <c r="F587" s="1">
        <v>0</v>
      </c>
      <c r="G587" s="1">
        <v>607</v>
      </c>
      <c r="H587" s="1">
        <v>0</v>
      </c>
      <c r="I587" s="1">
        <v>0</v>
      </c>
      <c r="J587" s="1">
        <f t="shared" si="30"/>
        <v>607</v>
      </c>
      <c r="K587" s="1">
        <v>0</v>
      </c>
      <c r="L587" s="1">
        <v>0</v>
      </c>
      <c r="M587" s="1">
        <v>0</v>
      </c>
      <c r="N587" s="1">
        <f t="shared" si="33"/>
        <v>0</v>
      </c>
      <c r="O587" s="14">
        <f t="shared" si="31"/>
        <v>0</v>
      </c>
      <c r="P587" s="17">
        <f t="shared" si="32"/>
        <v>607</v>
      </c>
      <c r="Q587" s="1">
        <v>0</v>
      </c>
      <c r="R587" s="1">
        <v>0</v>
      </c>
      <c r="S587" s="20">
        <v>40513</v>
      </c>
      <c r="T587" s="1">
        <v>607</v>
      </c>
      <c r="U587" s="9">
        <v>607</v>
      </c>
      <c r="V587" s="9" t="s">
        <v>21</v>
      </c>
    </row>
    <row r="588" spans="1:22" x14ac:dyDescent="0.25">
      <c r="A588" s="10" t="s">
        <v>19</v>
      </c>
      <c r="B588" t="b">
        <v>0</v>
      </c>
      <c r="C588" t="b">
        <v>0</v>
      </c>
      <c r="D588" s="1">
        <v>0</v>
      </c>
      <c r="E588" s="1">
        <v>0</v>
      </c>
      <c r="F588" s="1">
        <v>0</v>
      </c>
      <c r="G588" s="1">
        <v>1005</v>
      </c>
      <c r="H588" s="1">
        <v>0</v>
      </c>
      <c r="I588" s="1">
        <v>0</v>
      </c>
      <c r="J588" s="1">
        <f t="shared" si="30"/>
        <v>1005</v>
      </c>
      <c r="K588" s="1">
        <v>0</v>
      </c>
      <c r="L588" s="1">
        <v>0</v>
      </c>
      <c r="M588" s="1">
        <v>0</v>
      </c>
      <c r="N588" s="1">
        <f t="shared" si="33"/>
        <v>0</v>
      </c>
      <c r="O588" s="14">
        <f t="shared" si="31"/>
        <v>0</v>
      </c>
      <c r="P588" s="17">
        <f t="shared" si="32"/>
        <v>1005</v>
      </c>
      <c r="Q588" s="1">
        <v>0</v>
      </c>
      <c r="R588" s="1">
        <v>0</v>
      </c>
      <c r="S588" s="20">
        <v>40544</v>
      </c>
      <c r="T588" s="1">
        <v>1005</v>
      </c>
      <c r="U588" s="9">
        <v>1005</v>
      </c>
      <c r="V588" s="9" t="s">
        <v>21</v>
      </c>
    </row>
    <row r="589" spans="1:22" x14ac:dyDescent="0.25">
      <c r="A589" s="10" t="s">
        <v>19</v>
      </c>
      <c r="B589" t="b">
        <v>0</v>
      </c>
      <c r="C589" t="b">
        <v>0</v>
      </c>
      <c r="D589" s="1">
        <v>0</v>
      </c>
      <c r="E589" s="1">
        <v>0</v>
      </c>
      <c r="F589" s="1">
        <v>0</v>
      </c>
      <c r="G589" s="1">
        <v>737</v>
      </c>
      <c r="H589" s="1">
        <v>0</v>
      </c>
      <c r="I589" s="1">
        <v>0</v>
      </c>
      <c r="J589" s="1">
        <f t="shared" si="30"/>
        <v>737</v>
      </c>
      <c r="K589" s="1">
        <v>0</v>
      </c>
      <c r="L589" s="1">
        <v>0</v>
      </c>
      <c r="M589" s="1">
        <v>0</v>
      </c>
      <c r="N589" s="1">
        <f t="shared" si="33"/>
        <v>0</v>
      </c>
      <c r="O589" s="14">
        <f t="shared" si="31"/>
        <v>0</v>
      </c>
      <c r="P589" s="17">
        <f t="shared" si="32"/>
        <v>737</v>
      </c>
      <c r="Q589" s="1">
        <v>0</v>
      </c>
      <c r="R589" s="1">
        <v>0</v>
      </c>
      <c r="S589" s="20">
        <v>40575</v>
      </c>
      <c r="T589" s="1">
        <v>737</v>
      </c>
      <c r="U589" s="9">
        <v>737</v>
      </c>
      <c r="V589" s="9" t="s">
        <v>21</v>
      </c>
    </row>
    <row r="590" spans="1:22" x14ac:dyDescent="0.25">
      <c r="A590" s="10" t="s">
        <v>19</v>
      </c>
      <c r="B590" t="b">
        <v>0</v>
      </c>
      <c r="C590" t="b">
        <v>0</v>
      </c>
      <c r="D590" s="1">
        <v>0</v>
      </c>
      <c r="E590" s="1">
        <v>0</v>
      </c>
      <c r="F590" s="1">
        <v>0</v>
      </c>
      <c r="G590" s="1">
        <v>800</v>
      </c>
      <c r="H590" s="1">
        <v>0</v>
      </c>
      <c r="I590" s="1">
        <v>0</v>
      </c>
      <c r="J590" s="1">
        <f t="shared" si="30"/>
        <v>800</v>
      </c>
      <c r="K590" s="1">
        <v>0</v>
      </c>
      <c r="L590" s="1">
        <v>0</v>
      </c>
      <c r="M590" s="1">
        <v>0</v>
      </c>
      <c r="N590" s="1">
        <f t="shared" si="33"/>
        <v>0</v>
      </c>
      <c r="O590" s="14">
        <f t="shared" si="31"/>
        <v>0</v>
      </c>
      <c r="P590" s="17">
        <f t="shared" si="32"/>
        <v>800</v>
      </c>
      <c r="Q590" s="1">
        <v>0</v>
      </c>
      <c r="R590" s="1">
        <v>0</v>
      </c>
      <c r="S590" s="20">
        <v>40603</v>
      </c>
      <c r="T590" s="1">
        <v>800</v>
      </c>
      <c r="U590" s="9">
        <v>800</v>
      </c>
      <c r="V590" s="9" t="s">
        <v>21</v>
      </c>
    </row>
    <row r="591" spans="1:22" x14ac:dyDescent="0.25">
      <c r="A591" s="10" t="s">
        <v>19</v>
      </c>
      <c r="B591" t="b">
        <v>0</v>
      </c>
      <c r="C591" t="b">
        <v>0</v>
      </c>
      <c r="D591" s="1">
        <v>0</v>
      </c>
      <c r="E591" s="1">
        <v>0</v>
      </c>
      <c r="F591" s="1">
        <v>0</v>
      </c>
      <c r="G591" s="1">
        <v>1174</v>
      </c>
      <c r="H591" s="1">
        <v>0</v>
      </c>
      <c r="I591" s="1">
        <v>0</v>
      </c>
      <c r="J591" s="1">
        <f t="shared" si="30"/>
        <v>1174</v>
      </c>
      <c r="K591" s="1">
        <v>0</v>
      </c>
      <c r="L591" s="1">
        <v>0</v>
      </c>
      <c r="M591" s="1">
        <v>0</v>
      </c>
      <c r="N591" s="1">
        <f t="shared" si="33"/>
        <v>0</v>
      </c>
      <c r="O591" s="14">
        <f t="shared" si="31"/>
        <v>0</v>
      </c>
      <c r="P591" s="17">
        <f t="shared" si="32"/>
        <v>1174</v>
      </c>
      <c r="Q591" s="1">
        <v>0</v>
      </c>
      <c r="R591" s="1">
        <v>0</v>
      </c>
      <c r="S591" s="20">
        <v>40634</v>
      </c>
      <c r="T591" s="1">
        <v>1174</v>
      </c>
      <c r="U591" s="9">
        <v>1174</v>
      </c>
      <c r="V591" s="9" t="s">
        <v>21</v>
      </c>
    </row>
    <row r="592" spans="1:22" x14ac:dyDescent="0.25">
      <c r="A592" s="10" t="s">
        <v>19</v>
      </c>
      <c r="B592" t="b">
        <v>1</v>
      </c>
      <c r="C592" t="b">
        <v>0</v>
      </c>
      <c r="D592" s="1">
        <v>0</v>
      </c>
      <c r="E592" s="1">
        <v>0</v>
      </c>
      <c r="F592" s="1">
        <v>0</v>
      </c>
      <c r="G592" s="1">
        <v>1130</v>
      </c>
      <c r="H592" s="1">
        <v>0</v>
      </c>
      <c r="I592" s="1">
        <v>0</v>
      </c>
      <c r="J592" s="1">
        <f t="shared" si="30"/>
        <v>1130</v>
      </c>
      <c r="K592" s="1">
        <v>0</v>
      </c>
      <c r="L592" s="1">
        <v>0</v>
      </c>
      <c r="M592" s="1">
        <v>0</v>
      </c>
      <c r="N592" s="1">
        <f t="shared" si="33"/>
        <v>0</v>
      </c>
      <c r="O592" s="14">
        <f t="shared" si="31"/>
        <v>0</v>
      </c>
      <c r="P592" s="17">
        <f t="shared" si="32"/>
        <v>1130</v>
      </c>
      <c r="Q592" s="1">
        <v>0</v>
      </c>
      <c r="R592" s="1">
        <v>0</v>
      </c>
      <c r="S592" s="20">
        <v>40664</v>
      </c>
      <c r="T592" s="1">
        <v>1130</v>
      </c>
      <c r="U592" s="9">
        <v>1130</v>
      </c>
      <c r="V592" s="9" t="s">
        <v>21</v>
      </c>
    </row>
    <row r="593" spans="1:22" x14ac:dyDescent="0.25">
      <c r="A593" s="10" t="s">
        <v>19</v>
      </c>
      <c r="B593" t="b">
        <v>1</v>
      </c>
      <c r="C593" t="b">
        <v>0</v>
      </c>
      <c r="D593" s="1">
        <v>0</v>
      </c>
      <c r="E593" s="1">
        <v>0</v>
      </c>
      <c r="F593" s="1">
        <v>0</v>
      </c>
      <c r="G593" s="1">
        <v>831</v>
      </c>
      <c r="H593" s="1">
        <v>0</v>
      </c>
      <c r="I593" s="1">
        <v>0</v>
      </c>
      <c r="J593" s="1">
        <f t="shared" si="30"/>
        <v>831</v>
      </c>
      <c r="K593" s="1">
        <v>0</v>
      </c>
      <c r="L593" s="1">
        <v>0</v>
      </c>
      <c r="M593" s="1">
        <v>0</v>
      </c>
      <c r="N593" s="1">
        <f t="shared" si="33"/>
        <v>0</v>
      </c>
      <c r="O593" s="14">
        <f t="shared" si="31"/>
        <v>0</v>
      </c>
      <c r="P593" s="17">
        <f t="shared" si="32"/>
        <v>831</v>
      </c>
      <c r="Q593" s="1">
        <v>0</v>
      </c>
      <c r="R593" s="1">
        <v>0</v>
      </c>
      <c r="S593" s="20">
        <v>40695</v>
      </c>
      <c r="T593" s="1">
        <v>831</v>
      </c>
      <c r="U593" s="9">
        <v>831</v>
      </c>
      <c r="V593" s="9" t="s">
        <v>21</v>
      </c>
    </row>
    <row r="594" spans="1:22" x14ac:dyDescent="0.25">
      <c r="A594" s="10" t="s">
        <v>19</v>
      </c>
      <c r="B594" t="b">
        <v>1</v>
      </c>
      <c r="C594" t="b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f t="shared" si="30"/>
        <v>0</v>
      </c>
      <c r="K594" s="1">
        <v>0</v>
      </c>
      <c r="L594" s="1">
        <v>0</v>
      </c>
      <c r="M594" s="1">
        <v>0</v>
      </c>
      <c r="N594" s="1">
        <f t="shared" si="33"/>
        <v>0</v>
      </c>
      <c r="O594" s="14">
        <f t="shared" si="31"/>
        <v>0</v>
      </c>
      <c r="P594" s="17">
        <f t="shared" si="32"/>
        <v>0</v>
      </c>
      <c r="Q594" s="1">
        <v>0</v>
      </c>
      <c r="R594" s="1">
        <v>0</v>
      </c>
      <c r="S594" s="20">
        <v>40725</v>
      </c>
      <c r="T594" s="1">
        <v>0</v>
      </c>
      <c r="U594" s="9">
        <v>0</v>
      </c>
      <c r="V594" s="9" t="s">
        <v>21</v>
      </c>
    </row>
    <row r="595" spans="1:22" x14ac:dyDescent="0.25">
      <c r="A595" s="10" t="s">
        <v>19</v>
      </c>
      <c r="B595" t="b">
        <v>0</v>
      </c>
      <c r="C595" t="b">
        <v>0</v>
      </c>
      <c r="D595" s="1">
        <v>0</v>
      </c>
      <c r="E595" s="1">
        <v>0</v>
      </c>
      <c r="F595" s="1">
        <v>0</v>
      </c>
      <c r="G595" s="1">
        <v>1147</v>
      </c>
      <c r="H595" s="1">
        <v>0</v>
      </c>
      <c r="I595" s="1">
        <v>0</v>
      </c>
      <c r="J595" s="1">
        <f t="shared" si="30"/>
        <v>1147</v>
      </c>
      <c r="K595" s="1">
        <v>0</v>
      </c>
      <c r="L595" s="1">
        <v>0</v>
      </c>
      <c r="M595" s="1">
        <v>0</v>
      </c>
      <c r="N595" s="1">
        <f t="shared" si="33"/>
        <v>0</v>
      </c>
      <c r="O595" s="14">
        <f t="shared" si="31"/>
        <v>0</v>
      </c>
      <c r="P595" s="17">
        <f t="shared" si="32"/>
        <v>1147</v>
      </c>
      <c r="Q595" s="1">
        <v>0</v>
      </c>
      <c r="R595" s="1">
        <v>0</v>
      </c>
      <c r="S595" s="20">
        <v>40756</v>
      </c>
      <c r="T595" s="1">
        <v>1147</v>
      </c>
      <c r="U595" s="9">
        <v>1147</v>
      </c>
      <c r="V595" s="9" t="s">
        <v>21</v>
      </c>
    </row>
    <row r="596" spans="1:22" x14ac:dyDescent="0.25">
      <c r="A596" s="10" t="s">
        <v>19</v>
      </c>
      <c r="B596" t="b">
        <v>0</v>
      </c>
      <c r="C596" t="b">
        <v>0</v>
      </c>
      <c r="D596" s="1">
        <v>0</v>
      </c>
      <c r="E596" s="1">
        <v>0</v>
      </c>
      <c r="F596" s="1">
        <v>0</v>
      </c>
      <c r="G596" s="1">
        <v>867</v>
      </c>
      <c r="H596" s="1">
        <v>0</v>
      </c>
      <c r="I596" s="1">
        <v>0</v>
      </c>
      <c r="J596" s="1">
        <f t="shared" si="30"/>
        <v>867</v>
      </c>
      <c r="K596" s="1">
        <v>0</v>
      </c>
      <c r="L596" s="1">
        <v>0</v>
      </c>
      <c r="M596" s="1">
        <v>0</v>
      </c>
      <c r="N596" s="1">
        <f t="shared" si="33"/>
        <v>0</v>
      </c>
      <c r="O596" s="14">
        <f t="shared" si="31"/>
        <v>0</v>
      </c>
      <c r="P596" s="17">
        <f t="shared" si="32"/>
        <v>867</v>
      </c>
      <c r="Q596" s="1">
        <v>0</v>
      </c>
      <c r="R596" s="1">
        <v>0</v>
      </c>
      <c r="S596" s="20">
        <v>40787</v>
      </c>
      <c r="T596" s="1">
        <v>867</v>
      </c>
      <c r="U596" s="9">
        <v>867</v>
      </c>
      <c r="V596" s="9" t="s">
        <v>21</v>
      </c>
    </row>
    <row r="597" spans="1:22" x14ac:dyDescent="0.25">
      <c r="A597" s="10" t="s">
        <v>19</v>
      </c>
      <c r="B597" t="b">
        <v>0</v>
      </c>
      <c r="C597" t="b">
        <v>0</v>
      </c>
      <c r="D597" s="1">
        <v>0</v>
      </c>
      <c r="E597" s="1">
        <v>0</v>
      </c>
      <c r="F597" s="1">
        <v>0</v>
      </c>
      <c r="G597" s="1">
        <v>1102</v>
      </c>
      <c r="H597" s="1">
        <v>0</v>
      </c>
      <c r="I597" s="1">
        <v>0</v>
      </c>
      <c r="J597" s="1">
        <f t="shared" si="30"/>
        <v>1102</v>
      </c>
      <c r="K597" s="1">
        <v>0</v>
      </c>
      <c r="L597" s="1">
        <v>0</v>
      </c>
      <c r="M597" s="1">
        <v>0</v>
      </c>
      <c r="N597" s="1">
        <f t="shared" si="33"/>
        <v>0</v>
      </c>
      <c r="O597" s="14">
        <f t="shared" si="31"/>
        <v>0</v>
      </c>
      <c r="P597" s="17">
        <f t="shared" si="32"/>
        <v>1102</v>
      </c>
      <c r="Q597" s="1">
        <v>0</v>
      </c>
      <c r="R597" s="1">
        <v>0</v>
      </c>
      <c r="S597" s="20">
        <v>40817</v>
      </c>
      <c r="T597" s="1">
        <v>1102</v>
      </c>
      <c r="U597" s="9">
        <v>1102</v>
      </c>
      <c r="V597" s="9" t="s">
        <v>21</v>
      </c>
    </row>
    <row r="598" spans="1:22" x14ac:dyDescent="0.25">
      <c r="A598" s="10" t="s">
        <v>19</v>
      </c>
      <c r="B598" t="b">
        <v>0</v>
      </c>
      <c r="C598" t="b">
        <v>0</v>
      </c>
      <c r="D598" s="1">
        <v>0</v>
      </c>
      <c r="E598" s="1">
        <v>0</v>
      </c>
      <c r="F598" s="1">
        <v>0</v>
      </c>
      <c r="G598" s="1">
        <v>1193</v>
      </c>
      <c r="H598" s="1">
        <v>0</v>
      </c>
      <c r="I598" s="1">
        <v>0</v>
      </c>
      <c r="J598" s="1">
        <f t="shared" si="30"/>
        <v>1193</v>
      </c>
      <c r="K598" s="1">
        <v>0</v>
      </c>
      <c r="L598" s="1">
        <v>0</v>
      </c>
      <c r="M598" s="1">
        <v>0</v>
      </c>
      <c r="N598" s="1">
        <f t="shared" si="33"/>
        <v>0</v>
      </c>
      <c r="O598" s="14">
        <f t="shared" si="31"/>
        <v>0</v>
      </c>
      <c r="P598" s="17">
        <f t="shared" si="32"/>
        <v>1193</v>
      </c>
      <c r="Q598" s="1">
        <v>0</v>
      </c>
      <c r="R598" s="1">
        <v>0</v>
      </c>
      <c r="S598" s="20">
        <v>40848</v>
      </c>
      <c r="T598" s="1">
        <v>1193</v>
      </c>
      <c r="U598" s="9">
        <v>1193</v>
      </c>
      <c r="V598" s="9" t="s">
        <v>21</v>
      </c>
    </row>
    <row r="599" spans="1:22" x14ac:dyDescent="0.25">
      <c r="A599" s="10" t="s">
        <v>19</v>
      </c>
      <c r="B599" t="b">
        <v>0</v>
      </c>
      <c r="C599" t="b">
        <v>0</v>
      </c>
      <c r="D599" s="1">
        <v>0</v>
      </c>
      <c r="E599" s="1">
        <v>0</v>
      </c>
      <c r="F599" s="1">
        <v>0</v>
      </c>
      <c r="G599" s="1">
        <v>828</v>
      </c>
      <c r="H599" s="1">
        <v>0</v>
      </c>
      <c r="I599" s="1">
        <v>0</v>
      </c>
      <c r="J599" s="1">
        <f t="shared" si="30"/>
        <v>828</v>
      </c>
      <c r="K599" s="1">
        <v>0</v>
      </c>
      <c r="L599" s="1">
        <v>0</v>
      </c>
      <c r="M599" s="1">
        <v>0</v>
      </c>
      <c r="N599" s="1">
        <f t="shared" si="33"/>
        <v>0</v>
      </c>
      <c r="O599" s="14">
        <f t="shared" si="31"/>
        <v>0</v>
      </c>
      <c r="P599" s="17">
        <f t="shared" si="32"/>
        <v>828</v>
      </c>
      <c r="Q599" s="1">
        <v>0</v>
      </c>
      <c r="R599" s="1">
        <v>0</v>
      </c>
      <c r="S599" s="20">
        <v>40878</v>
      </c>
      <c r="T599" s="1">
        <v>828</v>
      </c>
      <c r="U599" s="9">
        <v>828</v>
      </c>
      <c r="V599" s="9" t="s">
        <v>21</v>
      </c>
    </row>
    <row r="600" spans="1:22" x14ac:dyDescent="0.25">
      <c r="A600" s="10" t="s">
        <v>19</v>
      </c>
      <c r="B600" t="b">
        <v>0</v>
      </c>
      <c r="C600" t="b">
        <v>0</v>
      </c>
      <c r="D600" s="1">
        <v>0</v>
      </c>
      <c r="E600" s="1">
        <v>0</v>
      </c>
      <c r="F600" s="1">
        <v>0</v>
      </c>
      <c r="G600" s="1">
        <v>1048</v>
      </c>
      <c r="H600" s="1">
        <v>0</v>
      </c>
      <c r="I600" s="1">
        <v>0</v>
      </c>
      <c r="J600" s="1">
        <f t="shared" si="30"/>
        <v>1048</v>
      </c>
      <c r="K600" s="1">
        <v>0</v>
      </c>
      <c r="L600" s="1">
        <v>0</v>
      </c>
      <c r="M600" s="1">
        <v>0</v>
      </c>
      <c r="N600" s="1">
        <f t="shared" si="33"/>
        <v>0</v>
      </c>
      <c r="O600" s="14">
        <f t="shared" si="31"/>
        <v>0</v>
      </c>
      <c r="P600" s="17">
        <f t="shared" si="32"/>
        <v>1048</v>
      </c>
      <c r="Q600" s="1">
        <v>0</v>
      </c>
      <c r="R600" s="1">
        <v>0</v>
      </c>
      <c r="S600" s="20">
        <v>40909</v>
      </c>
      <c r="T600" s="1">
        <v>1048</v>
      </c>
      <c r="U600" s="9">
        <v>1048</v>
      </c>
      <c r="V600" s="9" t="s">
        <v>21</v>
      </c>
    </row>
    <row r="601" spans="1:22" x14ac:dyDescent="0.25">
      <c r="A601" s="10" t="s">
        <v>19</v>
      </c>
      <c r="B601" t="b">
        <v>0</v>
      </c>
      <c r="C601" t="b">
        <v>0</v>
      </c>
      <c r="D601" s="1">
        <v>0</v>
      </c>
      <c r="E601" s="1">
        <v>0</v>
      </c>
      <c r="F601" s="1">
        <v>0</v>
      </c>
      <c r="G601" s="1">
        <v>1000</v>
      </c>
      <c r="H601" s="1">
        <v>0</v>
      </c>
      <c r="I601" s="1">
        <v>0</v>
      </c>
      <c r="J601" s="1">
        <f t="shared" si="30"/>
        <v>1000</v>
      </c>
      <c r="K601" s="1">
        <v>0</v>
      </c>
      <c r="L601" s="1">
        <v>0</v>
      </c>
      <c r="M601" s="1">
        <v>0</v>
      </c>
      <c r="N601" s="1">
        <f t="shared" si="33"/>
        <v>0</v>
      </c>
      <c r="O601" s="14">
        <f t="shared" si="31"/>
        <v>0</v>
      </c>
      <c r="P601" s="17">
        <f t="shared" si="32"/>
        <v>1000</v>
      </c>
      <c r="Q601" s="1">
        <v>0</v>
      </c>
      <c r="R601" s="1">
        <v>0</v>
      </c>
      <c r="S601" s="20">
        <v>40940</v>
      </c>
      <c r="T601" s="1">
        <v>1000</v>
      </c>
      <c r="U601" s="9">
        <v>1000</v>
      </c>
      <c r="V601" s="9" t="s">
        <v>21</v>
      </c>
    </row>
    <row r="602" spans="1:22" x14ac:dyDescent="0.25">
      <c r="A602" s="10" t="s">
        <v>19</v>
      </c>
      <c r="B602" t="b">
        <v>1</v>
      </c>
      <c r="C602" t="b">
        <v>0</v>
      </c>
      <c r="D602" s="1">
        <v>0</v>
      </c>
      <c r="E602" s="1">
        <v>0</v>
      </c>
      <c r="F602" s="1">
        <v>0</v>
      </c>
      <c r="G602" s="1">
        <v>817</v>
      </c>
      <c r="H602" s="1">
        <v>0</v>
      </c>
      <c r="I602" s="1">
        <v>0</v>
      </c>
      <c r="J602" s="1">
        <f t="shared" si="30"/>
        <v>817</v>
      </c>
      <c r="K602" s="1">
        <v>0</v>
      </c>
      <c r="L602" s="1">
        <v>0</v>
      </c>
      <c r="M602" s="1">
        <v>0</v>
      </c>
      <c r="N602" s="1">
        <f t="shared" si="33"/>
        <v>0</v>
      </c>
      <c r="O602" s="14">
        <f t="shared" si="31"/>
        <v>0</v>
      </c>
      <c r="P602" s="17">
        <f t="shared" si="32"/>
        <v>817</v>
      </c>
      <c r="Q602" s="1">
        <v>0</v>
      </c>
      <c r="R602" s="1">
        <v>0</v>
      </c>
      <c r="S602" s="20">
        <v>40969</v>
      </c>
      <c r="T602" s="1">
        <v>817</v>
      </c>
      <c r="U602" s="9">
        <v>817</v>
      </c>
      <c r="V602" s="9" t="s">
        <v>21</v>
      </c>
    </row>
    <row r="603" spans="1:22" x14ac:dyDescent="0.25">
      <c r="A603" s="10" t="s">
        <v>19</v>
      </c>
      <c r="B603" t="b">
        <v>0</v>
      </c>
      <c r="C603" t="b">
        <v>0</v>
      </c>
      <c r="D603" s="1">
        <v>0</v>
      </c>
      <c r="E603" s="1">
        <v>0</v>
      </c>
      <c r="F603" s="1">
        <v>0</v>
      </c>
      <c r="G603" s="1">
        <v>1060</v>
      </c>
      <c r="H603" s="1">
        <v>0</v>
      </c>
      <c r="I603" s="1">
        <v>0</v>
      </c>
      <c r="J603" s="1">
        <f t="shared" ref="J603:J666" si="34">D603+E603+F603+G603+H603+I603</f>
        <v>1060</v>
      </c>
      <c r="K603" s="1">
        <v>0</v>
      </c>
      <c r="L603" s="1">
        <v>0</v>
      </c>
      <c r="M603" s="1">
        <v>0</v>
      </c>
      <c r="N603" s="1">
        <f t="shared" si="33"/>
        <v>0</v>
      </c>
      <c r="O603" s="14">
        <f t="shared" ref="O603:O666" si="35">K603</f>
        <v>0</v>
      </c>
      <c r="P603" s="17">
        <f t="shared" ref="P603:P666" si="36">J603</f>
        <v>1060</v>
      </c>
      <c r="Q603" s="1">
        <v>0</v>
      </c>
      <c r="R603" s="1">
        <v>0</v>
      </c>
      <c r="S603" s="20">
        <v>41000</v>
      </c>
      <c r="T603" s="1">
        <v>1060</v>
      </c>
      <c r="U603" s="9">
        <v>1060</v>
      </c>
      <c r="V603" s="9" t="s">
        <v>21</v>
      </c>
    </row>
    <row r="604" spans="1:22" x14ac:dyDescent="0.25">
      <c r="A604" s="10" t="s">
        <v>19</v>
      </c>
      <c r="B604" t="b">
        <v>1</v>
      </c>
      <c r="C604" t="b">
        <v>0</v>
      </c>
      <c r="D604" s="1">
        <v>0</v>
      </c>
      <c r="E604" s="1">
        <v>0</v>
      </c>
      <c r="F604" s="1">
        <v>0</v>
      </c>
      <c r="G604" s="1">
        <v>942</v>
      </c>
      <c r="H604" s="1">
        <v>0</v>
      </c>
      <c r="I604" s="1">
        <v>0</v>
      </c>
      <c r="J604" s="1">
        <f t="shared" si="34"/>
        <v>942</v>
      </c>
      <c r="K604" s="1">
        <v>0</v>
      </c>
      <c r="L604" s="1">
        <v>0</v>
      </c>
      <c r="M604" s="1">
        <v>0</v>
      </c>
      <c r="N604" s="1">
        <f t="shared" si="33"/>
        <v>0</v>
      </c>
      <c r="O604" s="14">
        <f t="shared" si="35"/>
        <v>0</v>
      </c>
      <c r="P604" s="17">
        <f t="shared" si="36"/>
        <v>942</v>
      </c>
      <c r="Q604" s="1">
        <v>0</v>
      </c>
      <c r="R604" s="1">
        <v>0</v>
      </c>
      <c r="S604" s="20">
        <v>41030</v>
      </c>
      <c r="T604" s="1">
        <v>942</v>
      </c>
      <c r="U604" s="9">
        <v>942</v>
      </c>
      <c r="V604" s="9" t="s">
        <v>21</v>
      </c>
    </row>
    <row r="605" spans="1:22" x14ac:dyDescent="0.25">
      <c r="A605" s="10" t="s">
        <v>19</v>
      </c>
      <c r="B605" t="b">
        <v>1</v>
      </c>
      <c r="C605" t="b">
        <v>0</v>
      </c>
      <c r="D605" s="1">
        <v>0</v>
      </c>
      <c r="E605" s="1">
        <v>0</v>
      </c>
      <c r="F605" s="1">
        <v>0</v>
      </c>
      <c r="G605" s="1">
        <v>1164</v>
      </c>
      <c r="H605" s="1">
        <v>0</v>
      </c>
      <c r="I605" s="1">
        <v>0</v>
      </c>
      <c r="J605" s="1">
        <f t="shared" si="34"/>
        <v>1164</v>
      </c>
      <c r="K605" s="1">
        <v>0</v>
      </c>
      <c r="L605" s="1">
        <v>0</v>
      </c>
      <c r="M605" s="1">
        <v>0</v>
      </c>
      <c r="N605" s="1">
        <f t="shared" si="33"/>
        <v>0</v>
      </c>
      <c r="O605" s="14">
        <f t="shared" si="35"/>
        <v>0</v>
      </c>
      <c r="P605" s="17">
        <f t="shared" si="36"/>
        <v>1164</v>
      </c>
      <c r="Q605" s="1">
        <v>0</v>
      </c>
      <c r="R605" s="1">
        <v>0</v>
      </c>
      <c r="S605" s="20">
        <v>41061</v>
      </c>
      <c r="T605" s="1">
        <v>1164</v>
      </c>
      <c r="U605" s="9">
        <v>1164</v>
      </c>
      <c r="V605" s="9" t="s">
        <v>21</v>
      </c>
    </row>
    <row r="606" spans="1:22" x14ac:dyDescent="0.25">
      <c r="A606" s="10" t="s">
        <v>19</v>
      </c>
      <c r="B606" t="b">
        <v>0</v>
      </c>
      <c r="C606" t="b">
        <v>0</v>
      </c>
      <c r="D606" s="1">
        <v>0</v>
      </c>
      <c r="E606" s="1">
        <v>0</v>
      </c>
      <c r="F606" s="1">
        <v>0</v>
      </c>
      <c r="G606" s="1">
        <v>1552</v>
      </c>
      <c r="H606" s="1">
        <v>0</v>
      </c>
      <c r="I606" s="1">
        <v>0</v>
      </c>
      <c r="J606" s="1">
        <f t="shared" si="34"/>
        <v>1552</v>
      </c>
      <c r="K606" s="1">
        <v>0</v>
      </c>
      <c r="L606" s="1">
        <v>0</v>
      </c>
      <c r="M606" s="1">
        <v>0</v>
      </c>
      <c r="N606" s="1">
        <f t="shared" si="33"/>
        <v>0</v>
      </c>
      <c r="O606" s="14">
        <f t="shared" si="35"/>
        <v>0</v>
      </c>
      <c r="P606" s="17">
        <f t="shared" si="36"/>
        <v>1552</v>
      </c>
      <c r="Q606" s="1">
        <v>0</v>
      </c>
      <c r="R606" s="1">
        <v>0</v>
      </c>
      <c r="S606" s="20">
        <v>41091</v>
      </c>
      <c r="T606" s="1">
        <v>1552</v>
      </c>
      <c r="U606" s="9">
        <v>1552</v>
      </c>
      <c r="V606" s="9" t="s">
        <v>21</v>
      </c>
    </row>
    <row r="607" spans="1:22" x14ac:dyDescent="0.25">
      <c r="A607" s="10" t="s">
        <v>19</v>
      </c>
      <c r="B607" t="b">
        <v>0</v>
      </c>
      <c r="C607" t="b">
        <v>0</v>
      </c>
      <c r="D607" s="1">
        <v>0</v>
      </c>
      <c r="E607" s="1">
        <v>0</v>
      </c>
      <c r="F607" s="1">
        <v>0</v>
      </c>
      <c r="G607" s="1">
        <v>1135</v>
      </c>
      <c r="H607" s="1">
        <v>0</v>
      </c>
      <c r="I607" s="1">
        <v>0</v>
      </c>
      <c r="J607" s="1">
        <f t="shared" si="34"/>
        <v>1135</v>
      </c>
      <c r="K607" s="1">
        <v>0</v>
      </c>
      <c r="L607" s="1">
        <v>0</v>
      </c>
      <c r="M607" s="1">
        <v>0</v>
      </c>
      <c r="N607" s="1">
        <f t="shared" si="33"/>
        <v>0</v>
      </c>
      <c r="O607" s="14">
        <f t="shared" si="35"/>
        <v>0</v>
      </c>
      <c r="P607" s="17">
        <f t="shared" si="36"/>
        <v>1135</v>
      </c>
      <c r="Q607" s="1">
        <v>0</v>
      </c>
      <c r="R607" s="1">
        <v>0</v>
      </c>
      <c r="S607" s="20">
        <v>41122</v>
      </c>
      <c r="T607" s="1">
        <v>1135</v>
      </c>
      <c r="U607" s="9">
        <v>1135</v>
      </c>
      <c r="V607" s="9" t="s">
        <v>21</v>
      </c>
    </row>
    <row r="608" spans="1:22" x14ac:dyDescent="0.25">
      <c r="A608" s="10" t="s">
        <v>19</v>
      </c>
      <c r="B608" t="b">
        <v>0</v>
      </c>
      <c r="C608" t="b">
        <v>0</v>
      </c>
      <c r="D608" s="1">
        <v>0</v>
      </c>
      <c r="E608" s="1">
        <v>0</v>
      </c>
      <c r="F608" s="1">
        <v>0</v>
      </c>
      <c r="G608" s="1">
        <v>1111</v>
      </c>
      <c r="H608" s="1">
        <v>0</v>
      </c>
      <c r="I608" s="1">
        <v>0</v>
      </c>
      <c r="J608" s="1">
        <f t="shared" si="34"/>
        <v>1111</v>
      </c>
      <c r="K608" s="1">
        <v>0</v>
      </c>
      <c r="L608" s="1">
        <v>0</v>
      </c>
      <c r="M608" s="1">
        <v>0</v>
      </c>
      <c r="N608" s="1">
        <f t="shared" si="33"/>
        <v>0</v>
      </c>
      <c r="O608" s="14">
        <f t="shared" si="35"/>
        <v>0</v>
      </c>
      <c r="P608" s="17">
        <f t="shared" si="36"/>
        <v>1111</v>
      </c>
      <c r="Q608" s="1">
        <v>0</v>
      </c>
      <c r="R608" s="1">
        <v>0</v>
      </c>
      <c r="S608" s="20">
        <v>41153</v>
      </c>
      <c r="T608" s="1">
        <v>1111</v>
      </c>
      <c r="U608" s="9">
        <v>1111</v>
      </c>
      <c r="V608" s="9" t="s">
        <v>21</v>
      </c>
    </row>
    <row r="609" spans="1:22" x14ac:dyDescent="0.25">
      <c r="A609" s="10" t="s">
        <v>19</v>
      </c>
      <c r="B609" t="b">
        <v>0</v>
      </c>
      <c r="C609" t="b">
        <v>0</v>
      </c>
      <c r="D609" s="1">
        <v>0</v>
      </c>
      <c r="E609" s="1">
        <v>0</v>
      </c>
      <c r="F609" s="1">
        <v>0</v>
      </c>
      <c r="G609" s="1">
        <v>1024</v>
      </c>
      <c r="H609" s="1">
        <v>0</v>
      </c>
      <c r="I609" s="1">
        <v>0</v>
      </c>
      <c r="J609" s="1">
        <f t="shared" si="34"/>
        <v>1024</v>
      </c>
      <c r="K609" s="1">
        <v>0</v>
      </c>
      <c r="L609" s="1">
        <v>0</v>
      </c>
      <c r="M609" s="1">
        <v>0</v>
      </c>
      <c r="N609" s="1">
        <f t="shared" si="33"/>
        <v>0</v>
      </c>
      <c r="O609" s="14">
        <f t="shared" si="35"/>
        <v>0</v>
      </c>
      <c r="P609" s="17">
        <f t="shared" si="36"/>
        <v>1024</v>
      </c>
      <c r="Q609" s="1">
        <v>0</v>
      </c>
      <c r="R609" s="1">
        <v>0</v>
      </c>
      <c r="S609" s="20">
        <v>41183</v>
      </c>
      <c r="T609" s="1">
        <v>1024</v>
      </c>
      <c r="U609" s="9">
        <v>1024</v>
      </c>
      <c r="V609" s="9" t="s">
        <v>21</v>
      </c>
    </row>
    <row r="610" spans="1:22" x14ac:dyDescent="0.25">
      <c r="A610" s="10" t="s">
        <v>19</v>
      </c>
      <c r="B610" t="b">
        <v>0</v>
      </c>
      <c r="C610" t="b">
        <v>0</v>
      </c>
      <c r="D610" s="1">
        <v>0</v>
      </c>
      <c r="E610" s="1">
        <v>0</v>
      </c>
      <c r="F610" s="1">
        <v>0</v>
      </c>
      <c r="G610" s="1">
        <v>911</v>
      </c>
      <c r="H610" s="1">
        <v>0</v>
      </c>
      <c r="I610" s="1">
        <v>0</v>
      </c>
      <c r="J610" s="1">
        <f t="shared" si="34"/>
        <v>911</v>
      </c>
      <c r="K610" s="1">
        <v>0</v>
      </c>
      <c r="L610" s="1">
        <v>0</v>
      </c>
      <c r="M610" s="1">
        <v>0</v>
      </c>
      <c r="N610" s="1">
        <f t="shared" si="33"/>
        <v>0</v>
      </c>
      <c r="O610" s="14">
        <f t="shared" si="35"/>
        <v>0</v>
      </c>
      <c r="P610" s="17">
        <f t="shared" si="36"/>
        <v>911</v>
      </c>
      <c r="Q610" s="1">
        <v>0</v>
      </c>
      <c r="R610" s="1">
        <v>0</v>
      </c>
      <c r="S610" s="20">
        <v>41214</v>
      </c>
      <c r="T610" s="1">
        <v>911</v>
      </c>
      <c r="U610" s="9">
        <v>911</v>
      </c>
      <c r="V610" s="9" t="s">
        <v>21</v>
      </c>
    </row>
    <row r="611" spans="1:22" x14ac:dyDescent="0.25">
      <c r="A611" s="10" t="s">
        <v>19</v>
      </c>
      <c r="B611" t="b">
        <v>0</v>
      </c>
      <c r="C611" t="b">
        <v>0</v>
      </c>
      <c r="D611" s="1">
        <v>0</v>
      </c>
      <c r="E611" s="1">
        <v>0</v>
      </c>
      <c r="F611" s="1">
        <v>0</v>
      </c>
      <c r="G611" s="1">
        <v>470</v>
      </c>
      <c r="H611" s="1">
        <v>0</v>
      </c>
      <c r="I611" s="1">
        <v>0</v>
      </c>
      <c r="J611" s="1">
        <f t="shared" si="34"/>
        <v>470</v>
      </c>
      <c r="K611" s="1">
        <v>0</v>
      </c>
      <c r="L611" s="1">
        <v>0</v>
      </c>
      <c r="M611" s="1">
        <v>0</v>
      </c>
      <c r="N611" s="1">
        <f t="shared" si="33"/>
        <v>0</v>
      </c>
      <c r="O611" s="14">
        <f t="shared" si="35"/>
        <v>0</v>
      </c>
      <c r="P611" s="17">
        <f t="shared" si="36"/>
        <v>470</v>
      </c>
      <c r="Q611" s="1">
        <v>0</v>
      </c>
      <c r="R611" s="1">
        <v>0</v>
      </c>
      <c r="S611" s="20">
        <v>41244</v>
      </c>
      <c r="T611" s="1">
        <v>470</v>
      </c>
      <c r="U611" s="9">
        <v>470</v>
      </c>
      <c r="V611" s="9" t="s">
        <v>21</v>
      </c>
    </row>
    <row r="612" spans="1:22" x14ac:dyDescent="0.25">
      <c r="A612" s="10" t="s">
        <v>19</v>
      </c>
      <c r="B612" t="b">
        <v>0</v>
      </c>
      <c r="C612" t="b">
        <v>0</v>
      </c>
      <c r="D612" s="1">
        <v>0</v>
      </c>
      <c r="E612" s="1">
        <v>0</v>
      </c>
      <c r="F612" s="1">
        <v>0</v>
      </c>
      <c r="G612" s="1">
        <v>389</v>
      </c>
      <c r="H612" s="1">
        <v>0</v>
      </c>
      <c r="I612" s="1">
        <v>0</v>
      </c>
      <c r="J612" s="1">
        <f t="shared" si="34"/>
        <v>389</v>
      </c>
      <c r="K612" s="1">
        <v>0</v>
      </c>
      <c r="L612" s="1">
        <v>0</v>
      </c>
      <c r="M612" s="1">
        <v>0</v>
      </c>
      <c r="N612" s="1">
        <f t="shared" si="33"/>
        <v>0</v>
      </c>
      <c r="O612" s="14">
        <f t="shared" si="35"/>
        <v>0</v>
      </c>
      <c r="P612" s="17">
        <f t="shared" si="36"/>
        <v>389</v>
      </c>
      <c r="Q612" s="1">
        <v>0</v>
      </c>
      <c r="R612" s="1">
        <v>0</v>
      </c>
      <c r="S612" s="20">
        <v>41275</v>
      </c>
      <c r="T612" s="1">
        <v>389</v>
      </c>
      <c r="U612" s="9">
        <v>389</v>
      </c>
      <c r="V612" s="9" t="s">
        <v>40</v>
      </c>
    </row>
    <row r="613" spans="1:22" x14ac:dyDescent="0.25">
      <c r="A613" s="10" t="s">
        <v>19</v>
      </c>
      <c r="B613" t="b">
        <v>0</v>
      </c>
      <c r="C613" t="b">
        <v>0</v>
      </c>
      <c r="D613" s="1">
        <v>0</v>
      </c>
      <c r="E613" s="1">
        <v>0</v>
      </c>
      <c r="F613" s="1">
        <v>0</v>
      </c>
      <c r="G613" s="1">
        <v>377</v>
      </c>
      <c r="H613" s="1">
        <v>0</v>
      </c>
      <c r="I613" s="1">
        <v>0</v>
      </c>
      <c r="J613" s="1">
        <f t="shared" si="34"/>
        <v>377</v>
      </c>
      <c r="K613" s="1">
        <v>0</v>
      </c>
      <c r="L613" s="1">
        <v>0</v>
      </c>
      <c r="M613" s="1">
        <v>0</v>
      </c>
      <c r="N613" s="1">
        <f t="shared" si="33"/>
        <v>0</v>
      </c>
      <c r="O613" s="14">
        <f t="shared" si="35"/>
        <v>0</v>
      </c>
      <c r="P613" s="17">
        <f t="shared" si="36"/>
        <v>377</v>
      </c>
      <c r="Q613" s="1">
        <v>0</v>
      </c>
      <c r="R613" s="1">
        <v>0</v>
      </c>
      <c r="S613" s="20">
        <v>41306</v>
      </c>
      <c r="T613" s="1">
        <v>377</v>
      </c>
      <c r="U613" s="9">
        <v>377</v>
      </c>
      <c r="V613" s="9" t="s">
        <v>40</v>
      </c>
    </row>
    <row r="614" spans="1:22" x14ac:dyDescent="0.25">
      <c r="A614" s="10" t="s">
        <v>19</v>
      </c>
      <c r="B614" t="b">
        <v>0</v>
      </c>
      <c r="C614" t="b">
        <v>0</v>
      </c>
      <c r="D614" s="1">
        <v>0</v>
      </c>
      <c r="E614" s="1">
        <v>0</v>
      </c>
      <c r="F614" s="1">
        <v>0</v>
      </c>
      <c r="G614" s="1">
        <v>538</v>
      </c>
      <c r="H614" s="1">
        <v>0</v>
      </c>
      <c r="I614" s="1">
        <v>0</v>
      </c>
      <c r="J614" s="1">
        <f t="shared" si="34"/>
        <v>538</v>
      </c>
      <c r="K614" s="1">
        <v>0</v>
      </c>
      <c r="L614" s="1">
        <v>0</v>
      </c>
      <c r="M614" s="1">
        <v>0</v>
      </c>
      <c r="N614" s="1">
        <f t="shared" si="33"/>
        <v>0</v>
      </c>
      <c r="O614" s="14">
        <f t="shared" si="35"/>
        <v>0</v>
      </c>
      <c r="P614" s="17">
        <f t="shared" si="36"/>
        <v>538</v>
      </c>
      <c r="Q614" s="1">
        <v>0</v>
      </c>
      <c r="R614" s="1">
        <v>0</v>
      </c>
      <c r="S614" s="20">
        <v>41334</v>
      </c>
      <c r="T614" s="1">
        <v>538</v>
      </c>
      <c r="U614" s="9">
        <v>538</v>
      </c>
      <c r="V614" s="9" t="s">
        <v>40</v>
      </c>
    </row>
    <row r="615" spans="1:22" x14ac:dyDescent="0.25">
      <c r="A615" s="10" t="s">
        <v>19</v>
      </c>
      <c r="B615" t="b">
        <v>0</v>
      </c>
      <c r="C615" t="b">
        <v>0</v>
      </c>
      <c r="D615" s="1">
        <v>0</v>
      </c>
      <c r="E615" s="1">
        <v>0</v>
      </c>
      <c r="F615" s="1">
        <v>0</v>
      </c>
      <c r="G615" s="1">
        <v>402</v>
      </c>
      <c r="H615" s="1">
        <v>0</v>
      </c>
      <c r="I615" s="1">
        <v>0</v>
      </c>
      <c r="J615" s="1">
        <f t="shared" si="34"/>
        <v>402</v>
      </c>
      <c r="K615" s="1">
        <v>0</v>
      </c>
      <c r="L615" s="1">
        <v>0</v>
      </c>
      <c r="M615" s="1">
        <v>0</v>
      </c>
      <c r="N615" s="1">
        <f t="shared" si="33"/>
        <v>0</v>
      </c>
      <c r="O615" s="14">
        <f t="shared" si="35"/>
        <v>0</v>
      </c>
      <c r="P615" s="17">
        <f t="shared" si="36"/>
        <v>402</v>
      </c>
      <c r="Q615" s="1">
        <v>0</v>
      </c>
      <c r="R615" s="1">
        <v>0</v>
      </c>
      <c r="S615" s="20">
        <v>41365</v>
      </c>
      <c r="T615" s="1">
        <v>402</v>
      </c>
      <c r="U615" s="9">
        <v>402</v>
      </c>
      <c r="V615" s="9" t="s">
        <v>40</v>
      </c>
    </row>
    <row r="616" spans="1:22" x14ac:dyDescent="0.25">
      <c r="A616" s="10" t="s">
        <v>19</v>
      </c>
      <c r="B616" t="b">
        <v>0</v>
      </c>
      <c r="C616" t="b">
        <v>0</v>
      </c>
      <c r="D616" s="1">
        <v>0</v>
      </c>
      <c r="E616" s="1">
        <v>0</v>
      </c>
      <c r="F616" s="1">
        <v>0</v>
      </c>
      <c r="G616" s="1">
        <v>501</v>
      </c>
      <c r="H616" s="1">
        <v>0</v>
      </c>
      <c r="I616" s="1">
        <v>0</v>
      </c>
      <c r="J616" s="1">
        <f t="shared" si="34"/>
        <v>501</v>
      </c>
      <c r="K616" s="1">
        <v>0</v>
      </c>
      <c r="L616" s="1">
        <v>0</v>
      </c>
      <c r="M616" s="1">
        <v>0</v>
      </c>
      <c r="N616" s="1">
        <f t="shared" si="33"/>
        <v>0</v>
      </c>
      <c r="O616" s="14">
        <f t="shared" si="35"/>
        <v>0</v>
      </c>
      <c r="P616" s="17">
        <f t="shared" si="36"/>
        <v>501</v>
      </c>
      <c r="Q616" s="1">
        <v>0</v>
      </c>
      <c r="R616" s="1">
        <v>0</v>
      </c>
      <c r="S616" s="20">
        <v>41395</v>
      </c>
      <c r="T616" s="1">
        <v>501</v>
      </c>
      <c r="U616" s="9">
        <v>501</v>
      </c>
      <c r="V616" s="9" t="s">
        <v>40</v>
      </c>
    </row>
    <row r="617" spans="1:22" x14ac:dyDescent="0.25">
      <c r="A617" s="10" t="s">
        <v>19</v>
      </c>
      <c r="B617" t="b">
        <v>0</v>
      </c>
      <c r="C617" t="b">
        <v>0</v>
      </c>
      <c r="D617" s="1">
        <v>0</v>
      </c>
      <c r="E617" s="1">
        <v>0</v>
      </c>
      <c r="F617" s="1">
        <v>0</v>
      </c>
      <c r="G617" s="1">
        <v>555</v>
      </c>
      <c r="H617" s="1">
        <v>0</v>
      </c>
      <c r="I617" s="1">
        <v>0</v>
      </c>
      <c r="J617" s="1">
        <f t="shared" si="34"/>
        <v>555</v>
      </c>
      <c r="K617" s="1">
        <v>0</v>
      </c>
      <c r="L617" s="1">
        <v>0</v>
      </c>
      <c r="M617" s="1">
        <v>0</v>
      </c>
      <c r="N617" s="1">
        <f t="shared" si="33"/>
        <v>0</v>
      </c>
      <c r="O617" s="14">
        <f t="shared" si="35"/>
        <v>0</v>
      </c>
      <c r="P617" s="17">
        <f t="shared" si="36"/>
        <v>555</v>
      </c>
      <c r="Q617" s="1">
        <v>0</v>
      </c>
      <c r="R617" s="1">
        <v>0</v>
      </c>
      <c r="S617" s="20">
        <v>41426</v>
      </c>
      <c r="T617" s="1">
        <v>555</v>
      </c>
      <c r="U617" s="9">
        <v>555</v>
      </c>
      <c r="V617" s="9" t="s">
        <v>40</v>
      </c>
    </row>
    <row r="618" spans="1:22" x14ac:dyDescent="0.25">
      <c r="A618" s="10" t="s">
        <v>19</v>
      </c>
      <c r="B618" t="b">
        <v>0</v>
      </c>
      <c r="C618" t="b">
        <v>0</v>
      </c>
      <c r="D618" s="1">
        <v>0</v>
      </c>
      <c r="E618" s="1">
        <v>0</v>
      </c>
      <c r="F618" s="1">
        <v>0</v>
      </c>
      <c r="G618" s="1">
        <v>424</v>
      </c>
      <c r="H618" s="1">
        <v>0</v>
      </c>
      <c r="I618" s="1">
        <v>0</v>
      </c>
      <c r="J618" s="1">
        <f t="shared" si="34"/>
        <v>424</v>
      </c>
      <c r="K618" s="1">
        <v>0</v>
      </c>
      <c r="L618" s="1">
        <v>0</v>
      </c>
      <c r="M618" s="1">
        <v>0</v>
      </c>
      <c r="N618" s="1">
        <f t="shared" si="33"/>
        <v>0</v>
      </c>
      <c r="O618" s="14">
        <f t="shared" si="35"/>
        <v>0</v>
      </c>
      <c r="P618" s="17">
        <f t="shared" si="36"/>
        <v>424</v>
      </c>
      <c r="Q618" s="1">
        <v>0</v>
      </c>
      <c r="R618" s="1">
        <v>0</v>
      </c>
      <c r="S618" s="20">
        <v>41456</v>
      </c>
      <c r="T618" s="1">
        <v>424</v>
      </c>
      <c r="U618" s="9">
        <v>424</v>
      </c>
      <c r="V618" s="9" t="s">
        <v>40</v>
      </c>
    </row>
    <row r="619" spans="1:22" x14ac:dyDescent="0.25">
      <c r="A619" s="10" t="s">
        <v>19</v>
      </c>
      <c r="B619" t="b">
        <v>0</v>
      </c>
      <c r="C619" t="b">
        <v>0</v>
      </c>
      <c r="D619" s="1">
        <v>0</v>
      </c>
      <c r="E619" s="1">
        <v>0</v>
      </c>
      <c r="F619" s="1">
        <v>0</v>
      </c>
      <c r="G619" s="1">
        <v>0</v>
      </c>
      <c r="H619" s="1">
        <v>581</v>
      </c>
      <c r="I619" s="1">
        <v>0</v>
      </c>
      <c r="J619" s="1">
        <f t="shared" si="34"/>
        <v>581</v>
      </c>
      <c r="K619" s="1">
        <v>0</v>
      </c>
      <c r="L619" s="1">
        <v>0</v>
      </c>
      <c r="M619" s="1">
        <v>0</v>
      </c>
      <c r="N619" s="1">
        <f t="shared" si="33"/>
        <v>0</v>
      </c>
      <c r="O619" s="14">
        <f t="shared" si="35"/>
        <v>0</v>
      </c>
      <c r="P619" s="17">
        <f t="shared" si="36"/>
        <v>581</v>
      </c>
      <c r="Q619" s="1">
        <v>0</v>
      </c>
      <c r="R619" s="1">
        <v>0</v>
      </c>
      <c r="S619" s="20">
        <v>41487</v>
      </c>
      <c r="T619" s="1">
        <v>581</v>
      </c>
      <c r="U619" s="9">
        <v>581</v>
      </c>
      <c r="V619" s="9" t="s">
        <v>40</v>
      </c>
    </row>
    <row r="620" spans="1:22" x14ac:dyDescent="0.25">
      <c r="A620" s="10" t="s">
        <v>19</v>
      </c>
      <c r="B620" t="b">
        <v>0</v>
      </c>
      <c r="C620" t="b">
        <v>0</v>
      </c>
      <c r="D620" s="1">
        <v>0</v>
      </c>
      <c r="E620" s="1">
        <v>0</v>
      </c>
      <c r="F620" s="1">
        <v>0</v>
      </c>
      <c r="G620" s="1">
        <v>532</v>
      </c>
      <c r="H620" s="1">
        <v>0</v>
      </c>
      <c r="I620" s="1">
        <v>0</v>
      </c>
      <c r="J620" s="1">
        <f t="shared" si="34"/>
        <v>532</v>
      </c>
      <c r="K620" s="1">
        <v>0</v>
      </c>
      <c r="L620" s="1">
        <v>0</v>
      </c>
      <c r="M620" s="1">
        <v>0</v>
      </c>
      <c r="N620" s="1">
        <f t="shared" si="33"/>
        <v>0</v>
      </c>
      <c r="O620" s="14">
        <f t="shared" si="35"/>
        <v>0</v>
      </c>
      <c r="P620" s="17">
        <f t="shared" si="36"/>
        <v>532</v>
      </c>
      <c r="Q620" s="1">
        <v>0</v>
      </c>
      <c r="R620" s="1">
        <v>0</v>
      </c>
      <c r="S620" s="20">
        <v>41518</v>
      </c>
      <c r="T620" s="1">
        <v>532</v>
      </c>
      <c r="U620" s="9">
        <v>532</v>
      </c>
      <c r="V620" s="9" t="s">
        <v>40</v>
      </c>
    </row>
    <row r="621" spans="1:22" x14ac:dyDescent="0.25">
      <c r="A621" s="10" t="s">
        <v>19</v>
      </c>
      <c r="B621" t="b">
        <v>0</v>
      </c>
      <c r="C621" t="b">
        <v>0</v>
      </c>
      <c r="D621" s="1">
        <v>0</v>
      </c>
      <c r="E621" s="1">
        <v>0</v>
      </c>
      <c r="F621" s="1">
        <v>0</v>
      </c>
      <c r="G621" s="1">
        <v>557</v>
      </c>
      <c r="H621" s="1">
        <v>0</v>
      </c>
      <c r="I621" s="1">
        <v>0</v>
      </c>
      <c r="J621" s="1">
        <f t="shared" si="34"/>
        <v>557</v>
      </c>
      <c r="K621" s="1">
        <v>0</v>
      </c>
      <c r="L621" s="1">
        <v>0</v>
      </c>
      <c r="M621" s="1">
        <v>0</v>
      </c>
      <c r="N621" s="1">
        <f t="shared" si="33"/>
        <v>0</v>
      </c>
      <c r="O621" s="14">
        <f t="shared" si="35"/>
        <v>0</v>
      </c>
      <c r="P621" s="17">
        <f t="shared" si="36"/>
        <v>557</v>
      </c>
      <c r="Q621" s="1">
        <v>0</v>
      </c>
      <c r="R621" s="1">
        <v>0</v>
      </c>
      <c r="S621" s="20">
        <v>41548</v>
      </c>
      <c r="T621" s="1">
        <v>557</v>
      </c>
      <c r="U621" s="9">
        <v>557</v>
      </c>
      <c r="V621" s="9" t="s">
        <v>40</v>
      </c>
    </row>
    <row r="622" spans="1:22" x14ac:dyDescent="0.25">
      <c r="A622" s="10" t="s">
        <v>19</v>
      </c>
      <c r="B622" t="b">
        <v>0</v>
      </c>
      <c r="C622" t="b">
        <v>0</v>
      </c>
      <c r="D622" s="1">
        <v>0</v>
      </c>
      <c r="E622" s="1">
        <v>0</v>
      </c>
      <c r="F622" s="1">
        <v>0</v>
      </c>
      <c r="G622" s="1">
        <v>464</v>
      </c>
      <c r="H622" s="1">
        <v>0</v>
      </c>
      <c r="I622" s="1">
        <v>0</v>
      </c>
      <c r="J622" s="1">
        <f t="shared" si="34"/>
        <v>464</v>
      </c>
      <c r="K622" s="1">
        <v>0</v>
      </c>
      <c r="L622" s="1">
        <v>0</v>
      </c>
      <c r="M622" s="1">
        <v>0</v>
      </c>
      <c r="N622" s="1">
        <f t="shared" si="33"/>
        <v>0</v>
      </c>
      <c r="O622" s="14">
        <f t="shared" si="35"/>
        <v>0</v>
      </c>
      <c r="P622" s="17">
        <f t="shared" si="36"/>
        <v>464</v>
      </c>
      <c r="Q622" s="1">
        <v>0</v>
      </c>
      <c r="R622" s="1">
        <v>0</v>
      </c>
      <c r="S622" s="20">
        <v>41579</v>
      </c>
      <c r="T622" s="1">
        <v>464</v>
      </c>
      <c r="U622" s="9">
        <v>464</v>
      </c>
      <c r="V622" s="9" t="s">
        <v>40</v>
      </c>
    </row>
    <row r="623" spans="1:22" x14ac:dyDescent="0.25">
      <c r="A623" s="10" t="s">
        <v>19</v>
      </c>
      <c r="B623" t="b">
        <v>0</v>
      </c>
      <c r="C623" t="b">
        <v>0</v>
      </c>
      <c r="D623" s="1">
        <v>0</v>
      </c>
      <c r="E623" s="1">
        <v>0</v>
      </c>
      <c r="F623" s="1">
        <v>0</v>
      </c>
      <c r="G623" s="1">
        <v>0</v>
      </c>
      <c r="H623" s="1">
        <v>287</v>
      </c>
      <c r="I623" s="1">
        <v>0</v>
      </c>
      <c r="J623" s="1">
        <f t="shared" si="34"/>
        <v>287</v>
      </c>
      <c r="K623" s="1">
        <v>0</v>
      </c>
      <c r="L623" s="1">
        <v>0</v>
      </c>
      <c r="M623" s="1">
        <v>0</v>
      </c>
      <c r="N623" s="1">
        <f t="shared" si="33"/>
        <v>0</v>
      </c>
      <c r="O623" s="14">
        <f t="shared" si="35"/>
        <v>0</v>
      </c>
      <c r="P623" s="17">
        <f t="shared" si="36"/>
        <v>287</v>
      </c>
      <c r="Q623" s="1">
        <v>0</v>
      </c>
      <c r="R623" s="1">
        <v>0</v>
      </c>
      <c r="S623" s="20">
        <v>41609</v>
      </c>
      <c r="T623" s="1">
        <v>287</v>
      </c>
      <c r="U623" s="9">
        <v>287</v>
      </c>
      <c r="V623" s="9" t="s">
        <v>40</v>
      </c>
    </row>
    <row r="624" spans="1:22" x14ac:dyDescent="0.25">
      <c r="A624" s="10" t="s">
        <v>19</v>
      </c>
      <c r="B624" t="b">
        <v>0</v>
      </c>
      <c r="C624" t="b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f t="shared" si="34"/>
        <v>0</v>
      </c>
      <c r="K624" s="1">
        <v>0</v>
      </c>
      <c r="L624" s="1">
        <v>0</v>
      </c>
      <c r="M624" s="1">
        <v>0</v>
      </c>
      <c r="N624" s="1">
        <f t="shared" si="33"/>
        <v>0</v>
      </c>
      <c r="O624" s="14">
        <f t="shared" si="35"/>
        <v>0</v>
      </c>
      <c r="P624" s="17">
        <f t="shared" si="36"/>
        <v>0</v>
      </c>
      <c r="Q624" s="1">
        <v>0</v>
      </c>
      <c r="R624" s="1">
        <v>0</v>
      </c>
      <c r="S624" s="20">
        <v>41640</v>
      </c>
      <c r="T624" s="1">
        <v>0</v>
      </c>
      <c r="U624" s="9">
        <v>0</v>
      </c>
      <c r="V624" s="9" t="s">
        <v>39</v>
      </c>
    </row>
    <row r="625" spans="1:22" x14ac:dyDescent="0.25">
      <c r="A625" s="10" t="s">
        <v>19</v>
      </c>
      <c r="B625" t="b">
        <v>0</v>
      </c>
      <c r="C625" t="b">
        <v>0</v>
      </c>
      <c r="D625" s="1">
        <v>0</v>
      </c>
      <c r="E625" s="1">
        <v>0</v>
      </c>
      <c r="F625" s="1">
        <v>0</v>
      </c>
      <c r="G625" s="1">
        <v>0</v>
      </c>
      <c r="H625" s="1">
        <v>325</v>
      </c>
      <c r="I625" s="1">
        <v>0</v>
      </c>
      <c r="J625" s="1">
        <f t="shared" si="34"/>
        <v>325</v>
      </c>
      <c r="K625" s="1">
        <v>0</v>
      </c>
      <c r="L625" s="1">
        <v>0</v>
      </c>
      <c r="M625" s="1">
        <v>0</v>
      </c>
      <c r="N625" s="1">
        <f t="shared" si="33"/>
        <v>0</v>
      </c>
      <c r="O625" s="14">
        <f t="shared" si="35"/>
        <v>0</v>
      </c>
      <c r="P625" s="17">
        <f t="shared" si="36"/>
        <v>325</v>
      </c>
      <c r="Q625" s="1">
        <v>0</v>
      </c>
      <c r="R625" s="1">
        <v>0</v>
      </c>
      <c r="S625" s="20">
        <v>41671</v>
      </c>
      <c r="T625" s="1">
        <v>325</v>
      </c>
      <c r="U625" s="9">
        <v>325</v>
      </c>
      <c r="V625" s="9" t="s">
        <v>39</v>
      </c>
    </row>
    <row r="626" spans="1:22" x14ac:dyDescent="0.25">
      <c r="A626" s="10" t="s">
        <v>19</v>
      </c>
      <c r="B626" t="b">
        <v>0</v>
      </c>
      <c r="C626" t="b">
        <v>0</v>
      </c>
      <c r="D626" s="1">
        <v>0</v>
      </c>
      <c r="E626" s="1">
        <v>0</v>
      </c>
      <c r="F626" s="1">
        <v>0</v>
      </c>
      <c r="G626" s="1">
        <v>431</v>
      </c>
      <c r="H626" s="1">
        <v>0</v>
      </c>
      <c r="I626" s="1">
        <v>0</v>
      </c>
      <c r="J626" s="1">
        <f t="shared" si="34"/>
        <v>431</v>
      </c>
      <c r="K626" s="1">
        <v>0</v>
      </c>
      <c r="L626" s="1">
        <v>0</v>
      </c>
      <c r="M626" s="1">
        <v>0</v>
      </c>
      <c r="N626" s="1">
        <f t="shared" si="33"/>
        <v>0</v>
      </c>
      <c r="O626" s="14">
        <f t="shared" si="35"/>
        <v>0</v>
      </c>
      <c r="P626" s="17">
        <f t="shared" si="36"/>
        <v>431</v>
      </c>
      <c r="Q626" s="1">
        <v>0</v>
      </c>
      <c r="R626" s="1">
        <v>0</v>
      </c>
      <c r="S626" s="20">
        <v>41699</v>
      </c>
      <c r="T626" s="1">
        <v>431</v>
      </c>
      <c r="U626" s="9">
        <v>431</v>
      </c>
      <c r="V626" s="9" t="s">
        <v>39</v>
      </c>
    </row>
    <row r="627" spans="1:22" x14ac:dyDescent="0.25">
      <c r="A627" s="10" t="s">
        <v>19</v>
      </c>
      <c r="B627" t="b">
        <v>0</v>
      </c>
      <c r="C627" t="b">
        <v>0</v>
      </c>
      <c r="D627" s="1">
        <v>0</v>
      </c>
      <c r="E627" s="1">
        <v>0</v>
      </c>
      <c r="F627" s="1">
        <v>0</v>
      </c>
      <c r="G627" s="1">
        <v>473</v>
      </c>
      <c r="H627" s="1">
        <v>0</v>
      </c>
      <c r="I627" s="1">
        <v>0</v>
      </c>
      <c r="J627" s="1">
        <f t="shared" si="34"/>
        <v>473</v>
      </c>
      <c r="K627" s="1">
        <v>0</v>
      </c>
      <c r="L627" s="1">
        <v>0</v>
      </c>
      <c r="M627" s="1">
        <v>0</v>
      </c>
      <c r="N627" s="1">
        <f t="shared" si="33"/>
        <v>0</v>
      </c>
      <c r="O627" s="14">
        <f t="shared" si="35"/>
        <v>0</v>
      </c>
      <c r="P627" s="17">
        <f t="shared" si="36"/>
        <v>473</v>
      </c>
      <c r="Q627" s="1">
        <v>0</v>
      </c>
      <c r="R627" s="1">
        <v>0</v>
      </c>
      <c r="S627" s="20">
        <v>41730</v>
      </c>
      <c r="T627" s="1">
        <v>473</v>
      </c>
      <c r="U627" s="9">
        <v>473</v>
      </c>
      <c r="V627" s="9" t="s">
        <v>39</v>
      </c>
    </row>
    <row r="628" spans="1:22" x14ac:dyDescent="0.25">
      <c r="A628" s="10" t="s">
        <v>19</v>
      </c>
      <c r="B628" t="b">
        <v>0</v>
      </c>
      <c r="C628" t="b">
        <v>0</v>
      </c>
      <c r="D628" s="1">
        <v>0</v>
      </c>
      <c r="E628" s="1">
        <v>0</v>
      </c>
      <c r="F628" s="1">
        <v>0</v>
      </c>
      <c r="G628" s="1">
        <v>0</v>
      </c>
      <c r="H628" s="1">
        <v>599</v>
      </c>
      <c r="I628" s="1">
        <v>0</v>
      </c>
      <c r="J628" s="1">
        <f t="shared" si="34"/>
        <v>599</v>
      </c>
      <c r="K628" s="1">
        <v>0</v>
      </c>
      <c r="L628" s="1">
        <v>0</v>
      </c>
      <c r="M628" s="1">
        <v>0</v>
      </c>
      <c r="N628" s="1">
        <f t="shared" si="33"/>
        <v>0</v>
      </c>
      <c r="O628" s="14">
        <f t="shared" si="35"/>
        <v>0</v>
      </c>
      <c r="P628" s="17">
        <f t="shared" si="36"/>
        <v>599</v>
      </c>
      <c r="Q628" s="1">
        <v>0</v>
      </c>
      <c r="R628" s="1">
        <v>0</v>
      </c>
      <c r="S628" s="20">
        <v>41760</v>
      </c>
      <c r="T628" s="1">
        <v>599</v>
      </c>
      <c r="U628" s="9">
        <v>599</v>
      </c>
      <c r="V628" s="9" t="s">
        <v>39</v>
      </c>
    </row>
    <row r="629" spans="1:22" x14ac:dyDescent="0.25">
      <c r="A629" s="10" t="s">
        <v>19</v>
      </c>
      <c r="B629" t="b">
        <v>0</v>
      </c>
      <c r="C629" t="b">
        <v>0</v>
      </c>
      <c r="D629" s="1">
        <v>0</v>
      </c>
      <c r="E629" s="1">
        <v>0</v>
      </c>
      <c r="F629" s="1">
        <v>0</v>
      </c>
      <c r="G629" s="1">
        <v>0</v>
      </c>
      <c r="H629" s="1">
        <v>439</v>
      </c>
      <c r="I629" s="1">
        <v>0</v>
      </c>
      <c r="J629" s="1">
        <f t="shared" si="34"/>
        <v>439</v>
      </c>
      <c r="K629" s="1">
        <v>0</v>
      </c>
      <c r="L629" s="1">
        <v>0</v>
      </c>
      <c r="M629" s="1">
        <v>0</v>
      </c>
      <c r="N629" s="1">
        <f t="shared" si="33"/>
        <v>0</v>
      </c>
      <c r="O629" s="14">
        <f t="shared" si="35"/>
        <v>0</v>
      </c>
      <c r="P629" s="17">
        <f t="shared" si="36"/>
        <v>439</v>
      </c>
      <c r="Q629" s="1">
        <v>0</v>
      </c>
      <c r="R629" s="1">
        <v>0</v>
      </c>
      <c r="S629" s="20">
        <v>41791</v>
      </c>
      <c r="T629" s="1">
        <v>439</v>
      </c>
      <c r="U629" s="9">
        <v>439</v>
      </c>
      <c r="V629" s="9" t="s">
        <v>39</v>
      </c>
    </row>
    <row r="630" spans="1:22" x14ac:dyDescent="0.25">
      <c r="A630" s="10" t="s">
        <v>19</v>
      </c>
      <c r="B630" t="b">
        <v>0</v>
      </c>
      <c r="C630" t="b">
        <v>0</v>
      </c>
      <c r="D630" s="1">
        <v>0</v>
      </c>
      <c r="E630" s="1">
        <v>0</v>
      </c>
      <c r="F630" s="1">
        <v>0</v>
      </c>
      <c r="G630" s="1">
        <v>0</v>
      </c>
      <c r="H630" s="1">
        <v>530</v>
      </c>
      <c r="I630" s="1">
        <v>0</v>
      </c>
      <c r="J630" s="1">
        <f t="shared" si="34"/>
        <v>530</v>
      </c>
      <c r="K630" s="1">
        <v>0</v>
      </c>
      <c r="L630" s="1">
        <v>0</v>
      </c>
      <c r="M630" s="1">
        <v>0</v>
      </c>
      <c r="N630" s="1">
        <f t="shared" ref="N630:N693" si="37">K630+L630+M630</f>
        <v>0</v>
      </c>
      <c r="O630" s="14">
        <f t="shared" si="35"/>
        <v>0</v>
      </c>
      <c r="P630" s="17">
        <f t="shared" si="36"/>
        <v>530</v>
      </c>
      <c r="Q630" s="1">
        <v>0</v>
      </c>
      <c r="R630" s="1">
        <v>0</v>
      </c>
      <c r="S630" s="20">
        <v>41821</v>
      </c>
      <c r="T630" s="1">
        <v>530</v>
      </c>
      <c r="U630" s="9">
        <v>530</v>
      </c>
      <c r="V630" s="9" t="s">
        <v>39</v>
      </c>
    </row>
    <row r="631" spans="1:22" x14ac:dyDescent="0.25">
      <c r="A631" s="10" t="s">
        <v>19</v>
      </c>
      <c r="B631" t="b">
        <v>0</v>
      </c>
      <c r="C631" t="b">
        <v>0</v>
      </c>
      <c r="D631" s="1">
        <v>0</v>
      </c>
      <c r="E631" s="1">
        <v>0</v>
      </c>
      <c r="F631" s="1">
        <v>0</v>
      </c>
      <c r="G631" s="1">
        <v>0</v>
      </c>
      <c r="H631" s="1">
        <v>582</v>
      </c>
      <c r="I631" s="1">
        <v>0</v>
      </c>
      <c r="J631" s="1">
        <f t="shared" si="34"/>
        <v>582</v>
      </c>
      <c r="K631" s="1">
        <v>0</v>
      </c>
      <c r="L631" s="1">
        <v>0</v>
      </c>
      <c r="M631" s="1">
        <v>0</v>
      </c>
      <c r="N631" s="1">
        <f t="shared" si="37"/>
        <v>0</v>
      </c>
      <c r="O631" s="14">
        <f t="shared" si="35"/>
        <v>0</v>
      </c>
      <c r="P631" s="17">
        <f t="shared" si="36"/>
        <v>582</v>
      </c>
      <c r="Q631" s="1">
        <v>0</v>
      </c>
      <c r="R631" s="1">
        <v>0</v>
      </c>
      <c r="S631" s="20">
        <v>41852</v>
      </c>
      <c r="T631" s="1">
        <v>582</v>
      </c>
      <c r="U631" s="9">
        <v>582</v>
      </c>
      <c r="V631" s="9" t="s">
        <v>39</v>
      </c>
    </row>
    <row r="632" spans="1:22" x14ac:dyDescent="0.25">
      <c r="A632" s="10" t="s">
        <v>19</v>
      </c>
      <c r="B632" t="b">
        <v>0</v>
      </c>
      <c r="C632" t="b">
        <v>0</v>
      </c>
      <c r="D632" s="1">
        <v>0</v>
      </c>
      <c r="E632" s="1">
        <v>0</v>
      </c>
      <c r="F632" s="1">
        <v>0</v>
      </c>
      <c r="G632" s="1">
        <v>450</v>
      </c>
      <c r="H632" s="1">
        <v>0</v>
      </c>
      <c r="I632" s="1">
        <v>0</v>
      </c>
      <c r="J632" s="1">
        <f t="shared" si="34"/>
        <v>450</v>
      </c>
      <c r="K632" s="1">
        <v>0</v>
      </c>
      <c r="L632" s="1">
        <v>0</v>
      </c>
      <c r="M632" s="1">
        <v>0</v>
      </c>
      <c r="N632" s="1">
        <f t="shared" si="37"/>
        <v>0</v>
      </c>
      <c r="O632" s="14">
        <f t="shared" si="35"/>
        <v>0</v>
      </c>
      <c r="P632" s="17">
        <f t="shared" si="36"/>
        <v>450</v>
      </c>
      <c r="Q632" s="1">
        <v>0</v>
      </c>
      <c r="R632" s="1">
        <v>0</v>
      </c>
      <c r="S632" s="20">
        <v>41883</v>
      </c>
      <c r="T632" s="1">
        <v>450</v>
      </c>
      <c r="U632" s="9">
        <v>450</v>
      </c>
      <c r="V632" s="9" t="s">
        <v>39</v>
      </c>
    </row>
    <row r="633" spans="1:22" x14ac:dyDescent="0.25">
      <c r="A633" s="10" t="s">
        <v>19</v>
      </c>
      <c r="B633" t="b">
        <v>0</v>
      </c>
      <c r="C633" t="b">
        <v>0</v>
      </c>
      <c r="D633" s="1">
        <v>0</v>
      </c>
      <c r="E633" s="1">
        <v>0</v>
      </c>
      <c r="F633" s="1">
        <v>0</v>
      </c>
      <c r="G633" s="1">
        <v>470</v>
      </c>
      <c r="H633" s="1">
        <v>0</v>
      </c>
      <c r="I633" s="1">
        <v>0</v>
      </c>
      <c r="J633" s="1">
        <f t="shared" si="34"/>
        <v>470</v>
      </c>
      <c r="K633" s="1">
        <v>0</v>
      </c>
      <c r="L633" s="1">
        <v>0</v>
      </c>
      <c r="M633" s="1">
        <v>0</v>
      </c>
      <c r="N633" s="1">
        <f t="shared" si="37"/>
        <v>0</v>
      </c>
      <c r="O633" s="14">
        <f t="shared" si="35"/>
        <v>0</v>
      </c>
      <c r="P633" s="17">
        <f t="shared" si="36"/>
        <v>470</v>
      </c>
      <c r="Q633" s="1">
        <v>0</v>
      </c>
      <c r="R633" s="1">
        <v>0</v>
      </c>
      <c r="S633" s="20">
        <v>41913</v>
      </c>
      <c r="T633" s="1">
        <v>470</v>
      </c>
      <c r="U633" s="9">
        <v>470</v>
      </c>
      <c r="V633" s="9" t="s">
        <v>39</v>
      </c>
    </row>
    <row r="634" spans="1:22" x14ac:dyDescent="0.25">
      <c r="A634" s="10" t="s">
        <v>19</v>
      </c>
      <c r="B634" t="b">
        <v>0</v>
      </c>
      <c r="C634" t="b">
        <v>0</v>
      </c>
      <c r="D634" s="1">
        <v>0</v>
      </c>
      <c r="E634" s="1">
        <v>0</v>
      </c>
      <c r="F634" s="1">
        <v>0</v>
      </c>
      <c r="G634" s="1">
        <v>410</v>
      </c>
      <c r="H634" s="1">
        <v>0</v>
      </c>
      <c r="I634" s="1">
        <v>0</v>
      </c>
      <c r="J634" s="1">
        <f t="shared" si="34"/>
        <v>410</v>
      </c>
      <c r="K634" s="1">
        <v>0</v>
      </c>
      <c r="L634" s="1">
        <v>0</v>
      </c>
      <c r="M634" s="1">
        <v>0</v>
      </c>
      <c r="N634" s="1">
        <f t="shared" si="37"/>
        <v>0</v>
      </c>
      <c r="O634" s="14">
        <f t="shared" si="35"/>
        <v>0</v>
      </c>
      <c r="P634" s="17">
        <f t="shared" si="36"/>
        <v>410</v>
      </c>
      <c r="Q634" s="1">
        <v>0</v>
      </c>
      <c r="R634" s="1">
        <v>0</v>
      </c>
      <c r="S634" s="20">
        <v>41944</v>
      </c>
      <c r="T634" s="1">
        <v>410</v>
      </c>
      <c r="U634" s="9">
        <v>410</v>
      </c>
      <c r="V634" s="9" t="s">
        <v>39</v>
      </c>
    </row>
    <row r="635" spans="1:22" x14ac:dyDescent="0.25">
      <c r="A635" s="10" t="s">
        <v>19</v>
      </c>
      <c r="B635" t="b">
        <v>0</v>
      </c>
      <c r="C635" t="b">
        <v>0</v>
      </c>
      <c r="D635" s="1">
        <v>0</v>
      </c>
      <c r="E635" s="1">
        <v>0</v>
      </c>
      <c r="F635" s="1">
        <v>0</v>
      </c>
      <c r="G635" s="1">
        <v>0</v>
      </c>
      <c r="H635" s="1">
        <v>250</v>
      </c>
      <c r="I635" s="1">
        <v>0</v>
      </c>
      <c r="J635" s="1">
        <f t="shared" si="34"/>
        <v>250</v>
      </c>
      <c r="K635" s="1">
        <v>0</v>
      </c>
      <c r="L635" s="1">
        <v>0</v>
      </c>
      <c r="M635" s="1">
        <v>0</v>
      </c>
      <c r="N635" s="1">
        <f t="shared" si="37"/>
        <v>0</v>
      </c>
      <c r="O635" s="14">
        <f t="shared" si="35"/>
        <v>0</v>
      </c>
      <c r="P635" s="17">
        <f t="shared" si="36"/>
        <v>250</v>
      </c>
      <c r="Q635" s="1">
        <v>0</v>
      </c>
      <c r="R635" s="1">
        <v>0</v>
      </c>
      <c r="S635" s="20">
        <v>41974</v>
      </c>
      <c r="T635" s="1">
        <v>250</v>
      </c>
      <c r="U635" s="9">
        <v>250</v>
      </c>
      <c r="V635" s="9" t="s">
        <v>39</v>
      </c>
    </row>
    <row r="636" spans="1:22" x14ac:dyDescent="0.25">
      <c r="A636" s="10" t="s">
        <v>19</v>
      </c>
      <c r="B636" t="b">
        <v>0</v>
      </c>
      <c r="C636" t="b">
        <v>0</v>
      </c>
      <c r="D636" s="1">
        <v>0</v>
      </c>
      <c r="E636" s="1">
        <v>0</v>
      </c>
      <c r="F636" s="1">
        <v>0</v>
      </c>
      <c r="G636" s="1">
        <v>370</v>
      </c>
      <c r="H636" s="1">
        <v>0</v>
      </c>
      <c r="I636" s="1">
        <v>0</v>
      </c>
      <c r="J636" s="1">
        <f t="shared" si="34"/>
        <v>370</v>
      </c>
      <c r="K636" s="1">
        <v>0</v>
      </c>
      <c r="L636" s="1">
        <v>0</v>
      </c>
      <c r="M636" s="1">
        <v>0</v>
      </c>
      <c r="N636" s="1">
        <f t="shared" si="37"/>
        <v>0</v>
      </c>
      <c r="O636" s="14">
        <f t="shared" si="35"/>
        <v>0</v>
      </c>
      <c r="P636" s="17">
        <f t="shared" si="36"/>
        <v>370</v>
      </c>
      <c r="Q636" s="1">
        <v>0</v>
      </c>
      <c r="R636" s="1">
        <v>0</v>
      </c>
      <c r="S636" s="20">
        <v>42005</v>
      </c>
      <c r="T636" s="1">
        <v>370</v>
      </c>
      <c r="U636" s="9">
        <v>370</v>
      </c>
      <c r="V636" s="9" t="s">
        <v>39</v>
      </c>
    </row>
    <row r="637" spans="1:22" x14ac:dyDescent="0.25">
      <c r="A637" s="10" t="s">
        <v>19</v>
      </c>
      <c r="B637" t="b">
        <v>0</v>
      </c>
      <c r="C637" t="b">
        <v>0</v>
      </c>
      <c r="D637" s="1">
        <v>0</v>
      </c>
      <c r="E637" s="1">
        <v>0</v>
      </c>
      <c r="F637" s="1">
        <v>0</v>
      </c>
      <c r="G637" s="1">
        <v>0</v>
      </c>
      <c r="H637" s="1">
        <v>500</v>
      </c>
      <c r="I637" s="1">
        <v>0</v>
      </c>
      <c r="J637" s="1">
        <f t="shared" si="34"/>
        <v>500</v>
      </c>
      <c r="K637" s="1">
        <v>0</v>
      </c>
      <c r="L637" s="1">
        <v>0</v>
      </c>
      <c r="M637" s="1">
        <v>0</v>
      </c>
      <c r="N637" s="1">
        <f t="shared" si="37"/>
        <v>0</v>
      </c>
      <c r="O637" s="14">
        <f t="shared" si="35"/>
        <v>0</v>
      </c>
      <c r="P637" s="17">
        <f t="shared" si="36"/>
        <v>500</v>
      </c>
      <c r="Q637" s="1">
        <v>0</v>
      </c>
      <c r="R637" s="1">
        <v>0</v>
      </c>
      <c r="S637" s="20">
        <v>42036</v>
      </c>
      <c r="T637" s="1">
        <v>500</v>
      </c>
      <c r="U637" s="9">
        <v>500</v>
      </c>
      <c r="V637" s="9" t="s">
        <v>39</v>
      </c>
    </row>
    <row r="638" spans="1:22" x14ac:dyDescent="0.25">
      <c r="A638" s="10" t="s">
        <v>19</v>
      </c>
      <c r="B638" t="b">
        <v>0</v>
      </c>
      <c r="C638" t="b">
        <v>0</v>
      </c>
      <c r="D638" s="1">
        <v>0</v>
      </c>
      <c r="E638" s="1">
        <v>0</v>
      </c>
      <c r="F638" s="1">
        <v>0</v>
      </c>
      <c r="G638" s="1">
        <v>492</v>
      </c>
      <c r="H638" s="1">
        <v>0</v>
      </c>
      <c r="I638" s="1">
        <v>0</v>
      </c>
      <c r="J638" s="1">
        <f t="shared" si="34"/>
        <v>492</v>
      </c>
      <c r="K638" s="1">
        <v>0</v>
      </c>
      <c r="L638" s="1">
        <v>0</v>
      </c>
      <c r="M638" s="1">
        <v>0</v>
      </c>
      <c r="N638" s="1">
        <f t="shared" si="37"/>
        <v>0</v>
      </c>
      <c r="O638" s="14">
        <f t="shared" si="35"/>
        <v>0</v>
      </c>
      <c r="P638" s="17">
        <f t="shared" si="36"/>
        <v>492</v>
      </c>
      <c r="Q638" s="1">
        <v>0</v>
      </c>
      <c r="R638" s="1">
        <v>0</v>
      </c>
      <c r="S638" s="20">
        <v>42064</v>
      </c>
      <c r="T638" s="1">
        <v>492</v>
      </c>
      <c r="U638" s="9">
        <v>492</v>
      </c>
      <c r="V638" s="9" t="s">
        <v>39</v>
      </c>
    </row>
    <row r="639" spans="1:22" x14ac:dyDescent="0.25">
      <c r="A639" s="10" t="s">
        <v>19</v>
      </c>
      <c r="B639" t="b">
        <v>0</v>
      </c>
      <c r="C639" t="b">
        <v>0</v>
      </c>
      <c r="D639" s="1">
        <v>0</v>
      </c>
      <c r="E639" s="1">
        <v>0</v>
      </c>
      <c r="F639" s="1">
        <v>0</v>
      </c>
      <c r="G639" s="1">
        <v>506</v>
      </c>
      <c r="H639" s="1">
        <v>0</v>
      </c>
      <c r="I639" s="1">
        <v>0</v>
      </c>
      <c r="J639" s="1">
        <f t="shared" si="34"/>
        <v>506</v>
      </c>
      <c r="K639" s="1">
        <v>0</v>
      </c>
      <c r="L639" s="1">
        <v>0</v>
      </c>
      <c r="M639" s="1">
        <v>0</v>
      </c>
      <c r="N639" s="1">
        <f t="shared" si="37"/>
        <v>0</v>
      </c>
      <c r="O639" s="14">
        <f t="shared" si="35"/>
        <v>0</v>
      </c>
      <c r="P639" s="17">
        <f t="shared" si="36"/>
        <v>506</v>
      </c>
      <c r="Q639" s="1">
        <v>0</v>
      </c>
      <c r="R639" s="1">
        <v>0</v>
      </c>
      <c r="S639" s="20">
        <v>42095</v>
      </c>
      <c r="T639" s="1">
        <v>506</v>
      </c>
      <c r="U639" s="9">
        <v>506</v>
      </c>
      <c r="V639" s="9" t="s">
        <v>39</v>
      </c>
    </row>
    <row r="640" spans="1:22" x14ac:dyDescent="0.25">
      <c r="A640" s="10" t="s">
        <v>19</v>
      </c>
      <c r="B640" t="b">
        <v>0</v>
      </c>
      <c r="C640" t="b">
        <v>0</v>
      </c>
      <c r="D640" s="1">
        <v>0</v>
      </c>
      <c r="E640" s="1">
        <v>0</v>
      </c>
      <c r="F640" s="1">
        <v>0</v>
      </c>
      <c r="G640" s="1">
        <v>0</v>
      </c>
      <c r="H640" s="1">
        <v>1412</v>
      </c>
      <c r="I640" s="1">
        <v>0</v>
      </c>
      <c r="J640" s="1">
        <f t="shared" si="34"/>
        <v>1412</v>
      </c>
      <c r="K640" s="1">
        <v>0</v>
      </c>
      <c r="L640" s="1">
        <v>0</v>
      </c>
      <c r="M640" s="1">
        <v>0</v>
      </c>
      <c r="N640" s="1">
        <f t="shared" si="37"/>
        <v>0</v>
      </c>
      <c r="O640" s="14">
        <f t="shared" si="35"/>
        <v>0</v>
      </c>
      <c r="P640" s="17">
        <f t="shared" si="36"/>
        <v>1412</v>
      </c>
      <c r="Q640" s="1">
        <v>0</v>
      </c>
      <c r="R640" s="1">
        <v>0</v>
      </c>
      <c r="S640" s="20">
        <v>42125</v>
      </c>
      <c r="T640" s="1">
        <v>1412</v>
      </c>
      <c r="U640" s="9">
        <v>1412</v>
      </c>
      <c r="V640" s="9" t="s">
        <v>39</v>
      </c>
    </row>
    <row r="641" spans="1:22" x14ac:dyDescent="0.25">
      <c r="A641" s="10" t="s">
        <v>19</v>
      </c>
      <c r="B641" t="b">
        <v>0</v>
      </c>
      <c r="C641" t="b">
        <v>0</v>
      </c>
      <c r="D641" s="1">
        <v>0</v>
      </c>
      <c r="E641" s="1">
        <v>0</v>
      </c>
      <c r="F641" s="1">
        <v>0</v>
      </c>
      <c r="G641" s="1">
        <v>0</v>
      </c>
      <c r="H641" s="1">
        <v>575</v>
      </c>
      <c r="I641" s="1">
        <v>0</v>
      </c>
      <c r="J641" s="1">
        <f t="shared" si="34"/>
        <v>575</v>
      </c>
      <c r="K641" s="1">
        <v>0</v>
      </c>
      <c r="L641" s="1">
        <v>0</v>
      </c>
      <c r="M641" s="1">
        <v>0</v>
      </c>
      <c r="N641" s="1">
        <f t="shared" si="37"/>
        <v>0</v>
      </c>
      <c r="O641" s="14">
        <f t="shared" si="35"/>
        <v>0</v>
      </c>
      <c r="P641" s="17">
        <f t="shared" si="36"/>
        <v>575</v>
      </c>
      <c r="Q641" s="1">
        <v>0</v>
      </c>
      <c r="R641" s="1">
        <v>0</v>
      </c>
      <c r="S641" s="20">
        <v>42156</v>
      </c>
      <c r="T641" s="1">
        <v>575</v>
      </c>
      <c r="U641" s="9">
        <v>575</v>
      </c>
      <c r="V641" s="9" t="s">
        <v>39</v>
      </c>
    </row>
    <row r="642" spans="1:22" x14ac:dyDescent="0.25">
      <c r="A642" s="10" t="s">
        <v>19</v>
      </c>
      <c r="B642" t="b">
        <v>0</v>
      </c>
      <c r="C642" t="b">
        <v>0</v>
      </c>
      <c r="D642" s="1">
        <v>0</v>
      </c>
      <c r="E642" s="1">
        <v>0</v>
      </c>
      <c r="F642" s="1">
        <v>0</v>
      </c>
      <c r="G642" s="1">
        <v>0</v>
      </c>
      <c r="H642" s="1">
        <v>753</v>
      </c>
      <c r="I642" s="1">
        <v>0</v>
      </c>
      <c r="J642" s="1">
        <f t="shared" si="34"/>
        <v>753</v>
      </c>
      <c r="K642" s="1">
        <v>0</v>
      </c>
      <c r="L642" s="1">
        <v>0</v>
      </c>
      <c r="M642" s="1">
        <v>0</v>
      </c>
      <c r="N642" s="1">
        <f t="shared" si="37"/>
        <v>0</v>
      </c>
      <c r="O642" s="14">
        <f t="shared" si="35"/>
        <v>0</v>
      </c>
      <c r="P642" s="17">
        <f t="shared" si="36"/>
        <v>753</v>
      </c>
      <c r="Q642" s="1">
        <v>0</v>
      </c>
      <c r="R642" s="1">
        <v>0</v>
      </c>
      <c r="S642" s="20">
        <v>42186</v>
      </c>
      <c r="T642" s="1">
        <v>753</v>
      </c>
      <c r="U642" s="9">
        <v>753</v>
      </c>
      <c r="V642" s="9" t="s">
        <v>39</v>
      </c>
    </row>
    <row r="643" spans="1:22" x14ac:dyDescent="0.25">
      <c r="A643" s="10" t="s">
        <v>19</v>
      </c>
      <c r="B643" t="b">
        <v>0</v>
      </c>
      <c r="C643" t="b">
        <v>0</v>
      </c>
      <c r="D643" s="1">
        <v>0</v>
      </c>
      <c r="E643" s="1">
        <v>0</v>
      </c>
      <c r="F643" s="1">
        <v>0</v>
      </c>
      <c r="G643" s="1">
        <v>0</v>
      </c>
      <c r="H643" s="1">
        <v>784</v>
      </c>
      <c r="I643" s="1">
        <v>0</v>
      </c>
      <c r="J643" s="1">
        <f t="shared" si="34"/>
        <v>784</v>
      </c>
      <c r="K643" s="1">
        <v>0</v>
      </c>
      <c r="L643" s="1">
        <v>0</v>
      </c>
      <c r="M643" s="1">
        <v>0</v>
      </c>
      <c r="N643" s="1">
        <f t="shared" si="37"/>
        <v>0</v>
      </c>
      <c r="O643" s="14">
        <f t="shared" si="35"/>
        <v>0</v>
      </c>
      <c r="P643" s="17">
        <f t="shared" si="36"/>
        <v>784</v>
      </c>
      <c r="Q643" s="1">
        <v>0</v>
      </c>
      <c r="R643" s="1">
        <v>0</v>
      </c>
      <c r="S643" s="20">
        <v>42217</v>
      </c>
      <c r="T643" s="1">
        <v>784</v>
      </c>
      <c r="U643" s="9">
        <v>784</v>
      </c>
      <c r="V643" s="9" t="s">
        <v>39</v>
      </c>
    </row>
    <row r="644" spans="1:22" x14ac:dyDescent="0.25">
      <c r="A644" s="10" t="s">
        <v>19</v>
      </c>
      <c r="B644" t="b">
        <v>0</v>
      </c>
      <c r="C644" t="b">
        <v>0</v>
      </c>
      <c r="D644" s="1">
        <v>0</v>
      </c>
      <c r="E644" s="1">
        <v>0</v>
      </c>
      <c r="F644" s="1">
        <v>0</v>
      </c>
      <c r="G644" s="1">
        <v>496</v>
      </c>
      <c r="H644" s="1">
        <v>0</v>
      </c>
      <c r="I644" s="1">
        <v>0</v>
      </c>
      <c r="J644" s="1">
        <f t="shared" si="34"/>
        <v>496</v>
      </c>
      <c r="K644" s="1">
        <v>0</v>
      </c>
      <c r="L644" s="1">
        <v>0</v>
      </c>
      <c r="M644" s="1">
        <v>0</v>
      </c>
      <c r="N644" s="1">
        <f t="shared" si="37"/>
        <v>0</v>
      </c>
      <c r="O644" s="14">
        <f t="shared" si="35"/>
        <v>0</v>
      </c>
      <c r="P644" s="17">
        <f t="shared" si="36"/>
        <v>496</v>
      </c>
      <c r="Q644" s="1">
        <v>0</v>
      </c>
      <c r="R644" s="1">
        <v>0</v>
      </c>
      <c r="S644" s="20">
        <v>42248</v>
      </c>
      <c r="T644" s="1">
        <v>496</v>
      </c>
      <c r="U644" s="9">
        <v>496</v>
      </c>
      <c r="V644" s="9" t="s">
        <v>39</v>
      </c>
    </row>
    <row r="645" spans="1:22" x14ac:dyDescent="0.25">
      <c r="A645" s="10" t="s">
        <v>19</v>
      </c>
      <c r="B645" t="b">
        <v>0</v>
      </c>
      <c r="C645" t="b">
        <v>0</v>
      </c>
      <c r="D645" s="1">
        <v>0</v>
      </c>
      <c r="E645" s="1">
        <v>0</v>
      </c>
      <c r="F645" s="1">
        <v>0</v>
      </c>
      <c r="G645" s="1">
        <v>0</v>
      </c>
      <c r="H645" s="1">
        <v>448</v>
      </c>
      <c r="I645" s="1">
        <v>0</v>
      </c>
      <c r="J645" s="1">
        <f t="shared" si="34"/>
        <v>448</v>
      </c>
      <c r="K645" s="1">
        <v>0</v>
      </c>
      <c r="L645" s="1">
        <v>0</v>
      </c>
      <c r="M645" s="1">
        <v>0</v>
      </c>
      <c r="N645" s="1">
        <f t="shared" si="37"/>
        <v>0</v>
      </c>
      <c r="O645" s="14">
        <f t="shared" si="35"/>
        <v>0</v>
      </c>
      <c r="P645" s="17">
        <f t="shared" si="36"/>
        <v>448</v>
      </c>
      <c r="Q645" s="1">
        <v>0</v>
      </c>
      <c r="R645" s="1">
        <v>0</v>
      </c>
      <c r="S645" s="20">
        <v>42278</v>
      </c>
      <c r="T645" s="1">
        <v>448</v>
      </c>
      <c r="U645" s="9">
        <v>448</v>
      </c>
      <c r="V645" s="9" t="s">
        <v>39</v>
      </c>
    </row>
    <row r="646" spans="1:22" x14ac:dyDescent="0.25">
      <c r="A646" s="10" t="s">
        <v>19</v>
      </c>
      <c r="B646" t="b">
        <v>0</v>
      </c>
      <c r="C646" t="b">
        <v>0</v>
      </c>
      <c r="D646" s="1">
        <v>0</v>
      </c>
      <c r="E646" s="1">
        <v>0</v>
      </c>
      <c r="F646" s="1">
        <v>0</v>
      </c>
      <c r="G646" s="1">
        <v>0</v>
      </c>
      <c r="H646" s="1">
        <v>425</v>
      </c>
      <c r="I646" s="1">
        <v>0</v>
      </c>
      <c r="J646" s="1">
        <f t="shared" si="34"/>
        <v>425</v>
      </c>
      <c r="K646" s="1">
        <v>0</v>
      </c>
      <c r="L646" s="1">
        <v>0</v>
      </c>
      <c r="M646" s="1">
        <v>0</v>
      </c>
      <c r="N646" s="1">
        <f t="shared" si="37"/>
        <v>0</v>
      </c>
      <c r="O646" s="14">
        <f t="shared" si="35"/>
        <v>0</v>
      </c>
      <c r="P646" s="17">
        <f t="shared" si="36"/>
        <v>425</v>
      </c>
      <c r="Q646" s="1">
        <v>0</v>
      </c>
      <c r="R646" s="1">
        <v>0</v>
      </c>
      <c r="S646" s="20">
        <v>42309</v>
      </c>
      <c r="T646" s="1">
        <v>425</v>
      </c>
      <c r="U646" s="9">
        <v>425</v>
      </c>
      <c r="V646" s="9" t="s">
        <v>39</v>
      </c>
    </row>
    <row r="647" spans="1:22" x14ac:dyDescent="0.25">
      <c r="A647" s="10" t="s">
        <v>19</v>
      </c>
      <c r="B647" t="b">
        <v>0</v>
      </c>
      <c r="C647" t="b">
        <v>0</v>
      </c>
      <c r="D647" s="1">
        <v>0</v>
      </c>
      <c r="E647" s="1">
        <v>0</v>
      </c>
      <c r="F647" s="1">
        <v>0</v>
      </c>
      <c r="G647" s="1">
        <v>0</v>
      </c>
      <c r="H647" s="1">
        <v>234</v>
      </c>
      <c r="I647" s="1">
        <v>0</v>
      </c>
      <c r="J647" s="1">
        <f t="shared" si="34"/>
        <v>234</v>
      </c>
      <c r="K647" s="1">
        <v>0</v>
      </c>
      <c r="L647" s="1">
        <v>0</v>
      </c>
      <c r="M647" s="1">
        <v>0</v>
      </c>
      <c r="N647" s="1">
        <f t="shared" si="37"/>
        <v>0</v>
      </c>
      <c r="O647" s="14">
        <f t="shared" si="35"/>
        <v>0</v>
      </c>
      <c r="P647" s="17">
        <f t="shared" si="36"/>
        <v>234</v>
      </c>
      <c r="Q647" s="1">
        <v>0</v>
      </c>
      <c r="R647" s="1">
        <v>0</v>
      </c>
      <c r="S647" s="20">
        <v>42339</v>
      </c>
      <c r="T647" s="1">
        <v>234</v>
      </c>
      <c r="U647" s="9">
        <v>234</v>
      </c>
      <c r="V647" s="9" t="s">
        <v>39</v>
      </c>
    </row>
    <row r="648" spans="1:22" x14ac:dyDescent="0.25">
      <c r="A648" s="10" t="s">
        <v>19</v>
      </c>
      <c r="B648" t="b">
        <v>0</v>
      </c>
      <c r="C648" t="b">
        <v>0</v>
      </c>
      <c r="D648" s="1">
        <v>0</v>
      </c>
      <c r="E648" s="1">
        <v>0</v>
      </c>
      <c r="F648" s="1">
        <v>0</v>
      </c>
      <c r="G648" s="1">
        <v>0</v>
      </c>
      <c r="H648" s="1">
        <v>337</v>
      </c>
      <c r="I648" s="1">
        <v>0</v>
      </c>
      <c r="J648" s="1">
        <f t="shared" si="34"/>
        <v>337</v>
      </c>
      <c r="K648" s="1">
        <v>0</v>
      </c>
      <c r="L648" s="1">
        <v>0</v>
      </c>
      <c r="M648" s="1">
        <v>0</v>
      </c>
      <c r="N648" s="1">
        <f t="shared" si="37"/>
        <v>0</v>
      </c>
      <c r="O648" s="14">
        <f t="shared" si="35"/>
        <v>0</v>
      </c>
      <c r="P648" s="17">
        <f t="shared" si="36"/>
        <v>337</v>
      </c>
      <c r="Q648" s="1">
        <v>0</v>
      </c>
      <c r="R648" s="1">
        <v>0</v>
      </c>
      <c r="S648" s="20">
        <v>42370</v>
      </c>
      <c r="T648" s="1">
        <v>337</v>
      </c>
      <c r="U648" s="9">
        <v>337</v>
      </c>
      <c r="V648" s="9" t="s">
        <v>46</v>
      </c>
    </row>
    <row r="649" spans="1:22" x14ac:dyDescent="0.25">
      <c r="A649" s="10" t="s">
        <v>19</v>
      </c>
      <c r="B649" t="b">
        <v>0</v>
      </c>
      <c r="C649" t="b">
        <v>0</v>
      </c>
      <c r="D649" s="1">
        <v>0</v>
      </c>
      <c r="E649" s="1">
        <v>0</v>
      </c>
      <c r="F649" s="1">
        <v>0</v>
      </c>
      <c r="G649" s="1">
        <v>0</v>
      </c>
      <c r="H649" s="1">
        <v>945</v>
      </c>
      <c r="I649" s="1">
        <v>0</v>
      </c>
      <c r="J649" s="1">
        <f t="shared" si="34"/>
        <v>945</v>
      </c>
      <c r="K649" s="1">
        <v>0</v>
      </c>
      <c r="L649" s="1">
        <v>0</v>
      </c>
      <c r="M649" s="1">
        <v>0</v>
      </c>
      <c r="N649" s="1">
        <f t="shared" si="37"/>
        <v>0</v>
      </c>
      <c r="O649" s="14">
        <f t="shared" si="35"/>
        <v>0</v>
      </c>
      <c r="P649" s="17">
        <f t="shared" si="36"/>
        <v>945</v>
      </c>
      <c r="Q649" s="1">
        <v>0</v>
      </c>
      <c r="R649" s="1">
        <v>0</v>
      </c>
      <c r="S649" s="20">
        <v>42401</v>
      </c>
      <c r="T649" s="1">
        <v>945</v>
      </c>
      <c r="U649" s="9">
        <v>945</v>
      </c>
      <c r="V649" s="9" t="s">
        <v>46</v>
      </c>
    </row>
    <row r="650" spans="1:22" x14ac:dyDescent="0.25">
      <c r="A650" s="10" t="s">
        <v>19</v>
      </c>
      <c r="B650" t="b">
        <v>0</v>
      </c>
      <c r="C650" t="b">
        <v>0</v>
      </c>
      <c r="D650" s="1">
        <v>0</v>
      </c>
      <c r="E650" s="1">
        <v>0</v>
      </c>
      <c r="F650" s="1">
        <v>0</v>
      </c>
      <c r="G650" s="1">
        <v>0</v>
      </c>
      <c r="H650" s="1">
        <v>542</v>
      </c>
      <c r="I650" s="1">
        <v>0</v>
      </c>
      <c r="J650" s="1">
        <f t="shared" si="34"/>
        <v>542</v>
      </c>
      <c r="K650" s="1">
        <v>0</v>
      </c>
      <c r="L650" s="1">
        <v>0</v>
      </c>
      <c r="M650" s="1">
        <v>0</v>
      </c>
      <c r="N650" s="1">
        <f t="shared" si="37"/>
        <v>0</v>
      </c>
      <c r="O650" s="14">
        <f t="shared" si="35"/>
        <v>0</v>
      </c>
      <c r="P650" s="17">
        <f t="shared" si="36"/>
        <v>542</v>
      </c>
      <c r="Q650" s="1">
        <v>0</v>
      </c>
      <c r="R650" s="1">
        <v>0</v>
      </c>
      <c r="S650" s="20">
        <v>42430</v>
      </c>
      <c r="T650" s="1">
        <v>542</v>
      </c>
      <c r="U650" s="9">
        <v>542</v>
      </c>
      <c r="V650" s="9" t="s">
        <v>46</v>
      </c>
    </row>
    <row r="651" spans="1:22" x14ac:dyDescent="0.25">
      <c r="A651" s="10" t="s">
        <v>19</v>
      </c>
      <c r="B651" t="b">
        <v>0</v>
      </c>
      <c r="C651" t="b">
        <v>0</v>
      </c>
      <c r="D651" s="1">
        <v>0</v>
      </c>
      <c r="E651" s="1">
        <v>0</v>
      </c>
      <c r="F651" s="1">
        <v>0</v>
      </c>
      <c r="G651" s="1">
        <v>526</v>
      </c>
      <c r="H651" s="1">
        <v>0</v>
      </c>
      <c r="I651" s="1">
        <v>0</v>
      </c>
      <c r="J651" s="1">
        <f t="shared" si="34"/>
        <v>526</v>
      </c>
      <c r="K651" s="1">
        <v>0</v>
      </c>
      <c r="L651" s="1">
        <v>0</v>
      </c>
      <c r="M651" s="1">
        <v>0</v>
      </c>
      <c r="N651" s="1">
        <f t="shared" si="37"/>
        <v>0</v>
      </c>
      <c r="O651" s="14">
        <f t="shared" si="35"/>
        <v>0</v>
      </c>
      <c r="P651" s="17">
        <f t="shared" si="36"/>
        <v>526</v>
      </c>
      <c r="Q651" s="1">
        <v>0</v>
      </c>
      <c r="R651" s="1">
        <v>0</v>
      </c>
      <c r="S651" s="20">
        <v>42461</v>
      </c>
      <c r="T651" s="1">
        <v>526</v>
      </c>
      <c r="U651" s="9">
        <v>526</v>
      </c>
      <c r="V651" s="9" t="s">
        <v>46</v>
      </c>
    </row>
    <row r="652" spans="1:22" x14ac:dyDescent="0.25">
      <c r="A652" s="10" t="s">
        <v>19</v>
      </c>
      <c r="B652" t="b">
        <v>0</v>
      </c>
      <c r="C652" t="b">
        <v>0</v>
      </c>
      <c r="D652" s="1">
        <v>0</v>
      </c>
      <c r="E652" s="1">
        <v>0</v>
      </c>
      <c r="F652" s="1">
        <v>0</v>
      </c>
      <c r="G652" s="1">
        <v>0</v>
      </c>
      <c r="H652" s="1">
        <v>907</v>
      </c>
      <c r="I652" s="1">
        <v>0</v>
      </c>
      <c r="J652" s="1">
        <f t="shared" si="34"/>
        <v>907</v>
      </c>
      <c r="K652" s="1">
        <v>0</v>
      </c>
      <c r="L652" s="1">
        <v>0</v>
      </c>
      <c r="M652" s="1">
        <v>0</v>
      </c>
      <c r="N652" s="1">
        <f t="shared" si="37"/>
        <v>0</v>
      </c>
      <c r="O652" s="14">
        <f t="shared" si="35"/>
        <v>0</v>
      </c>
      <c r="P652" s="17">
        <f t="shared" si="36"/>
        <v>907</v>
      </c>
      <c r="Q652" s="1">
        <v>0</v>
      </c>
      <c r="R652" s="1">
        <v>0</v>
      </c>
      <c r="S652" s="20">
        <v>42491</v>
      </c>
      <c r="T652" s="1">
        <v>907</v>
      </c>
      <c r="U652" s="9">
        <v>907</v>
      </c>
      <c r="V652" s="9" t="s">
        <v>46</v>
      </c>
    </row>
    <row r="653" spans="1:22" x14ac:dyDescent="0.25">
      <c r="A653" s="10" t="s">
        <v>19</v>
      </c>
      <c r="B653" t="b">
        <v>0</v>
      </c>
      <c r="C653" t="b">
        <v>0</v>
      </c>
      <c r="D653" s="1">
        <v>0</v>
      </c>
      <c r="E653" s="1">
        <v>0</v>
      </c>
      <c r="F653" s="1">
        <v>0</v>
      </c>
      <c r="G653" s="1">
        <v>0</v>
      </c>
      <c r="H653" s="1">
        <v>487</v>
      </c>
      <c r="I653" s="1">
        <v>0</v>
      </c>
      <c r="J653" s="1">
        <f t="shared" si="34"/>
        <v>487</v>
      </c>
      <c r="K653" s="1">
        <v>0</v>
      </c>
      <c r="L653" s="1">
        <v>0</v>
      </c>
      <c r="M653" s="1">
        <v>0</v>
      </c>
      <c r="N653" s="1">
        <f t="shared" si="37"/>
        <v>0</v>
      </c>
      <c r="O653" s="14">
        <f t="shared" si="35"/>
        <v>0</v>
      </c>
      <c r="P653" s="17">
        <f t="shared" si="36"/>
        <v>487</v>
      </c>
      <c r="Q653" s="1">
        <v>0</v>
      </c>
      <c r="R653" s="1">
        <v>0</v>
      </c>
      <c r="S653" s="20">
        <v>42522</v>
      </c>
      <c r="T653" s="1">
        <v>487</v>
      </c>
      <c r="U653" s="9">
        <v>487</v>
      </c>
      <c r="V653" s="9" t="s">
        <v>46</v>
      </c>
    </row>
    <row r="654" spans="1:22" x14ac:dyDescent="0.25">
      <c r="A654" s="10" t="s">
        <v>19</v>
      </c>
      <c r="B654" t="b">
        <v>0</v>
      </c>
      <c r="C654" t="b">
        <v>0</v>
      </c>
      <c r="D654" s="1">
        <v>0</v>
      </c>
      <c r="E654" s="1">
        <v>0</v>
      </c>
      <c r="F654" s="1">
        <v>0</v>
      </c>
      <c r="G654" s="1">
        <v>0</v>
      </c>
      <c r="H654" s="1">
        <v>326</v>
      </c>
      <c r="I654" s="1">
        <v>0</v>
      </c>
      <c r="J654" s="1">
        <f t="shared" si="34"/>
        <v>326</v>
      </c>
      <c r="K654" s="1">
        <v>0</v>
      </c>
      <c r="L654" s="1">
        <v>0</v>
      </c>
      <c r="M654" s="1">
        <v>0</v>
      </c>
      <c r="N654" s="1">
        <f t="shared" si="37"/>
        <v>0</v>
      </c>
      <c r="O654" s="14">
        <f t="shared" si="35"/>
        <v>0</v>
      </c>
      <c r="P654" s="17">
        <f t="shared" si="36"/>
        <v>326</v>
      </c>
      <c r="Q654" s="1">
        <v>0</v>
      </c>
      <c r="R654" s="1">
        <v>0</v>
      </c>
      <c r="S654" s="20">
        <v>42552</v>
      </c>
      <c r="T654" s="1">
        <v>326</v>
      </c>
      <c r="U654" s="9">
        <v>326</v>
      </c>
      <c r="V654" s="9" t="s">
        <v>46</v>
      </c>
    </row>
    <row r="655" spans="1:22" x14ac:dyDescent="0.25">
      <c r="A655" s="10" t="s">
        <v>19</v>
      </c>
      <c r="B655" t="b">
        <v>0</v>
      </c>
      <c r="C655" t="b">
        <v>0</v>
      </c>
      <c r="D655" s="1">
        <v>0</v>
      </c>
      <c r="E655" s="1">
        <v>0</v>
      </c>
      <c r="F655" s="1">
        <v>0</v>
      </c>
      <c r="G655" s="1">
        <v>0</v>
      </c>
      <c r="H655" s="1">
        <v>569</v>
      </c>
      <c r="I655" s="1">
        <v>0</v>
      </c>
      <c r="J655" s="1">
        <f t="shared" si="34"/>
        <v>569</v>
      </c>
      <c r="K655" s="1">
        <v>0</v>
      </c>
      <c r="L655" s="1">
        <v>0</v>
      </c>
      <c r="M655" s="1">
        <v>0</v>
      </c>
      <c r="N655" s="1">
        <f t="shared" si="37"/>
        <v>0</v>
      </c>
      <c r="O655" s="14">
        <f t="shared" si="35"/>
        <v>0</v>
      </c>
      <c r="P655" s="17">
        <f t="shared" si="36"/>
        <v>569</v>
      </c>
      <c r="Q655" s="1">
        <v>0</v>
      </c>
      <c r="R655" s="1">
        <v>0</v>
      </c>
      <c r="S655" s="20">
        <v>42583</v>
      </c>
      <c r="T655" s="1">
        <v>569</v>
      </c>
      <c r="U655" s="9">
        <v>569</v>
      </c>
      <c r="V655" s="9" t="s">
        <v>46</v>
      </c>
    </row>
    <row r="656" spans="1:22" x14ac:dyDescent="0.25">
      <c r="A656" s="10" t="s">
        <v>19</v>
      </c>
      <c r="B656" t="b">
        <v>0</v>
      </c>
      <c r="C656" t="b">
        <v>0</v>
      </c>
      <c r="D656" s="1">
        <v>0</v>
      </c>
      <c r="E656" s="1">
        <v>0</v>
      </c>
      <c r="F656" s="1">
        <v>0</v>
      </c>
      <c r="G656" s="1">
        <v>599</v>
      </c>
      <c r="H656" s="1">
        <v>0</v>
      </c>
      <c r="I656" s="1">
        <v>0</v>
      </c>
      <c r="J656" s="1">
        <f t="shared" si="34"/>
        <v>599</v>
      </c>
      <c r="K656" s="1">
        <v>0</v>
      </c>
      <c r="L656" s="1">
        <v>0</v>
      </c>
      <c r="M656" s="1">
        <v>0</v>
      </c>
      <c r="N656" s="1">
        <f t="shared" si="37"/>
        <v>0</v>
      </c>
      <c r="O656" s="14">
        <f t="shared" si="35"/>
        <v>0</v>
      </c>
      <c r="P656" s="17">
        <f t="shared" si="36"/>
        <v>599</v>
      </c>
      <c r="Q656" s="1">
        <v>0</v>
      </c>
      <c r="R656" s="1">
        <v>0</v>
      </c>
      <c r="S656" s="20">
        <v>42614</v>
      </c>
      <c r="T656" s="1">
        <v>599</v>
      </c>
      <c r="U656" s="9">
        <v>599</v>
      </c>
      <c r="V656" s="9" t="s">
        <v>46</v>
      </c>
    </row>
    <row r="657" spans="1:22" x14ac:dyDescent="0.25">
      <c r="A657" s="10" t="s">
        <v>19</v>
      </c>
      <c r="B657" t="b">
        <v>0</v>
      </c>
      <c r="C657" t="b">
        <v>0</v>
      </c>
      <c r="D657" s="1">
        <v>0</v>
      </c>
      <c r="E657" s="1">
        <v>0</v>
      </c>
      <c r="F657" s="1">
        <v>0</v>
      </c>
      <c r="G657" s="1">
        <v>0</v>
      </c>
      <c r="H657" s="1">
        <v>673</v>
      </c>
      <c r="I657" s="1">
        <v>0</v>
      </c>
      <c r="J657" s="1">
        <f t="shared" si="34"/>
        <v>673</v>
      </c>
      <c r="K657" s="1">
        <v>0</v>
      </c>
      <c r="L657" s="1">
        <v>0</v>
      </c>
      <c r="M657" s="1">
        <v>0</v>
      </c>
      <c r="N657" s="1">
        <f t="shared" si="37"/>
        <v>0</v>
      </c>
      <c r="O657" s="14">
        <f t="shared" si="35"/>
        <v>0</v>
      </c>
      <c r="P657" s="17">
        <f t="shared" si="36"/>
        <v>673</v>
      </c>
      <c r="Q657" s="1">
        <v>0</v>
      </c>
      <c r="R657" s="1">
        <v>0</v>
      </c>
      <c r="S657" s="20">
        <v>42644</v>
      </c>
      <c r="T657" s="1">
        <v>673</v>
      </c>
      <c r="U657" s="9">
        <v>673</v>
      </c>
      <c r="V657" s="9" t="s">
        <v>46</v>
      </c>
    </row>
    <row r="658" spans="1:22" x14ac:dyDescent="0.25">
      <c r="A658" s="10" t="s">
        <v>19</v>
      </c>
      <c r="B658" t="b">
        <v>0</v>
      </c>
      <c r="C658" t="b">
        <v>0</v>
      </c>
      <c r="D658" s="1">
        <v>0</v>
      </c>
      <c r="E658" s="1">
        <v>0</v>
      </c>
      <c r="F658" s="1">
        <v>0</v>
      </c>
      <c r="G658" s="1">
        <v>0</v>
      </c>
      <c r="H658" s="1">
        <v>555</v>
      </c>
      <c r="I658" s="1">
        <v>0</v>
      </c>
      <c r="J658" s="1">
        <f t="shared" si="34"/>
        <v>555</v>
      </c>
      <c r="K658" s="1">
        <v>0</v>
      </c>
      <c r="L658" s="1">
        <v>0</v>
      </c>
      <c r="M658" s="1">
        <v>0</v>
      </c>
      <c r="N658" s="1">
        <f t="shared" si="37"/>
        <v>0</v>
      </c>
      <c r="O658" s="14">
        <f t="shared" si="35"/>
        <v>0</v>
      </c>
      <c r="P658" s="17">
        <f t="shared" si="36"/>
        <v>555</v>
      </c>
      <c r="Q658" s="1">
        <v>0</v>
      </c>
      <c r="R658" s="1">
        <v>0</v>
      </c>
      <c r="S658" s="20">
        <v>42675</v>
      </c>
      <c r="T658" s="1">
        <v>555</v>
      </c>
      <c r="U658" s="9">
        <v>555</v>
      </c>
      <c r="V658" s="9" t="s">
        <v>46</v>
      </c>
    </row>
    <row r="659" spans="1:22" x14ac:dyDescent="0.25">
      <c r="A659" s="10" t="s">
        <v>19</v>
      </c>
      <c r="B659" t="b">
        <v>0</v>
      </c>
      <c r="C659" t="b">
        <v>0</v>
      </c>
      <c r="D659" s="1">
        <v>0</v>
      </c>
      <c r="E659" s="1">
        <v>0</v>
      </c>
      <c r="F659" s="1">
        <v>0</v>
      </c>
      <c r="G659" s="1">
        <v>0</v>
      </c>
      <c r="H659" s="1">
        <v>223</v>
      </c>
      <c r="I659" s="1">
        <v>0</v>
      </c>
      <c r="J659" s="1">
        <f t="shared" si="34"/>
        <v>223</v>
      </c>
      <c r="K659" s="1">
        <v>0</v>
      </c>
      <c r="L659" s="1">
        <v>0</v>
      </c>
      <c r="M659" s="1">
        <v>0</v>
      </c>
      <c r="N659" s="1">
        <f t="shared" si="37"/>
        <v>0</v>
      </c>
      <c r="O659" s="14">
        <f t="shared" si="35"/>
        <v>0</v>
      </c>
      <c r="P659" s="17">
        <f t="shared" si="36"/>
        <v>223</v>
      </c>
      <c r="Q659" s="1">
        <v>0</v>
      </c>
      <c r="R659" s="1">
        <v>0</v>
      </c>
      <c r="S659" s="20">
        <v>42705</v>
      </c>
      <c r="T659" s="1">
        <v>223</v>
      </c>
      <c r="U659" s="9">
        <v>223</v>
      </c>
      <c r="V659" s="9" t="s">
        <v>46</v>
      </c>
    </row>
    <row r="660" spans="1:22" x14ac:dyDescent="0.25">
      <c r="A660" s="10" t="s">
        <v>19</v>
      </c>
      <c r="B660" t="b">
        <v>0</v>
      </c>
      <c r="C660" t="b">
        <v>0</v>
      </c>
      <c r="D660" s="1">
        <v>0</v>
      </c>
      <c r="E660" s="1">
        <v>0</v>
      </c>
      <c r="F660" s="1">
        <v>0</v>
      </c>
      <c r="G660" s="1">
        <v>0</v>
      </c>
      <c r="H660" s="1">
        <v>494</v>
      </c>
      <c r="I660" s="1">
        <v>0</v>
      </c>
      <c r="J660" s="1">
        <f t="shared" si="34"/>
        <v>494</v>
      </c>
      <c r="K660" s="1">
        <v>0</v>
      </c>
      <c r="L660" s="1">
        <v>0</v>
      </c>
      <c r="M660" s="1">
        <v>0</v>
      </c>
      <c r="N660" s="1">
        <f t="shared" si="37"/>
        <v>0</v>
      </c>
      <c r="O660" s="14">
        <f t="shared" si="35"/>
        <v>0</v>
      </c>
      <c r="P660" s="17">
        <f t="shared" si="36"/>
        <v>494</v>
      </c>
      <c r="Q660" s="1">
        <v>0</v>
      </c>
      <c r="R660" s="1">
        <v>0</v>
      </c>
      <c r="S660" s="20">
        <v>42736</v>
      </c>
      <c r="T660" s="1">
        <v>494</v>
      </c>
      <c r="U660" s="9">
        <v>494</v>
      </c>
      <c r="V660" s="9" t="s">
        <v>21</v>
      </c>
    </row>
    <row r="661" spans="1:22" x14ac:dyDescent="0.25">
      <c r="A661" s="10" t="s">
        <v>19</v>
      </c>
      <c r="B661" t="b">
        <v>0</v>
      </c>
      <c r="C661" t="b">
        <v>0</v>
      </c>
      <c r="D661" s="1">
        <v>0</v>
      </c>
      <c r="E661" s="1">
        <v>0</v>
      </c>
      <c r="F661" s="1">
        <v>0</v>
      </c>
      <c r="G661" s="1">
        <v>408</v>
      </c>
      <c r="H661" s="1">
        <v>0</v>
      </c>
      <c r="I661" s="1">
        <v>0</v>
      </c>
      <c r="J661" s="1">
        <f t="shared" si="34"/>
        <v>408</v>
      </c>
      <c r="K661" s="1">
        <v>0</v>
      </c>
      <c r="L661" s="1">
        <v>0</v>
      </c>
      <c r="M661" s="1">
        <v>0</v>
      </c>
      <c r="N661" s="1">
        <f t="shared" si="37"/>
        <v>0</v>
      </c>
      <c r="O661" s="14">
        <f t="shared" si="35"/>
        <v>0</v>
      </c>
      <c r="P661" s="17">
        <f t="shared" si="36"/>
        <v>408</v>
      </c>
      <c r="Q661" s="1">
        <v>0</v>
      </c>
      <c r="R661" s="1">
        <v>0</v>
      </c>
      <c r="S661" s="20">
        <v>42767</v>
      </c>
      <c r="T661" s="1">
        <v>408</v>
      </c>
      <c r="U661" s="9">
        <v>408</v>
      </c>
      <c r="V661" s="9" t="s">
        <v>21</v>
      </c>
    </row>
    <row r="662" spans="1:22" x14ac:dyDescent="0.25">
      <c r="A662" s="10" t="s">
        <v>19</v>
      </c>
      <c r="B662" t="b">
        <v>0</v>
      </c>
      <c r="C662" t="b">
        <v>0</v>
      </c>
      <c r="D662" s="1">
        <v>0</v>
      </c>
      <c r="E662" s="1">
        <v>0</v>
      </c>
      <c r="F662" s="1">
        <v>0</v>
      </c>
      <c r="G662" s="1">
        <v>0</v>
      </c>
      <c r="H662" s="1">
        <v>504</v>
      </c>
      <c r="I662" s="1">
        <v>0</v>
      </c>
      <c r="J662" s="1">
        <f t="shared" si="34"/>
        <v>504</v>
      </c>
      <c r="K662" s="1">
        <v>0</v>
      </c>
      <c r="L662" s="1">
        <v>0</v>
      </c>
      <c r="M662" s="1">
        <v>0</v>
      </c>
      <c r="N662" s="1">
        <f t="shared" si="37"/>
        <v>0</v>
      </c>
      <c r="O662" s="14">
        <f t="shared" si="35"/>
        <v>0</v>
      </c>
      <c r="P662" s="17">
        <f t="shared" si="36"/>
        <v>504</v>
      </c>
      <c r="Q662" s="1">
        <v>0</v>
      </c>
      <c r="R662" s="1">
        <v>0</v>
      </c>
      <c r="S662" s="20">
        <v>42795</v>
      </c>
      <c r="T662" s="1">
        <v>504</v>
      </c>
      <c r="U662" s="9">
        <v>504</v>
      </c>
      <c r="V662" s="9" t="s">
        <v>21</v>
      </c>
    </row>
    <row r="663" spans="1:22" x14ac:dyDescent="0.25">
      <c r="A663" s="10" t="s">
        <v>19</v>
      </c>
      <c r="B663" t="b">
        <v>0</v>
      </c>
      <c r="C663" t="b">
        <v>0</v>
      </c>
      <c r="D663" s="1">
        <v>0</v>
      </c>
      <c r="E663" s="1">
        <v>0</v>
      </c>
      <c r="F663" s="1">
        <v>0</v>
      </c>
      <c r="G663" s="1">
        <v>0</v>
      </c>
      <c r="H663" s="1">
        <v>645</v>
      </c>
      <c r="I663" s="1">
        <v>0</v>
      </c>
      <c r="J663" s="1">
        <f t="shared" si="34"/>
        <v>645</v>
      </c>
      <c r="K663" s="1">
        <v>0</v>
      </c>
      <c r="L663" s="1">
        <v>0</v>
      </c>
      <c r="M663" s="1">
        <v>0</v>
      </c>
      <c r="N663" s="1">
        <f t="shared" si="37"/>
        <v>0</v>
      </c>
      <c r="O663" s="14">
        <f t="shared" si="35"/>
        <v>0</v>
      </c>
      <c r="P663" s="17">
        <f t="shared" si="36"/>
        <v>645</v>
      </c>
      <c r="Q663" s="1">
        <v>0</v>
      </c>
      <c r="R663" s="1">
        <v>0</v>
      </c>
      <c r="S663" s="20">
        <v>42826</v>
      </c>
      <c r="T663" s="1">
        <v>645</v>
      </c>
      <c r="U663" s="9">
        <v>645</v>
      </c>
      <c r="V663" s="9" t="s">
        <v>21</v>
      </c>
    </row>
    <row r="664" spans="1:22" x14ac:dyDescent="0.25">
      <c r="A664" s="10" t="s">
        <v>19</v>
      </c>
      <c r="B664" t="b">
        <v>0</v>
      </c>
      <c r="C664" t="b">
        <v>0</v>
      </c>
      <c r="D664" s="1">
        <v>0</v>
      </c>
      <c r="E664" s="1">
        <v>0</v>
      </c>
      <c r="F664" s="1">
        <v>0</v>
      </c>
      <c r="G664" s="1">
        <v>0</v>
      </c>
      <c r="H664" s="1">
        <v>1007</v>
      </c>
      <c r="I664" s="1">
        <v>0</v>
      </c>
      <c r="J664" s="1">
        <f t="shared" si="34"/>
        <v>1007</v>
      </c>
      <c r="K664" s="1">
        <v>0</v>
      </c>
      <c r="L664" s="1">
        <v>0</v>
      </c>
      <c r="M664" s="1">
        <v>0</v>
      </c>
      <c r="N664" s="1">
        <f t="shared" si="37"/>
        <v>0</v>
      </c>
      <c r="O664" s="14">
        <f t="shared" si="35"/>
        <v>0</v>
      </c>
      <c r="P664" s="17">
        <f t="shared" si="36"/>
        <v>1007</v>
      </c>
      <c r="Q664" s="1">
        <v>0</v>
      </c>
      <c r="R664" s="1">
        <v>0</v>
      </c>
      <c r="S664" s="20">
        <v>42856</v>
      </c>
      <c r="T664" s="1">
        <v>1007</v>
      </c>
      <c r="U664" s="9">
        <v>1007</v>
      </c>
      <c r="V664" s="9" t="s">
        <v>21</v>
      </c>
    </row>
    <row r="665" spans="1:22" x14ac:dyDescent="0.25">
      <c r="A665" s="10" t="s">
        <v>19</v>
      </c>
      <c r="B665" t="b">
        <v>0</v>
      </c>
      <c r="C665" t="b">
        <v>0</v>
      </c>
      <c r="D665" s="1">
        <v>0</v>
      </c>
      <c r="E665" s="1">
        <v>0</v>
      </c>
      <c r="F665" s="1">
        <v>0</v>
      </c>
      <c r="G665" s="1">
        <v>0</v>
      </c>
      <c r="H665" s="1">
        <v>544</v>
      </c>
      <c r="I665" s="1">
        <v>0</v>
      </c>
      <c r="J665" s="1">
        <f t="shared" si="34"/>
        <v>544</v>
      </c>
      <c r="K665" s="1">
        <v>0</v>
      </c>
      <c r="L665" s="1">
        <v>0</v>
      </c>
      <c r="M665" s="1">
        <v>0</v>
      </c>
      <c r="N665" s="1">
        <f t="shared" si="37"/>
        <v>0</v>
      </c>
      <c r="O665" s="14">
        <f t="shared" si="35"/>
        <v>0</v>
      </c>
      <c r="P665" s="17">
        <f t="shared" si="36"/>
        <v>544</v>
      </c>
      <c r="Q665" s="1">
        <v>0</v>
      </c>
      <c r="R665" s="1">
        <v>0</v>
      </c>
      <c r="S665" s="20">
        <v>42887</v>
      </c>
      <c r="T665" s="1">
        <v>544</v>
      </c>
      <c r="U665" s="9">
        <v>544</v>
      </c>
      <c r="V665" s="9" t="s">
        <v>21</v>
      </c>
    </row>
    <row r="666" spans="1:22" x14ac:dyDescent="0.25">
      <c r="A666" s="10" t="s">
        <v>19</v>
      </c>
      <c r="B666" t="b">
        <v>0</v>
      </c>
      <c r="C666" t="b">
        <v>0</v>
      </c>
      <c r="D666" s="1">
        <v>0</v>
      </c>
      <c r="E666" s="1">
        <v>0</v>
      </c>
      <c r="F666" s="1">
        <v>0</v>
      </c>
      <c r="G666" s="1">
        <v>0</v>
      </c>
      <c r="H666" s="1">
        <v>545</v>
      </c>
      <c r="I666" s="1">
        <v>0</v>
      </c>
      <c r="J666" s="1">
        <f t="shared" si="34"/>
        <v>545</v>
      </c>
      <c r="K666" s="1">
        <v>0</v>
      </c>
      <c r="L666" s="1">
        <v>0</v>
      </c>
      <c r="M666" s="1">
        <v>0</v>
      </c>
      <c r="N666" s="1">
        <f t="shared" si="37"/>
        <v>0</v>
      </c>
      <c r="O666" s="14">
        <f t="shared" si="35"/>
        <v>0</v>
      </c>
      <c r="P666" s="17">
        <f t="shared" si="36"/>
        <v>545</v>
      </c>
      <c r="Q666" s="1">
        <v>0</v>
      </c>
      <c r="R666" s="1">
        <v>0</v>
      </c>
      <c r="S666" s="20">
        <v>42917</v>
      </c>
      <c r="T666" s="1">
        <v>545</v>
      </c>
      <c r="U666" s="9">
        <v>545</v>
      </c>
      <c r="V666" s="9" t="s">
        <v>21</v>
      </c>
    </row>
    <row r="667" spans="1:22" x14ac:dyDescent="0.25">
      <c r="A667" s="10" t="s">
        <v>19</v>
      </c>
      <c r="B667" t="b">
        <v>0</v>
      </c>
      <c r="C667" t="b">
        <v>0</v>
      </c>
      <c r="D667" s="1">
        <v>0</v>
      </c>
      <c r="E667" s="1">
        <v>0</v>
      </c>
      <c r="F667" s="1">
        <v>0</v>
      </c>
      <c r="G667" s="1">
        <v>0</v>
      </c>
      <c r="H667" s="1">
        <v>646</v>
      </c>
      <c r="I667" s="1">
        <v>0</v>
      </c>
      <c r="J667" s="1">
        <f t="shared" ref="J667:J709" si="38">D667+E667+F667+G667+H667+I667</f>
        <v>646</v>
      </c>
      <c r="K667" s="1">
        <v>0</v>
      </c>
      <c r="L667" s="1">
        <v>0</v>
      </c>
      <c r="M667" s="1">
        <v>0</v>
      </c>
      <c r="N667" s="1">
        <f t="shared" si="37"/>
        <v>0</v>
      </c>
      <c r="O667" s="14">
        <f t="shared" ref="O667:O709" si="39">K667</f>
        <v>0</v>
      </c>
      <c r="P667" s="17">
        <f t="shared" ref="P667:P708" si="40">J667</f>
        <v>646</v>
      </c>
      <c r="Q667" s="1">
        <v>0</v>
      </c>
      <c r="R667" s="1">
        <v>0</v>
      </c>
      <c r="S667" s="20">
        <v>42948</v>
      </c>
      <c r="T667" s="1">
        <v>646</v>
      </c>
      <c r="U667" s="9">
        <v>646</v>
      </c>
      <c r="V667" s="9" t="s">
        <v>21</v>
      </c>
    </row>
    <row r="668" spans="1:22" x14ac:dyDescent="0.25">
      <c r="A668" s="10" t="s">
        <v>19</v>
      </c>
      <c r="B668" t="b">
        <v>0</v>
      </c>
      <c r="C668" t="b">
        <v>0</v>
      </c>
      <c r="D668" s="1">
        <v>0</v>
      </c>
      <c r="E668" s="1">
        <v>0</v>
      </c>
      <c r="F668" s="1">
        <v>0</v>
      </c>
      <c r="G668" s="1">
        <v>604</v>
      </c>
      <c r="H668" s="1">
        <v>0</v>
      </c>
      <c r="I668" s="1">
        <v>0</v>
      </c>
      <c r="J668" s="1">
        <f t="shared" si="38"/>
        <v>604</v>
      </c>
      <c r="K668" s="1">
        <v>0</v>
      </c>
      <c r="L668" s="1">
        <v>0</v>
      </c>
      <c r="M668" s="1">
        <v>0</v>
      </c>
      <c r="N668" s="1">
        <f t="shared" si="37"/>
        <v>0</v>
      </c>
      <c r="O668" s="14">
        <f t="shared" si="39"/>
        <v>0</v>
      </c>
      <c r="P668" s="17">
        <f t="shared" si="40"/>
        <v>604</v>
      </c>
      <c r="Q668" s="1">
        <v>0</v>
      </c>
      <c r="R668" s="1">
        <v>0</v>
      </c>
      <c r="S668" s="20">
        <v>42979</v>
      </c>
      <c r="T668" s="1">
        <v>604</v>
      </c>
      <c r="U668" s="9">
        <v>604</v>
      </c>
      <c r="V668" s="9" t="s">
        <v>21</v>
      </c>
    </row>
    <row r="669" spans="1:22" x14ac:dyDescent="0.25">
      <c r="A669" s="10" t="s">
        <v>19</v>
      </c>
      <c r="B669" t="b">
        <v>0</v>
      </c>
      <c r="C669" t="b">
        <v>0</v>
      </c>
      <c r="D669" s="1">
        <v>0</v>
      </c>
      <c r="E669" s="1">
        <v>0</v>
      </c>
      <c r="F669" s="1">
        <v>0</v>
      </c>
      <c r="G669" s="1">
        <v>0</v>
      </c>
      <c r="H669" s="1">
        <v>476</v>
      </c>
      <c r="I669" s="1">
        <v>0</v>
      </c>
      <c r="J669" s="1">
        <f t="shared" si="38"/>
        <v>476</v>
      </c>
      <c r="K669" s="1">
        <v>0</v>
      </c>
      <c r="L669" s="1">
        <v>0</v>
      </c>
      <c r="M669" s="1">
        <v>0</v>
      </c>
      <c r="N669" s="1">
        <f t="shared" si="37"/>
        <v>0</v>
      </c>
      <c r="O669" s="14">
        <f t="shared" si="39"/>
        <v>0</v>
      </c>
      <c r="P669" s="17">
        <f t="shared" si="40"/>
        <v>476</v>
      </c>
      <c r="Q669" s="1">
        <v>0</v>
      </c>
      <c r="R669" s="1">
        <v>0</v>
      </c>
      <c r="S669" s="20">
        <v>43009</v>
      </c>
      <c r="T669" s="1">
        <v>476</v>
      </c>
      <c r="U669" s="9">
        <v>476</v>
      </c>
      <c r="V669" s="9" t="s">
        <v>21</v>
      </c>
    </row>
    <row r="670" spans="1:22" x14ac:dyDescent="0.25">
      <c r="A670" s="10" t="s">
        <v>19</v>
      </c>
      <c r="B670" t="b">
        <v>0</v>
      </c>
      <c r="C670" t="b">
        <v>0</v>
      </c>
      <c r="D670" s="1">
        <v>0</v>
      </c>
      <c r="E670" s="1">
        <v>0</v>
      </c>
      <c r="F670" s="1">
        <v>0</v>
      </c>
      <c r="G670" s="1">
        <v>0</v>
      </c>
      <c r="H670" s="1">
        <v>502</v>
      </c>
      <c r="I670" s="1">
        <v>0</v>
      </c>
      <c r="J670" s="1">
        <f t="shared" si="38"/>
        <v>502</v>
      </c>
      <c r="K670" s="1">
        <v>0</v>
      </c>
      <c r="L670" s="1">
        <v>0</v>
      </c>
      <c r="M670" s="1">
        <v>0</v>
      </c>
      <c r="N670" s="1">
        <f t="shared" si="37"/>
        <v>0</v>
      </c>
      <c r="O670" s="14">
        <f t="shared" si="39"/>
        <v>0</v>
      </c>
      <c r="P670" s="17">
        <f t="shared" si="40"/>
        <v>502</v>
      </c>
      <c r="Q670" s="1">
        <v>0</v>
      </c>
      <c r="R670" s="1">
        <v>0</v>
      </c>
      <c r="S670" s="20">
        <v>43040</v>
      </c>
      <c r="T670" s="1">
        <v>502</v>
      </c>
      <c r="U670" s="9">
        <v>502</v>
      </c>
      <c r="V670" s="9" t="s">
        <v>21</v>
      </c>
    </row>
    <row r="671" spans="1:22" x14ac:dyDescent="0.25">
      <c r="A671" s="10" t="s">
        <v>19</v>
      </c>
      <c r="B671" t="b">
        <v>0</v>
      </c>
      <c r="C671" t="b">
        <v>0</v>
      </c>
      <c r="D671" s="1">
        <v>0</v>
      </c>
      <c r="E671" s="1">
        <v>0</v>
      </c>
      <c r="F671" s="1">
        <v>0</v>
      </c>
      <c r="G671" s="1">
        <v>0</v>
      </c>
      <c r="H671" s="1">
        <v>325</v>
      </c>
      <c r="I671" s="1">
        <v>0</v>
      </c>
      <c r="J671" s="1">
        <f t="shared" si="38"/>
        <v>325</v>
      </c>
      <c r="K671" s="1">
        <v>0</v>
      </c>
      <c r="L671" s="1">
        <v>0</v>
      </c>
      <c r="M671" s="1">
        <v>0</v>
      </c>
      <c r="N671" s="1">
        <f t="shared" si="37"/>
        <v>0</v>
      </c>
      <c r="O671" s="14">
        <f t="shared" si="39"/>
        <v>0</v>
      </c>
      <c r="P671" s="17">
        <f t="shared" si="40"/>
        <v>325</v>
      </c>
      <c r="Q671" s="1">
        <v>0</v>
      </c>
      <c r="R671" s="1">
        <v>0</v>
      </c>
      <c r="S671" s="20">
        <v>43070</v>
      </c>
      <c r="T671" s="1">
        <v>325</v>
      </c>
      <c r="U671" s="9">
        <v>325</v>
      </c>
      <c r="V671" s="9" t="s">
        <v>21</v>
      </c>
    </row>
    <row r="672" spans="1:22" x14ac:dyDescent="0.25">
      <c r="A672" s="10" t="s">
        <v>19</v>
      </c>
      <c r="B672" t="b">
        <v>0</v>
      </c>
      <c r="C672" t="b">
        <v>0</v>
      </c>
      <c r="D672" s="1">
        <v>0</v>
      </c>
      <c r="E672" s="1">
        <v>0</v>
      </c>
      <c r="F672" s="1">
        <v>0</v>
      </c>
      <c r="G672" s="1">
        <v>0</v>
      </c>
      <c r="H672" s="1">
        <v>558</v>
      </c>
      <c r="I672" s="1">
        <v>0</v>
      </c>
      <c r="J672" s="1">
        <f t="shared" si="38"/>
        <v>558</v>
      </c>
      <c r="K672" s="1">
        <v>0</v>
      </c>
      <c r="L672" s="1">
        <v>0</v>
      </c>
      <c r="M672" s="1">
        <v>0</v>
      </c>
      <c r="N672" s="1">
        <f t="shared" si="37"/>
        <v>0</v>
      </c>
      <c r="O672" s="14">
        <f t="shared" si="39"/>
        <v>0</v>
      </c>
      <c r="P672" s="17">
        <f t="shared" si="40"/>
        <v>558</v>
      </c>
      <c r="Q672" s="1">
        <v>0</v>
      </c>
      <c r="R672" s="1">
        <v>0</v>
      </c>
      <c r="S672" s="20">
        <v>43101</v>
      </c>
      <c r="T672" s="1">
        <v>558</v>
      </c>
      <c r="U672" s="9">
        <v>558</v>
      </c>
      <c r="V672" s="9" t="s">
        <v>21</v>
      </c>
    </row>
    <row r="673" spans="1:22" x14ac:dyDescent="0.25">
      <c r="A673" s="10" t="s">
        <v>19</v>
      </c>
      <c r="B673" t="b">
        <v>0</v>
      </c>
      <c r="C673" t="b">
        <v>0</v>
      </c>
      <c r="D673" s="1">
        <v>0</v>
      </c>
      <c r="E673" s="1">
        <v>0</v>
      </c>
      <c r="F673" s="1">
        <v>0</v>
      </c>
      <c r="G673" s="1">
        <v>0</v>
      </c>
      <c r="H673" s="1">
        <v>807</v>
      </c>
      <c r="I673" s="1">
        <v>0</v>
      </c>
      <c r="J673" s="1">
        <f t="shared" si="38"/>
        <v>807</v>
      </c>
      <c r="K673" s="1">
        <v>0</v>
      </c>
      <c r="L673" s="1">
        <v>0</v>
      </c>
      <c r="M673" s="1">
        <v>0</v>
      </c>
      <c r="N673" s="1">
        <f t="shared" si="37"/>
        <v>0</v>
      </c>
      <c r="O673" s="14">
        <f t="shared" si="39"/>
        <v>0</v>
      </c>
      <c r="P673" s="17">
        <f t="shared" si="40"/>
        <v>807</v>
      </c>
      <c r="Q673" s="1">
        <v>0</v>
      </c>
      <c r="R673" s="1">
        <v>0</v>
      </c>
      <c r="S673" s="20">
        <v>43132</v>
      </c>
      <c r="T673" s="1">
        <v>807</v>
      </c>
      <c r="U673" s="9">
        <v>807</v>
      </c>
      <c r="V673" s="9" t="s">
        <v>21</v>
      </c>
    </row>
    <row r="674" spans="1:22" x14ac:dyDescent="0.25">
      <c r="A674" s="10" t="s">
        <v>19</v>
      </c>
      <c r="B674" t="b">
        <v>0</v>
      </c>
      <c r="C674" t="b">
        <v>0</v>
      </c>
      <c r="D674" s="1">
        <v>0</v>
      </c>
      <c r="E674" s="1">
        <v>0</v>
      </c>
      <c r="F674" s="1">
        <v>0</v>
      </c>
      <c r="G674" s="1">
        <v>0</v>
      </c>
      <c r="H674" s="1">
        <v>645</v>
      </c>
      <c r="I674" s="1">
        <v>0</v>
      </c>
      <c r="J674" s="1">
        <f t="shared" si="38"/>
        <v>645</v>
      </c>
      <c r="K674" s="1">
        <v>0</v>
      </c>
      <c r="L674" s="1">
        <v>0</v>
      </c>
      <c r="M674" s="1">
        <v>0</v>
      </c>
      <c r="N674" s="1">
        <f t="shared" si="37"/>
        <v>0</v>
      </c>
      <c r="O674" s="14">
        <f t="shared" si="39"/>
        <v>0</v>
      </c>
      <c r="P674" s="17">
        <f t="shared" si="40"/>
        <v>645</v>
      </c>
      <c r="Q674" s="1">
        <v>0</v>
      </c>
      <c r="R674" s="1">
        <v>0</v>
      </c>
      <c r="S674" s="20">
        <v>43160</v>
      </c>
      <c r="T674" s="1">
        <v>645</v>
      </c>
      <c r="U674" s="9">
        <v>645</v>
      </c>
      <c r="V674" s="9" t="s">
        <v>21</v>
      </c>
    </row>
    <row r="675" spans="1:22" x14ac:dyDescent="0.25">
      <c r="A675" s="10" t="s">
        <v>19</v>
      </c>
      <c r="B675" t="b">
        <v>0</v>
      </c>
      <c r="C675" t="b">
        <v>0</v>
      </c>
      <c r="D675" s="1">
        <v>0</v>
      </c>
      <c r="E675" s="1">
        <v>0</v>
      </c>
      <c r="F675" s="1">
        <v>0</v>
      </c>
      <c r="G675" s="1">
        <v>0</v>
      </c>
      <c r="H675" s="1">
        <v>757</v>
      </c>
      <c r="I675" s="1">
        <v>0</v>
      </c>
      <c r="J675" s="1">
        <f t="shared" si="38"/>
        <v>757</v>
      </c>
      <c r="K675" s="1">
        <v>0</v>
      </c>
      <c r="L675" s="1">
        <v>0</v>
      </c>
      <c r="M675" s="1">
        <v>0</v>
      </c>
      <c r="N675" s="1">
        <f t="shared" si="37"/>
        <v>0</v>
      </c>
      <c r="O675" s="14">
        <f t="shared" si="39"/>
        <v>0</v>
      </c>
      <c r="P675" s="17">
        <f t="shared" si="40"/>
        <v>757</v>
      </c>
      <c r="Q675" s="1">
        <v>0</v>
      </c>
      <c r="R675" s="1">
        <v>0</v>
      </c>
      <c r="S675" s="20">
        <v>43191</v>
      </c>
      <c r="T675" s="1">
        <v>757</v>
      </c>
      <c r="U675" s="9">
        <v>757</v>
      </c>
      <c r="V675" s="9" t="s">
        <v>21</v>
      </c>
    </row>
    <row r="676" spans="1:22" x14ac:dyDescent="0.25">
      <c r="A676" s="10" t="s">
        <v>19</v>
      </c>
      <c r="B676" t="b">
        <v>0</v>
      </c>
      <c r="C676" t="b">
        <v>0</v>
      </c>
      <c r="D676" s="1">
        <v>0</v>
      </c>
      <c r="E676" s="1">
        <v>0</v>
      </c>
      <c r="F676" s="1">
        <v>0</v>
      </c>
      <c r="G676" s="1">
        <v>0</v>
      </c>
      <c r="H676" s="1">
        <v>992</v>
      </c>
      <c r="I676" s="1">
        <v>0</v>
      </c>
      <c r="J676" s="1">
        <f t="shared" si="38"/>
        <v>992</v>
      </c>
      <c r="K676" s="1">
        <v>0</v>
      </c>
      <c r="L676" s="1">
        <v>0</v>
      </c>
      <c r="M676" s="1">
        <v>0</v>
      </c>
      <c r="N676" s="1">
        <f t="shared" si="37"/>
        <v>0</v>
      </c>
      <c r="O676" s="14">
        <f t="shared" si="39"/>
        <v>0</v>
      </c>
      <c r="P676" s="17">
        <f t="shared" si="40"/>
        <v>992</v>
      </c>
      <c r="Q676" s="1">
        <v>0</v>
      </c>
      <c r="R676" s="1">
        <v>0</v>
      </c>
      <c r="S676" s="20">
        <v>43221</v>
      </c>
      <c r="T676" s="1">
        <v>992</v>
      </c>
      <c r="U676" s="9">
        <v>992</v>
      </c>
      <c r="V676" s="9" t="s">
        <v>21</v>
      </c>
    </row>
    <row r="677" spans="1:22" x14ac:dyDescent="0.25">
      <c r="A677" s="10" t="s">
        <v>19</v>
      </c>
      <c r="B677" t="b">
        <v>0</v>
      </c>
      <c r="C677" t="b">
        <v>0</v>
      </c>
      <c r="D677" s="1">
        <v>0</v>
      </c>
      <c r="E677" s="1">
        <v>0</v>
      </c>
      <c r="F677" s="1">
        <v>0</v>
      </c>
      <c r="G677" s="1">
        <v>0</v>
      </c>
      <c r="H677" s="1">
        <v>534</v>
      </c>
      <c r="I677" s="1">
        <v>0</v>
      </c>
      <c r="J677" s="1">
        <f t="shared" si="38"/>
        <v>534</v>
      </c>
      <c r="K677" s="1">
        <v>0</v>
      </c>
      <c r="L677" s="1">
        <v>0</v>
      </c>
      <c r="M677" s="1">
        <v>0</v>
      </c>
      <c r="N677" s="1">
        <f t="shared" si="37"/>
        <v>0</v>
      </c>
      <c r="O677" s="14">
        <f t="shared" si="39"/>
        <v>0</v>
      </c>
      <c r="P677" s="17">
        <f t="shared" si="40"/>
        <v>534</v>
      </c>
      <c r="Q677" s="1">
        <v>0</v>
      </c>
      <c r="R677" s="1">
        <v>0</v>
      </c>
      <c r="S677" s="20">
        <v>43252</v>
      </c>
      <c r="T677" s="1">
        <v>534</v>
      </c>
      <c r="U677" s="9">
        <v>534</v>
      </c>
      <c r="V677" s="9" t="s">
        <v>21</v>
      </c>
    </row>
    <row r="678" spans="1:22" x14ac:dyDescent="0.25">
      <c r="A678" s="10" t="s">
        <v>19</v>
      </c>
      <c r="B678" t="b">
        <v>0</v>
      </c>
      <c r="C678" t="b">
        <v>0</v>
      </c>
      <c r="D678" s="1">
        <v>0</v>
      </c>
      <c r="E678" s="1">
        <v>0</v>
      </c>
      <c r="F678" s="1">
        <v>0</v>
      </c>
      <c r="G678" s="1">
        <v>0</v>
      </c>
      <c r="H678" s="1">
        <v>534</v>
      </c>
      <c r="I678" s="1">
        <v>0</v>
      </c>
      <c r="J678" s="1">
        <f t="shared" si="38"/>
        <v>534</v>
      </c>
      <c r="K678" s="1">
        <v>0</v>
      </c>
      <c r="L678" s="1">
        <v>0</v>
      </c>
      <c r="M678" s="1">
        <v>0</v>
      </c>
      <c r="N678" s="1">
        <f t="shared" si="37"/>
        <v>0</v>
      </c>
      <c r="O678" s="14">
        <f t="shared" si="39"/>
        <v>0</v>
      </c>
      <c r="P678" s="17">
        <f t="shared" si="40"/>
        <v>534</v>
      </c>
      <c r="Q678" s="1">
        <v>0</v>
      </c>
      <c r="R678" s="1">
        <v>0</v>
      </c>
      <c r="S678" s="20">
        <v>43282</v>
      </c>
      <c r="T678" s="1">
        <v>534</v>
      </c>
      <c r="U678" s="9">
        <v>534</v>
      </c>
      <c r="V678" s="9" t="s">
        <v>21</v>
      </c>
    </row>
    <row r="679" spans="1:22" x14ac:dyDescent="0.25">
      <c r="A679" s="10" t="s">
        <v>19</v>
      </c>
      <c r="B679" t="b">
        <v>0</v>
      </c>
      <c r="C679" t="b">
        <v>0</v>
      </c>
      <c r="D679" s="1">
        <v>0</v>
      </c>
      <c r="E679" s="1">
        <v>0</v>
      </c>
      <c r="F679" s="1">
        <v>0</v>
      </c>
      <c r="G679" s="1">
        <v>0</v>
      </c>
      <c r="H679" s="1">
        <v>479</v>
      </c>
      <c r="I679" s="1">
        <v>0</v>
      </c>
      <c r="J679" s="1">
        <f t="shared" si="38"/>
        <v>479</v>
      </c>
      <c r="K679" s="1">
        <v>0</v>
      </c>
      <c r="L679" s="1">
        <v>0</v>
      </c>
      <c r="M679" s="1">
        <v>0</v>
      </c>
      <c r="N679" s="1">
        <f t="shared" si="37"/>
        <v>0</v>
      </c>
      <c r="O679" s="14">
        <f t="shared" si="39"/>
        <v>0</v>
      </c>
      <c r="P679" s="17">
        <f t="shared" si="40"/>
        <v>479</v>
      </c>
      <c r="Q679" s="1">
        <v>0</v>
      </c>
      <c r="R679" s="1">
        <v>0</v>
      </c>
      <c r="S679" s="20">
        <v>43313</v>
      </c>
      <c r="T679" s="1">
        <v>479</v>
      </c>
      <c r="U679" s="9">
        <v>479</v>
      </c>
      <c r="V679" s="9" t="s">
        <v>21</v>
      </c>
    </row>
    <row r="680" spans="1:22" x14ac:dyDescent="0.25">
      <c r="A680" s="10" t="s">
        <v>19</v>
      </c>
      <c r="B680" t="b">
        <v>0</v>
      </c>
      <c r="C680" t="b">
        <v>0</v>
      </c>
      <c r="D680" s="1">
        <v>0</v>
      </c>
      <c r="E680" s="1">
        <v>0</v>
      </c>
      <c r="F680" s="1">
        <v>0</v>
      </c>
      <c r="G680" s="1">
        <v>601</v>
      </c>
      <c r="H680" s="1">
        <v>0</v>
      </c>
      <c r="I680" s="1">
        <v>0</v>
      </c>
      <c r="J680" s="1">
        <f t="shared" si="38"/>
        <v>601</v>
      </c>
      <c r="K680" s="1">
        <v>0</v>
      </c>
      <c r="L680" s="1">
        <v>0</v>
      </c>
      <c r="M680" s="1">
        <v>0</v>
      </c>
      <c r="N680" s="1">
        <f t="shared" si="37"/>
        <v>0</v>
      </c>
      <c r="O680" s="14">
        <f t="shared" si="39"/>
        <v>0</v>
      </c>
      <c r="P680" s="17">
        <f t="shared" si="40"/>
        <v>601</v>
      </c>
      <c r="Q680" s="1">
        <v>0</v>
      </c>
      <c r="R680" s="1">
        <v>0</v>
      </c>
      <c r="S680" s="20">
        <v>43344</v>
      </c>
      <c r="T680" s="1">
        <v>601</v>
      </c>
      <c r="U680" s="9">
        <v>601</v>
      </c>
      <c r="V680" s="9" t="s">
        <v>21</v>
      </c>
    </row>
    <row r="681" spans="1:22" x14ac:dyDescent="0.25">
      <c r="A681" s="10" t="s">
        <v>19</v>
      </c>
      <c r="B681" t="b">
        <v>0</v>
      </c>
      <c r="C681" t="b">
        <v>0</v>
      </c>
      <c r="D681" s="1">
        <v>0</v>
      </c>
      <c r="E681" s="1">
        <v>0</v>
      </c>
      <c r="F681" s="1">
        <v>0</v>
      </c>
      <c r="G681" s="1">
        <v>0</v>
      </c>
      <c r="H681" s="1">
        <v>576</v>
      </c>
      <c r="I681" s="1">
        <v>0</v>
      </c>
      <c r="J681" s="1">
        <f t="shared" si="38"/>
        <v>576</v>
      </c>
      <c r="K681" s="1">
        <v>0</v>
      </c>
      <c r="L681" s="1">
        <v>0</v>
      </c>
      <c r="M681" s="1">
        <v>0</v>
      </c>
      <c r="N681" s="1">
        <f t="shared" si="37"/>
        <v>0</v>
      </c>
      <c r="O681" s="14">
        <f t="shared" si="39"/>
        <v>0</v>
      </c>
      <c r="P681" s="17">
        <f t="shared" si="40"/>
        <v>576</v>
      </c>
      <c r="Q681" s="1">
        <v>0</v>
      </c>
      <c r="R681" s="1">
        <v>0</v>
      </c>
      <c r="S681" s="20">
        <v>43374</v>
      </c>
      <c r="T681" s="1">
        <v>576</v>
      </c>
      <c r="U681" s="9">
        <v>576</v>
      </c>
      <c r="V681" s="9" t="s">
        <v>21</v>
      </c>
    </row>
    <row r="682" spans="1:22" x14ac:dyDescent="0.25">
      <c r="A682" s="10" t="s">
        <v>19</v>
      </c>
      <c r="B682" t="b">
        <v>0</v>
      </c>
      <c r="C682" t="b">
        <v>0</v>
      </c>
      <c r="D682" s="1">
        <v>0</v>
      </c>
      <c r="E682" s="1">
        <v>0</v>
      </c>
      <c r="F682" s="1">
        <v>0</v>
      </c>
      <c r="G682" s="1">
        <v>0</v>
      </c>
      <c r="H682" s="1">
        <v>463</v>
      </c>
      <c r="I682" s="1">
        <v>0</v>
      </c>
      <c r="J682" s="1">
        <f t="shared" si="38"/>
        <v>463</v>
      </c>
      <c r="K682" s="1">
        <v>0</v>
      </c>
      <c r="L682" s="1">
        <v>0</v>
      </c>
      <c r="M682" s="1">
        <v>0</v>
      </c>
      <c r="N682" s="1">
        <f t="shared" si="37"/>
        <v>0</v>
      </c>
      <c r="O682" s="14">
        <f t="shared" si="39"/>
        <v>0</v>
      </c>
      <c r="P682" s="17">
        <f t="shared" si="40"/>
        <v>463</v>
      </c>
      <c r="Q682" s="1">
        <v>0</v>
      </c>
      <c r="R682" s="1">
        <v>0</v>
      </c>
      <c r="S682" s="20">
        <v>43405</v>
      </c>
      <c r="T682" s="1">
        <v>463</v>
      </c>
      <c r="U682" s="9">
        <v>463</v>
      </c>
      <c r="V682" s="9" t="s">
        <v>21</v>
      </c>
    </row>
    <row r="683" spans="1:22" x14ac:dyDescent="0.25">
      <c r="A683" s="10" t="s">
        <v>19</v>
      </c>
      <c r="B683" t="b">
        <v>0</v>
      </c>
      <c r="C683" t="b">
        <v>0</v>
      </c>
      <c r="D683" s="1">
        <v>0</v>
      </c>
      <c r="E683" s="1">
        <v>0</v>
      </c>
      <c r="F683" s="1">
        <v>0</v>
      </c>
      <c r="G683" s="1">
        <v>0</v>
      </c>
      <c r="H683" s="1">
        <v>357</v>
      </c>
      <c r="I683" s="1">
        <v>0</v>
      </c>
      <c r="J683" s="1">
        <f t="shared" si="38"/>
        <v>357</v>
      </c>
      <c r="K683" s="1">
        <v>0</v>
      </c>
      <c r="L683" s="1">
        <v>0</v>
      </c>
      <c r="M683" s="1">
        <v>0</v>
      </c>
      <c r="N683" s="1">
        <f t="shared" si="37"/>
        <v>0</v>
      </c>
      <c r="O683" s="14">
        <f t="shared" si="39"/>
        <v>0</v>
      </c>
      <c r="P683" s="17">
        <f t="shared" si="40"/>
        <v>357</v>
      </c>
      <c r="Q683" s="1">
        <v>0</v>
      </c>
      <c r="R683" s="1">
        <v>0</v>
      </c>
      <c r="S683" s="20">
        <v>43435</v>
      </c>
      <c r="T683" s="1">
        <v>357</v>
      </c>
      <c r="U683" s="9">
        <v>357</v>
      </c>
      <c r="V683" s="9" t="s">
        <v>21</v>
      </c>
    </row>
    <row r="684" spans="1:22" x14ac:dyDescent="0.25">
      <c r="A684" s="10" t="s">
        <v>19</v>
      </c>
      <c r="B684" t="b">
        <v>0</v>
      </c>
      <c r="C684" t="b">
        <v>0</v>
      </c>
      <c r="D684" s="1">
        <v>0</v>
      </c>
      <c r="E684" s="1">
        <v>0</v>
      </c>
      <c r="F684" s="1">
        <v>0</v>
      </c>
      <c r="G684" s="1">
        <v>0</v>
      </c>
      <c r="H684" s="1">
        <v>424</v>
      </c>
      <c r="I684" s="1">
        <v>0</v>
      </c>
      <c r="J684" s="1">
        <f t="shared" si="38"/>
        <v>424</v>
      </c>
      <c r="K684" s="1">
        <v>0</v>
      </c>
      <c r="L684" s="1">
        <v>0</v>
      </c>
      <c r="M684" s="1">
        <v>0</v>
      </c>
      <c r="N684" s="1">
        <f t="shared" si="37"/>
        <v>0</v>
      </c>
      <c r="O684" s="14">
        <f t="shared" si="39"/>
        <v>0</v>
      </c>
      <c r="P684" s="17">
        <f t="shared" si="40"/>
        <v>424</v>
      </c>
      <c r="Q684" s="1">
        <v>0</v>
      </c>
      <c r="R684" s="1">
        <v>0</v>
      </c>
      <c r="S684" s="20">
        <v>43466</v>
      </c>
      <c r="T684" s="1">
        <v>424</v>
      </c>
      <c r="U684" s="9">
        <v>424</v>
      </c>
      <c r="V684" s="9" t="s">
        <v>21</v>
      </c>
    </row>
    <row r="685" spans="1:22" x14ac:dyDescent="0.25">
      <c r="A685" s="10" t="s">
        <v>19</v>
      </c>
      <c r="B685" t="b">
        <v>0</v>
      </c>
      <c r="C685" t="b">
        <v>0</v>
      </c>
      <c r="D685" s="1">
        <v>0</v>
      </c>
      <c r="E685" s="1">
        <v>0</v>
      </c>
      <c r="F685" s="1">
        <v>0</v>
      </c>
      <c r="G685" s="1">
        <v>0</v>
      </c>
      <c r="H685" s="1">
        <v>877</v>
      </c>
      <c r="I685" s="1">
        <v>0</v>
      </c>
      <c r="J685" s="1">
        <f t="shared" si="38"/>
        <v>877</v>
      </c>
      <c r="K685" s="1">
        <v>0</v>
      </c>
      <c r="L685" s="1">
        <v>0</v>
      </c>
      <c r="M685" s="1">
        <v>0</v>
      </c>
      <c r="N685" s="1">
        <f t="shared" si="37"/>
        <v>0</v>
      </c>
      <c r="O685" s="14">
        <f t="shared" si="39"/>
        <v>0</v>
      </c>
      <c r="P685" s="17">
        <f t="shared" si="40"/>
        <v>877</v>
      </c>
      <c r="Q685" s="1">
        <v>0</v>
      </c>
      <c r="R685" s="1">
        <v>0</v>
      </c>
      <c r="S685" s="20">
        <v>43497</v>
      </c>
      <c r="T685" s="1">
        <v>877</v>
      </c>
      <c r="U685" s="9">
        <v>877</v>
      </c>
      <c r="V685" s="9" t="s">
        <v>21</v>
      </c>
    </row>
    <row r="686" spans="1:22" x14ac:dyDescent="0.25">
      <c r="A686" s="10" t="s">
        <v>19</v>
      </c>
      <c r="B686" t="b">
        <v>0</v>
      </c>
      <c r="C686" t="b">
        <v>0</v>
      </c>
      <c r="D686" s="1">
        <v>0</v>
      </c>
      <c r="E686" s="1">
        <v>0</v>
      </c>
      <c r="F686" s="1">
        <v>0</v>
      </c>
      <c r="G686" s="1">
        <v>0</v>
      </c>
      <c r="H686" s="1">
        <v>648</v>
      </c>
      <c r="I686" s="1">
        <v>0</v>
      </c>
      <c r="J686" s="1">
        <f t="shared" si="38"/>
        <v>648</v>
      </c>
      <c r="K686" s="1">
        <v>0</v>
      </c>
      <c r="L686" s="1">
        <v>0</v>
      </c>
      <c r="M686" s="1">
        <v>0</v>
      </c>
      <c r="N686" s="1">
        <f t="shared" si="37"/>
        <v>0</v>
      </c>
      <c r="O686" s="14">
        <f t="shared" si="39"/>
        <v>0</v>
      </c>
      <c r="P686" s="17">
        <f t="shared" si="40"/>
        <v>648</v>
      </c>
      <c r="Q686" s="1">
        <v>0</v>
      </c>
      <c r="R686" s="1">
        <v>0</v>
      </c>
      <c r="S686" s="20">
        <v>43525</v>
      </c>
      <c r="T686" s="1">
        <v>648</v>
      </c>
      <c r="U686" s="9">
        <v>648</v>
      </c>
      <c r="V686" s="9" t="s">
        <v>21</v>
      </c>
    </row>
    <row r="687" spans="1:22" x14ac:dyDescent="0.25">
      <c r="A687" s="10" t="s">
        <v>19</v>
      </c>
      <c r="B687" t="b">
        <v>0</v>
      </c>
      <c r="C687" t="b">
        <v>0</v>
      </c>
      <c r="D687" s="1">
        <v>0</v>
      </c>
      <c r="E687" s="1">
        <v>0</v>
      </c>
      <c r="F687" s="1">
        <v>0</v>
      </c>
      <c r="G687" s="1">
        <v>0</v>
      </c>
      <c r="H687" s="1">
        <v>102</v>
      </c>
      <c r="I687" s="1">
        <v>0</v>
      </c>
      <c r="J687" s="1">
        <f t="shared" si="38"/>
        <v>102</v>
      </c>
      <c r="K687" s="1">
        <v>0</v>
      </c>
      <c r="L687" s="1">
        <v>0</v>
      </c>
      <c r="M687" s="1">
        <v>0</v>
      </c>
      <c r="N687" s="1">
        <f t="shared" si="37"/>
        <v>0</v>
      </c>
      <c r="O687" s="14">
        <f t="shared" si="39"/>
        <v>0</v>
      </c>
      <c r="P687" s="17">
        <f t="shared" si="40"/>
        <v>102</v>
      </c>
      <c r="Q687" s="1">
        <v>0</v>
      </c>
      <c r="R687" s="1">
        <v>0</v>
      </c>
      <c r="S687" s="20">
        <v>43556</v>
      </c>
      <c r="T687" s="1">
        <v>102</v>
      </c>
      <c r="U687" s="9">
        <v>102</v>
      </c>
      <c r="V687" s="9" t="s">
        <v>21</v>
      </c>
    </row>
    <row r="688" spans="1:22" x14ac:dyDescent="0.25">
      <c r="A688" s="10" t="s">
        <v>19</v>
      </c>
      <c r="B688" t="b">
        <v>0</v>
      </c>
      <c r="C688" t="b">
        <v>0</v>
      </c>
      <c r="D688" s="1">
        <v>0</v>
      </c>
      <c r="E688" s="1">
        <v>0</v>
      </c>
      <c r="F688" s="1">
        <v>0</v>
      </c>
      <c r="G688" s="1">
        <v>0</v>
      </c>
      <c r="H688" s="1">
        <v>123</v>
      </c>
      <c r="I688" s="1">
        <v>0</v>
      </c>
      <c r="J688" s="1">
        <f t="shared" si="38"/>
        <v>123</v>
      </c>
      <c r="K688" s="1">
        <v>0</v>
      </c>
      <c r="L688" s="1">
        <v>0</v>
      </c>
      <c r="M688" s="1">
        <v>0</v>
      </c>
      <c r="N688" s="1">
        <f t="shared" si="37"/>
        <v>0</v>
      </c>
      <c r="O688" s="14">
        <f t="shared" si="39"/>
        <v>0</v>
      </c>
      <c r="P688" s="17">
        <f t="shared" si="40"/>
        <v>123</v>
      </c>
      <c r="Q688" s="1">
        <v>0</v>
      </c>
      <c r="R688" s="1">
        <v>0</v>
      </c>
      <c r="S688" s="20">
        <v>43586</v>
      </c>
      <c r="T688" s="1">
        <v>123</v>
      </c>
      <c r="U688" s="9">
        <v>123</v>
      </c>
      <c r="V688" s="9" t="s">
        <v>21</v>
      </c>
    </row>
    <row r="689" spans="1:22" x14ac:dyDescent="0.25">
      <c r="A689" s="10" t="s">
        <v>19</v>
      </c>
      <c r="B689" t="b">
        <v>0</v>
      </c>
      <c r="C689" t="b">
        <v>0</v>
      </c>
      <c r="D689" s="1">
        <v>0</v>
      </c>
      <c r="E689" s="1">
        <v>0</v>
      </c>
      <c r="F689" s="1">
        <v>0</v>
      </c>
      <c r="G689" s="1">
        <v>0</v>
      </c>
      <c r="H689" s="1">
        <v>709</v>
      </c>
      <c r="I689" s="1">
        <v>0</v>
      </c>
      <c r="J689" s="1">
        <f t="shared" si="38"/>
        <v>709</v>
      </c>
      <c r="K689" s="1">
        <v>0</v>
      </c>
      <c r="L689" s="1">
        <v>0</v>
      </c>
      <c r="M689" s="1">
        <v>0</v>
      </c>
      <c r="N689" s="1">
        <f t="shared" si="37"/>
        <v>0</v>
      </c>
      <c r="O689" s="14">
        <f t="shared" si="39"/>
        <v>0</v>
      </c>
      <c r="P689" s="17">
        <f t="shared" si="40"/>
        <v>709</v>
      </c>
      <c r="Q689" s="1">
        <v>0</v>
      </c>
      <c r="R689" s="1">
        <v>0</v>
      </c>
      <c r="S689" s="20">
        <v>43617</v>
      </c>
      <c r="T689" s="1">
        <v>709</v>
      </c>
      <c r="U689" s="9">
        <v>709</v>
      </c>
      <c r="V689" s="9" t="s">
        <v>21</v>
      </c>
    </row>
    <row r="690" spans="1:22" x14ac:dyDescent="0.25">
      <c r="A690" s="10" t="s">
        <v>19</v>
      </c>
      <c r="B690" t="b">
        <v>0</v>
      </c>
      <c r="C690" t="b">
        <v>0</v>
      </c>
      <c r="D690" s="1">
        <v>0</v>
      </c>
      <c r="E690" s="1">
        <v>0</v>
      </c>
      <c r="F690" s="1">
        <v>0</v>
      </c>
      <c r="G690" s="1">
        <v>0</v>
      </c>
      <c r="H690" s="1">
        <v>791</v>
      </c>
      <c r="I690" s="1">
        <v>0</v>
      </c>
      <c r="J690" s="1">
        <f t="shared" si="38"/>
        <v>791</v>
      </c>
      <c r="K690" s="1">
        <v>0</v>
      </c>
      <c r="L690" s="1">
        <v>0</v>
      </c>
      <c r="M690" s="1">
        <v>0</v>
      </c>
      <c r="N690" s="1">
        <f t="shared" si="37"/>
        <v>0</v>
      </c>
      <c r="O690" s="14">
        <f t="shared" si="39"/>
        <v>0</v>
      </c>
      <c r="P690" s="17">
        <f t="shared" si="40"/>
        <v>791</v>
      </c>
      <c r="Q690" s="1">
        <v>0</v>
      </c>
      <c r="R690" s="1">
        <v>0</v>
      </c>
      <c r="S690" s="20">
        <v>43647</v>
      </c>
      <c r="T690" s="1">
        <v>791</v>
      </c>
      <c r="U690" s="9">
        <v>791</v>
      </c>
      <c r="V690" s="9" t="s">
        <v>21</v>
      </c>
    </row>
    <row r="691" spans="1:22" x14ac:dyDescent="0.25">
      <c r="A691" s="10" t="s">
        <v>19</v>
      </c>
      <c r="B691" t="b">
        <v>0</v>
      </c>
      <c r="C691" t="b">
        <v>0</v>
      </c>
      <c r="D691" s="1">
        <v>0</v>
      </c>
      <c r="E691" s="1">
        <v>0</v>
      </c>
      <c r="F691" s="1">
        <v>0</v>
      </c>
      <c r="G691" s="1">
        <v>0</v>
      </c>
      <c r="H691" s="1">
        <v>209</v>
      </c>
      <c r="I691" s="1">
        <v>0</v>
      </c>
      <c r="J691" s="1">
        <f t="shared" si="38"/>
        <v>209</v>
      </c>
      <c r="K691" s="1">
        <v>0</v>
      </c>
      <c r="L691" s="1">
        <v>0</v>
      </c>
      <c r="M691" s="1">
        <v>0</v>
      </c>
      <c r="N691" s="1">
        <f t="shared" si="37"/>
        <v>0</v>
      </c>
      <c r="O691" s="14">
        <f t="shared" si="39"/>
        <v>0</v>
      </c>
      <c r="P691" s="17">
        <f t="shared" si="40"/>
        <v>209</v>
      </c>
      <c r="Q691" s="1">
        <v>0</v>
      </c>
      <c r="R691" s="1">
        <v>0</v>
      </c>
      <c r="S691" s="20">
        <v>43678</v>
      </c>
      <c r="T691" s="1">
        <v>209</v>
      </c>
      <c r="U691" s="9">
        <v>209</v>
      </c>
      <c r="V691" s="9" t="s">
        <v>21</v>
      </c>
    </row>
    <row r="692" spans="1:22" x14ac:dyDescent="0.25">
      <c r="A692" s="10" t="s">
        <v>19</v>
      </c>
      <c r="B692" t="b">
        <v>0</v>
      </c>
      <c r="C692" t="b">
        <v>0</v>
      </c>
      <c r="D692" s="1">
        <v>0</v>
      </c>
      <c r="E692" s="1">
        <v>0</v>
      </c>
      <c r="F692" s="1">
        <v>0</v>
      </c>
      <c r="G692" s="1">
        <v>725</v>
      </c>
      <c r="H692" s="1">
        <v>0</v>
      </c>
      <c r="I692" s="1">
        <v>0</v>
      </c>
      <c r="J692" s="1">
        <f t="shared" si="38"/>
        <v>725</v>
      </c>
      <c r="K692" s="1">
        <v>0</v>
      </c>
      <c r="L692" s="1">
        <v>0</v>
      </c>
      <c r="M692" s="1">
        <v>0</v>
      </c>
      <c r="N692" s="1">
        <f t="shared" si="37"/>
        <v>0</v>
      </c>
      <c r="O692" s="14">
        <f t="shared" si="39"/>
        <v>0</v>
      </c>
      <c r="P692" s="17">
        <f t="shared" si="40"/>
        <v>725</v>
      </c>
      <c r="Q692" s="1">
        <v>0</v>
      </c>
      <c r="R692" s="1">
        <v>0</v>
      </c>
      <c r="S692" s="20">
        <v>43709</v>
      </c>
      <c r="T692" s="1">
        <v>725</v>
      </c>
      <c r="U692" s="9">
        <v>725</v>
      </c>
      <c r="V692" s="9" t="s">
        <v>21</v>
      </c>
    </row>
    <row r="693" spans="1:22" x14ac:dyDescent="0.25">
      <c r="A693" s="10" t="s">
        <v>19</v>
      </c>
      <c r="B693" t="b">
        <v>0</v>
      </c>
      <c r="C693" t="b">
        <v>0</v>
      </c>
      <c r="D693" s="1">
        <v>0</v>
      </c>
      <c r="E693" s="1">
        <v>0</v>
      </c>
      <c r="F693" s="1">
        <v>0</v>
      </c>
      <c r="G693" s="1">
        <v>0</v>
      </c>
      <c r="H693" s="1">
        <v>295</v>
      </c>
      <c r="I693" s="1">
        <v>0</v>
      </c>
      <c r="J693" s="1">
        <f t="shared" si="38"/>
        <v>295</v>
      </c>
      <c r="K693" s="1">
        <v>0</v>
      </c>
      <c r="L693" s="1">
        <v>0</v>
      </c>
      <c r="M693" s="1">
        <v>0</v>
      </c>
      <c r="N693" s="1">
        <f t="shared" si="37"/>
        <v>0</v>
      </c>
      <c r="O693" s="14">
        <f t="shared" si="39"/>
        <v>0</v>
      </c>
      <c r="P693" s="17">
        <f t="shared" si="40"/>
        <v>295</v>
      </c>
      <c r="Q693" s="1">
        <v>0</v>
      </c>
      <c r="R693" s="1">
        <v>0</v>
      </c>
      <c r="S693" s="20">
        <v>43739</v>
      </c>
      <c r="T693" s="1">
        <v>295</v>
      </c>
      <c r="U693" s="9">
        <v>295</v>
      </c>
      <c r="V693" s="9" t="s">
        <v>21</v>
      </c>
    </row>
    <row r="694" spans="1:22" x14ac:dyDescent="0.25">
      <c r="A694" s="10" t="s">
        <v>19</v>
      </c>
      <c r="B694" t="b">
        <v>0</v>
      </c>
      <c r="C694" t="b">
        <v>0</v>
      </c>
      <c r="D694" s="1">
        <v>0</v>
      </c>
      <c r="E694" s="1">
        <v>0</v>
      </c>
      <c r="F694" s="1">
        <v>0</v>
      </c>
      <c r="G694" s="1">
        <v>0</v>
      </c>
      <c r="H694" s="1">
        <v>290</v>
      </c>
      <c r="I694" s="1">
        <v>0</v>
      </c>
      <c r="J694" s="1">
        <f t="shared" si="38"/>
        <v>290</v>
      </c>
      <c r="K694" s="1">
        <v>0</v>
      </c>
      <c r="L694" s="1">
        <v>0</v>
      </c>
      <c r="M694" s="1">
        <v>0</v>
      </c>
      <c r="N694" s="1">
        <f t="shared" ref="N694:N736" si="41">K694+L694+M694</f>
        <v>0</v>
      </c>
      <c r="O694" s="14">
        <f t="shared" si="39"/>
        <v>0</v>
      </c>
      <c r="P694" s="17">
        <f t="shared" si="40"/>
        <v>290</v>
      </c>
      <c r="Q694" s="1">
        <v>0</v>
      </c>
      <c r="R694" s="1">
        <v>0</v>
      </c>
      <c r="S694" s="20">
        <v>43770</v>
      </c>
      <c r="T694" s="1">
        <v>290</v>
      </c>
      <c r="U694" s="9">
        <v>290</v>
      </c>
      <c r="V694" s="9" t="s">
        <v>21</v>
      </c>
    </row>
    <row r="695" spans="1:22" x14ac:dyDescent="0.25">
      <c r="A695" s="10" t="s">
        <v>19</v>
      </c>
      <c r="B695" t="b">
        <v>0</v>
      </c>
      <c r="C695" t="b">
        <v>0</v>
      </c>
      <c r="D695" s="1">
        <v>0</v>
      </c>
      <c r="E695" s="1">
        <v>0</v>
      </c>
      <c r="F695" s="1">
        <v>0</v>
      </c>
      <c r="G695" s="1">
        <v>0</v>
      </c>
      <c r="H695" s="1">
        <v>231</v>
      </c>
      <c r="I695" s="1">
        <v>0</v>
      </c>
      <c r="J695" s="1">
        <f t="shared" si="38"/>
        <v>231</v>
      </c>
      <c r="K695" s="1">
        <v>0</v>
      </c>
      <c r="L695" s="1">
        <v>0</v>
      </c>
      <c r="M695" s="1">
        <v>0</v>
      </c>
      <c r="N695" s="1">
        <f t="shared" si="41"/>
        <v>0</v>
      </c>
      <c r="O695" s="14">
        <f t="shared" si="39"/>
        <v>0</v>
      </c>
      <c r="P695" s="17">
        <f t="shared" si="40"/>
        <v>231</v>
      </c>
      <c r="Q695" s="1">
        <v>0</v>
      </c>
      <c r="R695" s="1">
        <v>0</v>
      </c>
      <c r="S695" s="20">
        <v>43800</v>
      </c>
      <c r="T695" s="1">
        <v>231</v>
      </c>
      <c r="U695" s="9">
        <v>231</v>
      </c>
      <c r="V695" s="9" t="s">
        <v>21</v>
      </c>
    </row>
    <row r="696" spans="1:22" x14ac:dyDescent="0.25">
      <c r="A696" s="10" t="s">
        <v>19</v>
      </c>
      <c r="B696" t="b">
        <v>0</v>
      </c>
      <c r="C696" t="b">
        <v>0</v>
      </c>
      <c r="D696" s="1">
        <v>0</v>
      </c>
      <c r="E696" s="1">
        <v>0</v>
      </c>
      <c r="F696" s="1">
        <v>0</v>
      </c>
      <c r="G696" s="1">
        <v>0</v>
      </c>
      <c r="H696" s="1">
        <v>332</v>
      </c>
      <c r="I696" s="1">
        <v>0</v>
      </c>
      <c r="J696" s="1">
        <f t="shared" si="38"/>
        <v>332</v>
      </c>
      <c r="K696" s="1">
        <v>0</v>
      </c>
      <c r="L696" s="1">
        <v>0</v>
      </c>
      <c r="M696" s="1">
        <v>0</v>
      </c>
      <c r="N696" s="1">
        <f t="shared" si="41"/>
        <v>0</v>
      </c>
      <c r="O696" s="14">
        <f t="shared" si="39"/>
        <v>0</v>
      </c>
      <c r="P696" s="17">
        <f t="shared" si="40"/>
        <v>332</v>
      </c>
      <c r="Q696" s="1">
        <v>0</v>
      </c>
      <c r="R696" s="1">
        <v>0</v>
      </c>
      <c r="S696" s="20">
        <v>43831</v>
      </c>
      <c r="T696" s="1">
        <v>332</v>
      </c>
      <c r="U696" s="9">
        <v>332</v>
      </c>
      <c r="V696" s="9" t="s">
        <v>21</v>
      </c>
    </row>
    <row r="697" spans="1:22" x14ac:dyDescent="0.25">
      <c r="A697" s="10" t="s">
        <v>19</v>
      </c>
      <c r="B697" t="b">
        <v>0</v>
      </c>
      <c r="C697" t="b">
        <v>0</v>
      </c>
      <c r="D697" s="1">
        <v>0</v>
      </c>
      <c r="E697" s="1">
        <v>0</v>
      </c>
      <c r="F697" s="1">
        <v>0</v>
      </c>
      <c r="G697" s="1">
        <v>0</v>
      </c>
      <c r="H697" s="1">
        <v>257</v>
      </c>
      <c r="I697" s="1">
        <v>0</v>
      </c>
      <c r="J697" s="1">
        <f t="shared" si="38"/>
        <v>257</v>
      </c>
      <c r="K697" s="1">
        <v>0</v>
      </c>
      <c r="L697" s="1">
        <v>0</v>
      </c>
      <c r="M697" s="1">
        <v>0</v>
      </c>
      <c r="N697" s="1">
        <f t="shared" si="41"/>
        <v>0</v>
      </c>
      <c r="O697" s="14">
        <f t="shared" si="39"/>
        <v>0</v>
      </c>
      <c r="P697" s="17">
        <f t="shared" si="40"/>
        <v>257</v>
      </c>
      <c r="Q697" s="1">
        <v>0</v>
      </c>
      <c r="R697" s="1">
        <v>0</v>
      </c>
      <c r="S697" s="20">
        <v>43862</v>
      </c>
      <c r="T697" s="1">
        <v>257</v>
      </c>
      <c r="U697" s="9">
        <v>257</v>
      </c>
      <c r="V697" s="9" t="s">
        <v>21</v>
      </c>
    </row>
    <row r="698" spans="1:22" x14ac:dyDescent="0.25">
      <c r="A698" s="10" t="s">
        <v>19</v>
      </c>
      <c r="B698" t="b">
        <v>0</v>
      </c>
      <c r="C698" t="b">
        <v>0</v>
      </c>
      <c r="D698" s="1">
        <v>0</v>
      </c>
      <c r="E698" s="1">
        <v>0</v>
      </c>
      <c r="F698" s="1">
        <v>0</v>
      </c>
      <c r="G698" s="1">
        <v>0</v>
      </c>
      <c r="H698" s="1">
        <v>277</v>
      </c>
      <c r="I698" s="1">
        <v>0</v>
      </c>
      <c r="J698" s="1">
        <f t="shared" si="38"/>
        <v>277</v>
      </c>
      <c r="K698" s="1">
        <v>0</v>
      </c>
      <c r="L698" s="1">
        <v>0</v>
      </c>
      <c r="M698" s="1">
        <v>0</v>
      </c>
      <c r="N698" s="1">
        <f t="shared" si="41"/>
        <v>0</v>
      </c>
      <c r="O698" s="14">
        <f t="shared" si="39"/>
        <v>0</v>
      </c>
      <c r="P698" s="17">
        <f t="shared" si="40"/>
        <v>277</v>
      </c>
      <c r="Q698" s="1">
        <v>0</v>
      </c>
      <c r="R698" s="1">
        <v>0</v>
      </c>
      <c r="S698" s="20">
        <v>43891</v>
      </c>
      <c r="T698" s="1">
        <v>277</v>
      </c>
      <c r="U698" s="9">
        <v>277</v>
      </c>
      <c r="V698" s="9" t="s">
        <v>21</v>
      </c>
    </row>
    <row r="699" spans="1:22" x14ac:dyDescent="0.25">
      <c r="A699" s="10" t="s">
        <v>19</v>
      </c>
      <c r="B699" t="b">
        <v>0</v>
      </c>
      <c r="C699" t="b">
        <v>0</v>
      </c>
      <c r="D699" s="1">
        <v>0</v>
      </c>
      <c r="E699" s="1">
        <v>0</v>
      </c>
      <c r="F699" s="1">
        <v>0</v>
      </c>
      <c r="G699" s="1">
        <v>0</v>
      </c>
      <c r="H699" s="1">
        <v>216</v>
      </c>
      <c r="I699" s="1">
        <v>0</v>
      </c>
      <c r="J699" s="1">
        <f t="shared" si="38"/>
        <v>216</v>
      </c>
      <c r="K699" s="1">
        <v>0</v>
      </c>
      <c r="L699" s="1">
        <v>0</v>
      </c>
      <c r="M699" s="1">
        <v>0</v>
      </c>
      <c r="N699" s="1">
        <f t="shared" si="41"/>
        <v>0</v>
      </c>
      <c r="O699" s="14">
        <f t="shared" si="39"/>
        <v>0</v>
      </c>
      <c r="P699" s="17">
        <f t="shared" si="40"/>
        <v>216</v>
      </c>
      <c r="Q699" s="1">
        <v>0</v>
      </c>
      <c r="R699" s="1">
        <v>0</v>
      </c>
      <c r="S699" s="20">
        <v>43922</v>
      </c>
      <c r="T699" s="1">
        <v>216</v>
      </c>
      <c r="U699" s="9">
        <v>216</v>
      </c>
      <c r="V699" s="9" t="s">
        <v>21</v>
      </c>
    </row>
    <row r="700" spans="1:22" x14ac:dyDescent="0.25">
      <c r="A700" s="10" t="s">
        <v>19</v>
      </c>
      <c r="B700" t="b">
        <v>0</v>
      </c>
      <c r="C700" t="b">
        <v>0</v>
      </c>
      <c r="D700" s="1">
        <v>0</v>
      </c>
      <c r="E700" s="1">
        <v>0</v>
      </c>
      <c r="F700" s="1">
        <v>0</v>
      </c>
      <c r="G700" s="1">
        <v>0</v>
      </c>
      <c r="H700" s="1">
        <v>273</v>
      </c>
      <c r="I700" s="1">
        <v>0</v>
      </c>
      <c r="J700" s="1">
        <f t="shared" si="38"/>
        <v>273</v>
      </c>
      <c r="K700" s="1">
        <v>0</v>
      </c>
      <c r="L700" s="1">
        <v>0</v>
      </c>
      <c r="M700" s="1">
        <v>0</v>
      </c>
      <c r="N700" s="1">
        <f t="shared" si="41"/>
        <v>0</v>
      </c>
      <c r="O700" s="14">
        <f t="shared" si="39"/>
        <v>0</v>
      </c>
      <c r="P700" s="17">
        <f t="shared" si="40"/>
        <v>273</v>
      </c>
      <c r="Q700" s="1">
        <v>0</v>
      </c>
      <c r="R700" s="1">
        <v>0</v>
      </c>
      <c r="S700" s="20">
        <v>43952</v>
      </c>
      <c r="T700" s="1">
        <v>273</v>
      </c>
      <c r="U700" s="9">
        <v>273</v>
      </c>
      <c r="V700" s="9" t="s">
        <v>21</v>
      </c>
    </row>
    <row r="701" spans="1:22" x14ac:dyDescent="0.25">
      <c r="A701" s="10" t="s">
        <v>19</v>
      </c>
      <c r="B701" t="b">
        <v>0</v>
      </c>
      <c r="C701" t="b">
        <v>0</v>
      </c>
      <c r="D701" s="1">
        <v>0</v>
      </c>
      <c r="E701" s="1">
        <v>0</v>
      </c>
      <c r="F701" s="1">
        <v>0</v>
      </c>
      <c r="G701" s="1">
        <v>0</v>
      </c>
      <c r="H701" s="1">
        <v>255</v>
      </c>
      <c r="I701" s="1">
        <v>0</v>
      </c>
      <c r="J701" s="1">
        <f t="shared" si="38"/>
        <v>255</v>
      </c>
      <c r="K701" s="1">
        <v>0</v>
      </c>
      <c r="L701" s="1">
        <v>0</v>
      </c>
      <c r="M701" s="1">
        <v>0</v>
      </c>
      <c r="N701" s="1">
        <f t="shared" si="41"/>
        <v>0</v>
      </c>
      <c r="O701" s="14">
        <f t="shared" si="39"/>
        <v>0</v>
      </c>
      <c r="P701" s="17">
        <f t="shared" si="40"/>
        <v>255</v>
      </c>
      <c r="Q701" s="1">
        <v>0</v>
      </c>
      <c r="R701" s="1">
        <v>0</v>
      </c>
      <c r="S701" s="20">
        <v>43983</v>
      </c>
      <c r="T701" s="1">
        <v>255</v>
      </c>
      <c r="U701" s="9">
        <v>255</v>
      </c>
      <c r="V701" s="9" t="s">
        <v>21</v>
      </c>
    </row>
    <row r="702" spans="1:22" x14ac:dyDescent="0.25">
      <c r="A702" s="10" t="s">
        <v>19</v>
      </c>
      <c r="B702" t="b">
        <v>0</v>
      </c>
      <c r="C702" t="b">
        <v>0</v>
      </c>
      <c r="D702" s="1">
        <v>0</v>
      </c>
      <c r="E702" s="1">
        <v>0</v>
      </c>
      <c r="F702" s="1">
        <v>0</v>
      </c>
      <c r="G702" s="1">
        <v>0</v>
      </c>
      <c r="H702" s="1">
        <v>301</v>
      </c>
      <c r="I702" s="1">
        <v>0</v>
      </c>
      <c r="J702" s="1">
        <f t="shared" si="38"/>
        <v>301</v>
      </c>
      <c r="K702" s="1">
        <v>0</v>
      </c>
      <c r="L702" s="1">
        <v>0</v>
      </c>
      <c r="M702" s="1">
        <v>0</v>
      </c>
      <c r="N702" s="1">
        <f t="shared" si="41"/>
        <v>0</v>
      </c>
      <c r="O702" s="14">
        <f t="shared" si="39"/>
        <v>0</v>
      </c>
      <c r="P702" s="17">
        <f t="shared" si="40"/>
        <v>301</v>
      </c>
      <c r="Q702" s="1">
        <v>0</v>
      </c>
      <c r="R702" s="1">
        <v>0</v>
      </c>
      <c r="S702" s="20">
        <v>44013</v>
      </c>
      <c r="T702" s="1">
        <v>301</v>
      </c>
      <c r="U702" s="9">
        <v>301</v>
      </c>
      <c r="V702" s="9" t="s">
        <v>21</v>
      </c>
    </row>
    <row r="703" spans="1:22" x14ac:dyDescent="0.25">
      <c r="A703" s="10" t="s">
        <v>19</v>
      </c>
      <c r="B703" t="b">
        <v>0</v>
      </c>
      <c r="C703" t="b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f t="shared" si="38"/>
        <v>0</v>
      </c>
      <c r="K703" s="1">
        <v>0</v>
      </c>
      <c r="L703" s="1">
        <v>0</v>
      </c>
      <c r="M703" s="1">
        <v>0</v>
      </c>
      <c r="N703" s="1">
        <f t="shared" si="41"/>
        <v>0</v>
      </c>
      <c r="O703" s="14">
        <f t="shared" si="39"/>
        <v>0</v>
      </c>
      <c r="P703" s="17">
        <f t="shared" si="40"/>
        <v>0</v>
      </c>
      <c r="Q703" s="1">
        <v>0</v>
      </c>
      <c r="R703" s="1">
        <v>0</v>
      </c>
      <c r="S703" s="20">
        <v>44013</v>
      </c>
      <c r="T703" s="1">
        <v>0</v>
      </c>
      <c r="U703" s="9">
        <v>0</v>
      </c>
      <c r="V703" s="9" t="s">
        <v>21</v>
      </c>
    </row>
    <row r="704" spans="1:22" x14ac:dyDescent="0.25">
      <c r="A704" s="10" t="s">
        <v>19</v>
      </c>
      <c r="B704" t="b">
        <v>0</v>
      </c>
      <c r="C704" t="b">
        <v>0</v>
      </c>
      <c r="D704" s="1">
        <v>0</v>
      </c>
      <c r="E704" s="1">
        <v>0</v>
      </c>
      <c r="F704" s="1">
        <v>0</v>
      </c>
      <c r="G704" s="1">
        <v>0</v>
      </c>
      <c r="H704" s="1">
        <v>313</v>
      </c>
      <c r="I704" s="1">
        <v>0</v>
      </c>
      <c r="J704" s="1">
        <f t="shared" si="38"/>
        <v>313</v>
      </c>
      <c r="K704" s="1">
        <v>0</v>
      </c>
      <c r="L704" s="1">
        <v>0</v>
      </c>
      <c r="M704" s="1">
        <v>0</v>
      </c>
      <c r="N704" s="1">
        <f t="shared" si="41"/>
        <v>0</v>
      </c>
      <c r="O704" s="14">
        <f t="shared" si="39"/>
        <v>0</v>
      </c>
      <c r="P704" s="17">
        <f t="shared" si="40"/>
        <v>313</v>
      </c>
      <c r="Q704" s="1">
        <v>0</v>
      </c>
      <c r="R704" s="1">
        <v>0</v>
      </c>
      <c r="S704" s="20">
        <v>44044</v>
      </c>
      <c r="T704" s="1">
        <v>313</v>
      </c>
      <c r="U704" s="9">
        <v>313</v>
      </c>
      <c r="V704" s="9" t="s">
        <v>21</v>
      </c>
    </row>
    <row r="705" spans="1:22" x14ac:dyDescent="0.25">
      <c r="A705" s="10" t="s">
        <v>19</v>
      </c>
      <c r="B705" t="b">
        <v>0</v>
      </c>
      <c r="C705" t="b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f t="shared" si="38"/>
        <v>0</v>
      </c>
      <c r="K705" s="1">
        <v>0</v>
      </c>
      <c r="L705" s="1">
        <v>0</v>
      </c>
      <c r="M705" s="1">
        <v>0</v>
      </c>
      <c r="N705" s="1">
        <f t="shared" si="41"/>
        <v>0</v>
      </c>
      <c r="O705" s="14">
        <f t="shared" si="39"/>
        <v>0</v>
      </c>
      <c r="P705" s="17">
        <f t="shared" si="40"/>
        <v>0</v>
      </c>
      <c r="Q705" s="1">
        <v>0</v>
      </c>
      <c r="R705" s="1">
        <v>0</v>
      </c>
      <c r="S705" s="20">
        <v>44044</v>
      </c>
      <c r="T705" s="1">
        <v>0</v>
      </c>
      <c r="U705" s="9">
        <v>0</v>
      </c>
      <c r="V705" s="9" t="s">
        <v>21</v>
      </c>
    </row>
    <row r="706" spans="1:22" x14ac:dyDescent="0.25">
      <c r="A706" s="10" t="s">
        <v>19</v>
      </c>
      <c r="B706" t="b">
        <v>0</v>
      </c>
      <c r="C706" t="b">
        <v>0</v>
      </c>
      <c r="D706" s="1">
        <v>0</v>
      </c>
      <c r="E706" s="1">
        <v>0</v>
      </c>
      <c r="F706" s="1">
        <v>0</v>
      </c>
      <c r="G706" s="1">
        <v>0</v>
      </c>
      <c r="H706" s="1">
        <v>294</v>
      </c>
      <c r="I706" s="1">
        <v>0</v>
      </c>
      <c r="J706" s="1">
        <f t="shared" si="38"/>
        <v>294</v>
      </c>
      <c r="K706" s="1">
        <v>0</v>
      </c>
      <c r="L706" s="1">
        <v>0</v>
      </c>
      <c r="M706" s="1">
        <v>0</v>
      </c>
      <c r="N706" s="1">
        <f t="shared" si="41"/>
        <v>0</v>
      </c>
      <c r="O706" s="14">
        <f t="shared" si="39"/>
        <v>0</v>
      </c>
      <c r="P706" s="17">
        <f t="shared" si="40"/>
        <v>294</v>
      </c>
      <c r="Q706" s="1">
        <v>0</v>
      </c>
      <c r="R706" s="1">
        <v>0</v>
      </c>
      <c r="S706" s="20">
        <v>44075</v>
      </c>
      <c r="T706" s="1">
        <v>294</v>
      </c>
      <c r="U706" s="9">
        <v>294</v>
      </c>
      <c r="V706" s="9" t="s">
        <v>21</v>
      </c>
    </row>
    <row r="707" spans="1:22" x14ac:dyDescent="0.25">
      <c r="A707" s="10" t="s">
        <v>19</v>
      </c>
      <c r="B707" t="b">
        <v>0</v>
      </c>
      <c r="C707" t="b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f t="shared" si="38"/>
        <v>0</v>
      </c>
      <c r="K707" s="1">
        <v>0</v>
      </c>
      <c r="L707" s="1">
        <v>0</v>
      </c>
      <c r="M707" s="1">
        <v>0</v>
      </c>
      <c r="N707" s="1">
        <f t="shared" si="41"/>
        <v>0</v>
      </c>
      <c r="O707" s="14">
        <f t="shared" si="39"/>
        <v>0</v>
      </c>
      <c r="P707" s="17">
        <f t="shared" si="40"/>
        <v>0</v>
      </c>
      <c r="Q707" s="1">
        <v>0</v>
      </c>
      <c r="R707" s="1">
        <v>0</v>
      </c>
      <c r="S707" s="20">
        <v>44105</v>
      </c>
      <c r="T707" s="1">
        <v>0</v>
      </c>
      <c r="U707" s="9">
        <v>0</v>
      </c>
      <c r="V707" s="9" t="s">
        <v>21</v>
      </c>
    </row>
    <row r="708" spans="1:22" x14ac:dyDescent="0.25">
      <c r="A708" s="10" t="s">
        <v>19</v>
      </c>
      <c r="B708" t="b">
        <v>0</v>
      </c>
      <c r="C708" t="b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f t="shared" si="38"/>
        <v>0</v>
      </c>
      <c r="K708" s="1">
        <v>0</v>
      </c>
      <c r="L708" s="1">
        <v>0</v>
      </c>
      <c r="M708" s="1">
        <v>0</v>
      </c>
      <c r="N708" s="1">
        <f t="shared" si="41"/>
        <v>0</v>
      </c>
      <c r="O708" s="14">
        <f t="shared" si="39"/>
        <v>0</v>
      </c>
      <c r="P708" s="17">
        <f t="shared" si="40"/>
        <v>0</v>
      </c>
      <c r="Q708" s="1">
        <v>0</v>
      </c>
      <c r="R708" s="1">
        <v>0</v>
      </c>
      <c r="S708" s="20">
        <v>44136</v>
      </c>
      <c r="T708" s="1">
        <v>0</v>
      </c>
      <c r="U708" s="9">
        <v>0</v>
      </c>
      <c r="V708" s="9" t="s">
        <v>21</v>
      </c>
    </row>
    <row r="709" spans="1:22" x14ac:dyDescent="0.25">
      <c r="A709" s="10" t="s">
        <v>19</v>
      </c>
      <c r="B709" t="b">
        <v>0</v>
      </c>
      <c r="C709" t="b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f t="shared" si="38"/>
        <v>0</v>
      </c>
      <c r="K709" s="1">
        <v>0</v>
      </c>
      <c r="L709" s="1">
        <v>0</v>
      </c>
      <c r="M709" s="1">
        <v>0</v>
      </c>
      <c r="N709" s="1">
        <f t="shared" si="41"/>
        <v>0</v>
      </c>
      <c r="O709" s="14">
        <f t="shared" si="39"/>
        <v>0</v>
      </c>
      <c r="P709" s="17">
        <f>J709</f>
        <v>0</v>
      </c>
      <c r="Q709" s="1">
        <v>0</v>
      </c>
      <c r="R709" s="1">
        <v>0</v>
      </c>
      <c r="S709" s="20">
        <v>44166</v>
      </c>
      <c r="T709" s="1">
        <v>0</v>
      </c>
      <c r="U709" s="9">
        <v>0</v>
      </c>
      <c r="V709" s="9" t="s">
        <v>21</v>
      </c>
    </row>
    <row r="710" spans="1:22" x14ac:dyDescent="0.25">
      <c r="A710" s="10" t="s">
        <v>37</v>
      </c>
      <c r="B710" t="b">
        <v>0</v>
      </c>
      <c r="C710" t="b">
        <v>0</v>
      </c>
      <c r="D710" s="1">
        <v>175</v>
      </c>
      <c r="E710" s="1">
        <v>0</v>
      </c>
      <c r="F710" s="1">
        <v>0</v>
      </c>
      <c r="G710" s="1">
        <v>1318</v>
      </c>
      <c r="H710" s="1">
        <v>0</v>
      </c>
      <c r="I710" s="1">
        <v>0</v>
      </c>
      <c r="J710" s="1">
        <f>D710+E710+F710+G710+H710+I710</f>
        <v>1493</v>
      </c>
      <c r="K710" s="1">
        <v>0</v>
      </c>
      <c r="L710" s="1">
        <v>0</v>
      </c>
      <c r="M710" s="1">
        <v>0</v>
      </c>
      <c r="N710" s="1">
        <f t="shared" si="41"/>
        <v>0</v>
      </c>
      <c r="O710" s="14">
        <v>14</v>
      </c>
      <c r="P710" s="17">
        <f t="shared" ref="P710:P773" si="42">J710</f>
        <v>1493</v>
      </c>
      <c r="Q710" s="1">
        <v>0</v>
      </c>
      <c r="R710" s="1">
        <v>0</v>
      </c>
      <c r="S710" s="20">
        <v>37073</v>
      </c>
      <c r="T710" s="1">
        <v>1507</v>
      </c>
      <c r="U710" s="9">
        <v>1493</v>
      </c>
      <c r="V710" s="9" t="s">
        <v>46</v>
      </c>
    </row>
    <row r="711" spans="1:22" x14ac:dyDescent="0.25">
      <c r="A711" s="10" t="s">
        <v>37</v>
      </c>
      <c r="B711" t="b">
        <v>0</v>
      </c>
      <c r="C711" t="b">
        <v>0</v>
      </c>
      <c r="D711" s="1">
        <v>80</v>
      </c>
      <c r="E711" s="1">
        <v>0</v>
      </c>
      <c r="F711" s="1">
        <v>0</v>
      </c>
      <c r="G711" s="1">
        <v>1303</v>
      </c>
      <c r="H711" s="1">
        <v>0</v>
      </c>
      <c r="I711" s="1">
        <v>0</v>
      </c>
      <c r="J711" s="1">
        <f t="shared" ref="J711:J774" si="43">D711+E711+F711+G711+H711+I711</f>
        <v>1383</v>
      </c>
      <c r="K711" s="1">
        <v>0</v>
      </c>
      <c r="L711" s="1">
        <v>0</v>
      </c>
      <c r="M711" s="1">
        <v>0</v>
      </c>
      <c r="N711" s="1">
        <f t="shared" si="41"/>
        <v>0</v>
      </c>
      <c r="O711" s="14">
        <v>17</v>
      </c>
      <c r="P711" s="17">
        <f t="shared" si="42"/>
        <v>1383</v>
      </c>
      <c r="Q711" s="1">
        <v>0</v>
      </c>
      <c r="R711" s="1">
        <v>0</v>
      </c>
      <c r="S711" s="20">
        <v>37104</v>
      </c>
      <c r="T711" s="1">
        <v>1400</v>
      </c>
      <c r="U711" s="9">
        <v>1383</v>
      </c>
      <c r="V711" s="9" t="s">
        <v>46</v>
      </c>
    </row>
    <row r="712" spans="1:22" x14ac:dyDescent="0.25">
      <c r="A712" s="10" t="s">
        <v>37</v>
      </c>
      <c r="B712" t="b">
        <v>0</v>
      </c>
      <c r="C712" t="b">
        <v>0</v>
      </c>
      <c r="D712" s="1">
        <v>38</v>
      </c>
      <c r="E712" s="1">
        <v>0</v>
      </c>
      <c r="F712" s="1">
        <v>0</v>
      </c>
      <c r="G712" s="1">
        <v>1363</v>
      </c>
      <c r="H712" s="1">
        <v>0</v>
      </c>
      <c r="I712" s="1">
        <v>0</v>
      </c>
      <c r="J712" s="1">
        <f t="shared" si="43"/>
        <v>1401</v>
      </c>
      <c r="K712" s="1">
        <v>0</v>
      </c>
      <c r="L712" s="1">
        <v>0</v>
      </c>
      <c r="M712" s="1">
        <v>0</v>
      </c>
      <c r="N712" s="1">
        <f t="shared" si="41"/>
        <v>0</v>
      </c>
      <c r="O712" s="14">
        <v>22</v>
      </c>
      <c r="P712" s="17">
        <f t="shared" si="42"/>
        <v>1401</v>
      </c>
      <c r="Q712" s="1">
        <v>0</v>
      </c>
      <c r="R712" s="1">
        <v>0</v>
      </c>
      <c r="S712" s="20">
        <v>37135</v>
      </c>
      <c r="T712" s="1">
        <v>1423</v>
      </c>
      <c r="U712" s="9">
        <v>1401</v>
      </c>
      <c r="V712" s="9" t="s">
        <v>46</v>
      </c>
    </row>
    <row r="713" spans="1:22" x14ac:dyDescent="0.25">
      <c r="A713" s="10" t="s">
        <v>37</v>
      </c>
      <c r="B713" t="b">
        <v>0</v>
      </c>
      <c r="C713" t="b">
        <v>0</v>
      </c>
      <c r="D713" s="1">
        <v>0</v>
      </c>
      <c r="E713" s="1">
        <v>0</v>
      </c>
      <c r="F713" s="1">
        <v>0</v>
      </c>
      <c r="G713" s="1">
        <v>895</v>
      </c>
      <c r="H713" s="1">
        <v>0</v>
      </c>
      <c r="I713" s="1">
        <v>0</v>
      </c>
      <c r="J713" s="1">
        <f t="shared" si="43"/>
        <v>895</v>
      </c>
      <c r="K713" s="1">
        <v>0</v>
      </c>
      <c r="L713" s="1">
        <v>0</v>
      </c>
      <c r="M713" s="1">
        <v>0</v>
      </c>
      <c r="N713" s="1">
        <f t="shared" si="41"/>
        <v>0</v>
      </c>
      <c r="O713" s="14">
        <v>16</v>
      </c>
      <c r="P713" s="17">
        <f t="shared" si="42"/>
        <v>895</v>
      </c>
      <c r="Q713" s="1">
        <v>0</v>
      </c>
      <c r="R713" s="1">
        <v>0</v>
      </c>
      <c r="S713" s="20">
        <v>37165</v>
      </c>
      <c r="T713" s="1">
        <v>911</v>
      </c>
      <c r="U713" s="9">
        <v>895</v>
      </c>
      <c r="V713" s="9" t="s">
        <v>46</v>
      </c>
    </row>
    <row r="714" spans="1:22" x14ac:dyDescent="0.25">
      <c r="A714" s="10" t="s">
        <v>37</v>
      </c>
      <c r="B714" t="b">
        <v>0</v>
      </c>
      <c r="C714" t="b">
        <v>0</v>
      </c>
      <c r="D714" s="1">
        <v>18</v>
      </c>
      <c r="E714" s="1">
        <v>0</v>
      </c>
      <c r="F714" s="1">
        <v>0</v>
      </c>
      <c r="G714" s="1">
        <v>853</v>
      </c>
      <c r="H714" s="1">
        <v>0</v>
      </c>
      <c r="I714" s="1">
        <v>0</v>
      </c>
      <c r="J714" s="1">
        <f t="shared" si="43"/>
        <v>871</v>
      </c>
      <c r="K714" s="1">
        <v>0</v>
      </c>
      <c r="L714" s="1">
        <v>0</v>
      </c>
      <c r="M714" s="1">
        <v>0</v>
      </c>
      <c r="N714" s="1">
        <f t="shared" si="41"/>
        <v>0</v>
      </c>
      <c r="O714" s="14">
        <v>16</v>
      </c>
      <c r="P714" s="17">
        <f t="shared" si="42"/>
        <v>871</v>
      </c>
      <c r="Q714" s="1">
        <v>0</v>
      </c>
      <c r="R714" s="1">
        <v>0</v>
      </c>
      <c r="S714" s="20">
        <v>37196</v>
      </c>
      <c r="T714" s="1">
        <v>887</v>
      </c>
      <c r="U714" s="9">
        <v>871</v>
      </c>
      <c r="V714" s="9" t="s">
        <v>46</v>
      </c>
    </row>
    <row r="715" spans="1:22" x14ac:dyDescent="0.25">
      <c r="A715" s="10" t="s">
        <v>37</v>
      </c>
      <c r="B715" t="b">
        <v>0</v>
      </c>
      <c r="C715" t="b">
        <v>0</v>
      </c>
      <c r="D715" s="1">
        <v>0</v>
      </c>
      <c r="E715" s="1">
        <v>0</v>
      </c>
      <c r="F715" s="1">
        <v>0</v>
      </c>
      <c r="G715" s="1">
        <v>2290</v>
      </c>
      <c r="H715" s="1">
        <v>0</v>
      </c>
      <c r="I715" s="1">
        <v>0</v>
      </c>
      <c r="J715" s="1">
        <f t="shared" si="43"/>
        <v>2290</v>
      </c>
      <c r="K715" s="1">
        <v>0</v>
      </c>
      <c r="L715" s="1">
        <v>0</v>
      </c>
      <c r="M715" s="1">
        <v>0</v>
      </c>
      <c r="N715" s="1">
        <f t="shared" si="41"/>
        <v>0</v>
      </c>
      <c r="O715" s="14">
        <v>20</v>
      </c>
      <c r="P715" s="17">
        <f t="shared" si="42"/>
        <v>2290</v>
      </c>
      <c r="Q715" s="1">
        <v>0</v>
      </c>
      <c r="R715" s="1">
        <v>0</v>
      </c>
      <c r="S715" s="20">
        <v>37226</v>
      </c>
      <c r="T715" s="1">
        <v>2310</v>
      </c>
      <c r="U715" s="9">
        <v>2290</v>
      </c>
      <c r="V715" s="9" t="s">
        <v>46</v>
      </c>
    </row>
    <row r="716" spans="1:22" x14ac:dyDescent="0.25">
      <c r="A716" s="10" t="s">
        <v>37</v>
      </c>
      <c r="B716" t="b">
        <v>0</v>
      </c>
      <c r="C716" t="b">
        <v>0</v>
      </c>
      <c r="D716" s="1">
        <v>0</v>
      </c>
      <c r="E716" s="1">
        <v>0</v>
      </c>
      <c r="F716" s="1">
        <v>0</v>
      </c>
      <c r="G716" s="1">
        <v>2235</v>
      </c>
      <c r="H716" s="1">
        <v>0</v>
      </c>
      <c r="I716" s="1">
        <v>0</v>
      </c>
      <c r="J716" s="1">
        <f t="shared" si="43"/>
        <v>2235</v>
      </c>
      <c r="K716" s="1">
        <v>0</v>
      </c>
      <c r="L716" s="1">
        <v>0</v>
      </c>
      <c r="M716" s="1">
        <v>0</v>
      </c>
      <c r="N716" s="1">
        <f t="shared" si="41"/>
        <v>0</v>
      </c>
      <c r="O716" s="14">
        <v>16</v>
      </c>
      <c r="P716" s="17">
        <f t="shared" si="42"/>
        <v>2235</v>
      </c>
      <c r="Q716" s="1">
        <v>0</v>
      </c>
      <c r="R716" s="1">
        <v>0</v>
      </c>
      <c r="S716" s="20">
        <v>37257</v>
      </c>
      <c r="T716" s="1">
        <v>2251</v>
      </c>
      <c r="U716" s="9">
        <v>2235</v>
      </c>
      <c r="V716" s="9" t="s">
        <v>46</v>
      </c>
    </row>
    <row r="717" spans="1:22" x14ac:dyDescent="0.25">
      <c r="A717" s="10" t="s">
        <v>37</v>
      </c>
      <c r="B717" t="b">
        <v>0</v>
      </c>
      <c r="C717" t="b">
        <v>0</v>
      </c>
      <c r="D717" s="1">
        <v>5</v>
      </c>
      <c r="E717" s="1">
        <v>0</v>
      </c>
      <c r="F717" s="1">
        <v>0</v>
      </c>
      <c r="G717" s="1">
        <v>2040</v>
      </c>
      <c r="H717" s="1">
        <v>0</v>
      </c>
      <c r="I717" s="1">
        <v>0</v>
      </c>
      <c r="J717" s="1">
        <f t="shared" si="43"/>
        <v>2045</v>
      </c>
      <c r="K717" s="1">
        <v>0</v>
      </c>
      <c r="L717" s="1">
        <v>0</v>
      </c>
      <c r="M717" s="1">
        <v>0</v>
      </c>
      <c r="N717" s="1">
        <f t="shared" si="41"/>
        <v>0</v>
      </c>
      <c r="O717" s="14">
        <v>16</v>
      </c>
      <c r="P717" s="17">
        <f t="shared" si="42"/>
        <v>2045</v>
      </c>
      <c r="Q717" s="1">
        <v>0</v>
      </c>
      <c r="R717" s="1">
        <v>0</v>
      </c>
      <c r="S717" s="20">
        <v>37288</v>
      </c>
      <c r="T717" s="1">
        <v>2061</v>
      </c>
      <c r="U717" s="9">
        <v>2045</v>
      </c>
      <c r="V717" s="9" t="s">
        <v>46</v>
      </c>
    </row>
    <row r="718" spans="1:22" x14ac:dyDescent="0.25">
      <c r="A718" s="10" t="s">
        <v>37</v>
      </c>
      <c r="B718" t="b">
        <v>0</v>
      </c>
      <c r="C718" t="b">
        <v>0</v>
      </c>
      <c r="D718" s="1">
        <v>0</v>
      </c>
      <c r="E718" s="1">
        <v>0</v>
      </c>
      <c r="F718" s="1">
        <v>0</v>
      </c>
      <c r="G718" s="1">
        <v>2290</v>
      </c>
      <c r="H718" s="1">
        <v>0</v>
      </c>
      <c r="I718" s="1">
        <v>0</v>
      </c>
      <c r="J718" s="1">
        <f t="shared" si="43"/>
        <v>2290</v>
      </c>
      <c r="K718" s="1">
        <v>0</v>
      </c>
      <c r="L718" s="1">
        <v>0</v>
      </c>
      <c r="M718" s="1">
        <v>0</v>
      </c>
      <c r="N718" s="1">
        <f t="shared" si="41"/>
        <v>0</v>
      </c>
      <c r="O718" s="14">
        <v>20</v>
      </c>
      <c r="P718" s="17">
        <f t="shared" si="42"/>
        <v>2290</v>
      </c>
      <c r="Q718" s="1">
        <v>0</v>
      </c>
      <c r="R718" s="1">
        <v>0</v>
      </c>
      <c r="S718" s="20">
        <v>37316</v>
      </c>
      <c r="T718" s="1">
        <v>2310</v>
      </c>
      <c r="U718" s="9">
        <v>2290</v>
      </c>
      <c r="V718" s="9" t="s">
        <v>46</v>
      </c>
    </row>
    <row r="719" spans="1:22" x14ac:dyDescent="0.25">
      <c r="A719" s="10" t="s">
        <v>37</v>
      </c>
      <c r="B719" t="b">
        <v>0</v>
      </c>
      <c r="C719" t="b">
        <v>0</v>
      </c>
      <c r="D719" s="1">
        <v>0</v>
      </c>
      <c r="E719" s="1">
        <v>0</v>
      </c>
      <c r="F719" s="1">
        <v>0</v>
      </c>
      <c r="G719" s="1">
        <v>2170</v>
      </c>
      <c r="H719" s="1">
        <v>0</v>
      </c>
      <c r="I719" s="1">
        <v>0</v>
      </c>
      <c r="J719" s="1">
        <f t="shared" si="43"/>
        <v>2170</v>
      </c>
      <c r="K719" s="1">
        <v>0</v>
      </c>
      <c r="L719" s="1">
        <v>0</v>
      </c>
      <c r="M719" s="1">
        <v>0</v>
      </c>
      <c r="N719" s="1">
        <f t="shared" si="41"/>
        <v>0</v>
      </c>
      <c r="O719" s="14">
        <v>16</v>
      </c>
      <c r="P719" s="17">
        <f t="shared" si="42"/>
        <v>2170</v>
      </c>
      <c r="Q719" s="1">
        <v>0</v>
      </c>
      <c r="R719" s="1">
        <v>0</v>
      </c>
      <c r="S719" s="20">
        <v>37347</v>
      </c>
      <c r="T719" s="1">
        <v>2186</v>
      </c>
      <c r="U719" s="9">
        <v>2170</v>
      </c>
      <c r="V719" s="9" t="s">
        <v>46</v>
      </c>
    </row>
    <row r="720" spans="1:22" x14ac:dyDescent="0.25">
      <c r="A720" s="10" t="s">
        <v>37</v>
      </c>
      <c r="B720" t="b">
        <v>0</v>
      </c>
      <c r="C720" t="b">
        <v>0</v>
      </c>
      <c r="D720" s="1">
        <v>0</v>
      </c>
      <c r="E720" s="1">
        <v>0</v>
      </c>
      <c r="F720" s="1">
        <v>0</v>
      </c>
      <c r="G720" s="1">
        <v>2263</v>
      </c>
      <c r="H720" s="1">
        <v>0</v>
      </c>
      <c r="I720" s="1">
        <v>0</v>
      </c>
      <c r="J720" s="1">
        <f t="shared" si="43"/>
        <v>2263</v>
      </c>
      <c r="K720" s="1">
        <v>0</v>
      </c>
      <c r="L720" s="1">
        <v>0</v>
      </c>
      <c r="M720" s="1">
        <v>0</v>
      </c>
      <c r="N720" s="1">
        <f t="shared" si="41"/>
        <v>0</v>
      </c>
      <c r="O720" s="14">
        <v>0</v>
      </c>
      <c r="P720" s="17">
        <f t="shared" si="42"/>
        <v>2263</v>
      </c>
      <c r="Q720" s="1">
        <v>0</v>
      </c>
      <c r="R720" s="1">
        <v>0</v>
      </c>
      <c r="S720" s="20">
        <v>37377</v>
      </c>
      <c r="T720" s="1">
        <v>2263</v>
      </c>
      <c r="U720" s="9">
        <v>2263</v>
      </c>
      <c r="V720" s="9" t="s">
        <v>46</v>
      </c>
    </row>
    <row r="721" spans="1:22" x14ac:dyDescent="0.25">
      <c r="A721" s="10" t="s">
        <v>37</v>
      </c>
      <c r="B721" t="b">
        <v>0</v>
      </c>
      <c r="C721" t="b">
        <v>0</v>
      </c>
      <c r="D721" s="1">
        <v>0</v>
      </c>
      <c r="E721" s="1">
        <v>0</v>
      </c>
      <c r="F721" s="1">
        <v>0</v>
      </c>
      <c r="G721" s="1">
        <v>2228</v>
      </c>
      <c r="H721" s="1">
        <v>0</v>
      </c>
      <c r="I721" s="1">
        <v>0</v>
      </c>
      <c r="J721" s="1">
        <f t="shared" si="43"/>
        <v>2228</v>
      </c>
      <c r="K721" s="1">
        <v>0</v>
      </c>
      <c r="L721" s="1">
        <v>0</v>
      </c>
      <c r="M721" s="1">
        <v>0</v>
      </c>
      <c r="N721" s="1">
        <f t="shared" si="41"/>
        <v>0</v>
      </c>
      <c r="O721" s="14">
        <v>16</v>
      </c>
      <c r="P721" s="17">
        <f t="shared" si="42"/>
        <v>2228</v>
      </c>
      <c r="Q721" s="1">
        <v>0</v>
      </c>
      <c r="R721" s="1">
        <v>0</v>
      </c>
      <c r="S721" s="20">
        <v>37408</v>
      </c>
      <c r="T721" s="1">
        <v>2244</v>
      </c>
      <c r="U721" s="9">
        <v>2228</v>
      </c>
      <c r="V721" s="9" t="s">
        <v>46</v>
      </c>
    </row>
    <row r="722" spans="1:22" x14ac:dyDescent="0.25">
      <c r="A722" s="10" t="s">
        <v>37</v>
      </c>
      <c r="B722" t="b">
        <v>0</v>
      </c>
      <c r="C722" t="b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f t="shared" si="43"/>
        <v>0</v>
      </c>
      <c r="K722" s="1">
        <v>0</v>
      </c>
      <c r="L722" s="1">
        <v>0</v>
      </c>
      <c r="M722" s="1">
        <v>0</v>
      </c>
      <c r="N722" s="1">
        <f t="shared" si="41"/>
        <v>0</v>
      </c>
      <c r="O722" s="14">
        <v>0</v>
      </c>
      <c r="P722" s="17">
        <f t="shared" si="42"/>
        <v>0</v>
      </c>
      <c r="Q722" s="1">
        <v>0</v>
      </c>
      <c r="R722" s="1">
        <v>0</v>
      </c>
      <c r="S722" s="20">
        <v>37438</v>
      </c>
      <c r="T722" s="1">
        <v>0</v>
      </c>
      <c r="U722" s="9">
        <v>0</v>
      </c>
      <c r="V722" s="9" t="s">
        <v>46</v>
      </c>
    </row>
    <row r="723" spans="1:22" x14ac:dyDescent="0.25">
      <c r="A723" s="10" t="s">
        <v>37</v>
      </c>
      <c r="B723" t="b">
        <v>0</v>
      </c>
      <c r="C723" t="b">
        <v>0</v>
      </c>
      <c r="D723" s="1">
        <v>63</v>
      </c>
      <c r="E723" s="1">
        <v>0</v>
      </c>
      <c r="F723" s="1">
        <v>0</v>
      </c>
      <c r="G723" s="1">
        <v>2203</v>
      </c>
      <c r="H723" s="1">
        <v>0</v>
      </c>
      <c r="I723" s="1">
        <v>0</v>
      </c>
      <c r="J723" s="1">
        <f t="shared" si="43"/>
        <v>2266</v>
      </c>
      <c r="K723" s="1">
        <v>0</v>
      </c>
      <c r="L723" s="1">
        <v>0</v>
      </c>
      <c r="M723" s="1">
        <v>0</v>
      </c>
      <c r="N723" s="1">
        <f t="shared" si="41"/>
        <v>0</v>
      </c>
      <c r="O723" s="14">
        <v>18</v>
      </c>
      <c r="P723" s="17">
        <f t="shared" si="42"/>
        <v>2266</v>
      </c>
      <c r="Q723" s="1">
        <v>0</v>
      </c>
      <c r="R723" s="1">
        <v>0</v>
      </c>
      <c r="S723" s="20">
        <v>37469</v>
      </c>
      <c r="T723" s="1">
        <v>2284</v>
      </c>
      <c r="U723" s="9">
        <v>2266</v>
      </c>
      <c r="V723" s="9" t="s">
        <v>46</v>
      </c>
    </row>
    <row r="724" spans="1:22" x14ac:dyDescent="0.25">
      <c r="A724" s="10" t="s">
        <v>37</v>
      </c>
      <c r="B724" t="b">
        <v>0</v>
      </c>
      <c r="C724" t="b">
        <v>0</v>
      </c>
      <c r="D724" s="1">
        <v>25</v>
      </c>
      <c r="E724" s="1">
        <v>0</v>
      </c>
      <c r="F724" s="1">
        <v>0</v>
      </c>
      <c r="G724" s="1">
        <v>2198</v>
      </c>
      <c r="H724" s="1">
        <v>0</v>
      </c>
      <c r="I724" s="1">
        <v>0</v>
      </c>
      <c r="J724" s="1">
        <f t="shared" si="43"/>
        <v>2223</v>
      </c>
      <c r="K724" s="1">
        <v>0</v>
      </c>
      <c r="L724" s="1">
        <v>0</v>
      </c>
      <c r="M724" s="1">
        <v>0</v>
      </c>
      <c r="N724" s="1">
        <f t="shared" si="41"/>
        <v>0</v>
      </c>
      <c r="O724" s="14">
        <v>18</v>
      </c>
      <c r="P724" s="17">
        <f t="shared" si="42"/>
        <v>2223</v>
      </c>
      <c r="Q724" s="1">
        <v>0</v>
      </c>
      <c r="R724" s="1">
        <v>0</v>
      </c>
      <c r="S724" s="20">
        <v>37500</v>
      </c>
      <c r="T724" s="1">
        <v>2241</v>
      </c>
      <c r="U724" s="9">
        <v>2223</v>
      </c>
      <c r="V724" s="9" t="s">
        <v>46</v>
      </c>
    </row>
    <row r="725" spans="1:22" x14ac:dyDescent="0.25">
      <c r="A725" s="10" t="s">
        <v>37</v>
      </c>
      <c r="B725" t="b">
        <v>0</v>
      </c>
      <c r="C725" t="b">
        <v>0</v>
      </c>
      <c r="D725" s="1">
        <v>93</v>
      </c>
      <c r="E725" s="1">
        <v>0</v>
      </c>
      <c r="F725" s="1">
        <v>0</v>
      </c>
      <c r="G725" s="1">
        <v>2258</v>
      </c>
      <c r="H725" s="1">
        <v>0</v>
      </c>
      <c r="I725" s="1">
        <v>0</v>
      </c>
      <c r="J725" s="1">
        <f t="shared" si="43"/>
        <v>2351</v>
      </c>
      <c r="K725" s="1">
        <v>0</v>
      </c>
      <c r="L725" s="1">
        <v>0</v>
      </c>
      <c r="M725" s="1">
        <v>0</v>
      </c>
      <c r="N725" s="1">
        <f t="shared" si="41"/>
        <v>0</v>
      </c>
      <c r="O725" s="14">
        <v>18</v>
      </c>
      <c r="P725" s="17">
        <f t="shared" si="42"/>
        <v>2351</v>
      </c>
      <c r="Q725" s="1">
        <v>0</v>
      </c>
      <c r="R725" s="1">
        <v>0</v>
      </c>
      <c r="S725" s="20">
        <v>37530</v>
      </c>
      <c r="T725" s="1">
        <v>2369</v>
      </c>
      <c r="U725" s="9">
        <v>2351</v>
      </c>
      <c r="V725" s="9" t="s">
        <v>46</v>
      </c>
    </row>
    <row r="726" spans="1:22" x14ac:dyDescent="0.25">
      <c r="A726" s="10" t="s">
        <v>37</v>
      </c>
      <c r="B726" t="b">
        <v>0</v>
      </c>
      <c r="C726" t="b">
        <v>0</v>
      </c>
      <c r="D726" s="1">
        <v>93</v>
      </c>
      <c r="E726" s="1">
        <v>0</v>
      </c>
      <c r="F726" s="1">
        <v>0</v>
      </c>
      <c r="G726" s="1">
        <v>2373</v>
      </c>
      <c r="H726" s="1">
        <v>0</v>
      </c>
      <c r="I726" s="1">
        <v>0</v>
      </c>
      <c r="J726" s="1">
        <f t="shared" si="43"/>
        <v>2466</v>
      </c>
      <c r="K726" s="1">
        <v>0</v>
      </c>
      <c r="L726" s="1">
        <v>0</v>
      </c>
      <c r="M726" s="1">
        <v>0</v>
      </c>
      <c r="N726" s="1">
        <f t="shared" si="41"/>
        <v>0</v>
      </c>
      <c r="O726" s="14">
        <v>28</v>
      </c>
      <c r="P726" s="17">
        <f t="shared" si="42"/>
        <v>2466</v>
      </c>
      <c r="Q726" s="1">
        <v>0</v>
      </c>
      <c r="R726" s="1">
        <v>0</v>
      </c>
      <c r="S726" s="20">
        <v>37561</v>
      </c>
      <c r="T726" s="1">
        <v>2494</v>
      </c>
      <c r="U726" s="9">
        <v>2466</v>
      </c>
      <c r="V726" s="9" t="s">
        <v>46</v>
      </c>
    </row>
    <row r="727" spans="1:22" x14ac:dyDescent="0.25">
      <c r="A727" s="10" t="s">
        <v>37</v>
      </c>
      <c r="B727" t="b">
        <v>0</v>
      </c>
      <c r="C727" t="b">
        <v>0</v>
      </c>
      <c r="D727" s="1">
        <v>45</v>
      </c>
      <c r="E727" s="1">
        <v>0</v>
      </c>
      <c r="F727" s="1">
        <v>0</v>
      </c>
      <c r="G727" s="1">
        <v>2263</v>
      </c>
      <c r="H727" s="1">
        <v>0</v>
      </c>
      <c r="I727" s="1">
        <v>0</v>
      </c>
      <c r="J727" s="1">
        <f t="shared" si="43"/>
        <v>2308</v>
      </c>
      <c r="K727" s="1">
        <v>0</v>
      </c>
      <c r="L727" s="1">
        <v>0</v>
      </c>
      <c r="M727" s="1">
        <v>0</v>
      </c>
      <c r="N727" s="1">
        <f t="shared" si="41"/>
        <v>0</v>
      </c>
      <c r="O727" s="14">
        <v>26</v>
      </c>
      <c r="P727" s="17">
        <f t="shared" si="42"/>
        <v>2308</v>
      </c>
      <c r="Q727" s="1">
        <v>0</v>
      </c>
      <c r="R727" s="1">
        <v>0</v>
      </c>
      <c r="S727" s="20">
        <v>37591</v>
      </c>
      <c r="T727" s="1">
        <v>2334</v>
      </c>
      <c r="U727" s="9">
        <v>2308</v>
      </c>
      <c r="V727" s="9" t="s">
        <v>46</v>
      </c>
    </row>
    <row r="728" spans="1:22" x14ac:dyDescent="0.25">
      <c r="A728" s="10" t="s">
        <v>37</v>
      </c>
      <c r="B728" t="b">
        <v>0</v>
      </c>
      <c r="C728" t="b">
        <v>0</v>
      </c>
      <c r="D728" s="1">
        <v>120</v>
      </c>
      <c r="E728" s="1">
        <v>0</v>
      </c>
      <c r="F728" s="1">
        <v>0</v>
      </c>
      <c r="G728" s="1">
        <v>2290</v>
      </c>
      <c r="H728" s="1">
        <v>0</v>
      </c>
      <c r="I728" s="1">
        <v>0</v>
      </c>
      <c r="J728" s="1">
        <f t="shared" si="43"/>
        <v>2410</v>
      </c>
      <c r="K728" s="1">
        <v>0</v>
      </c>
      <c r="L728" s="1">
        <v>0</v>
      </c>
      <c r="M728" s="1">
        <v>0</v>
      </c>
      <c r="N728" s="1">
        <f t="shared" si="41"/>
        <v>0</v>
      </c>
      <c r="O728" s="14">
        <v>18</v>
      </c>
      <c r="P728" s="17">
        <f t="shared" si="42"/>
        <v>2410</v>
      </c>
      <c r="Q728" s="1">
        <v>0</v>
      </c>
      <c r="R728" s="1">
        <v>0</v>
      </c>
      <c r="S728" s="20">
        <v>37622</v>
      </c>
      <c r="T728" s="1">
        <v>2428</v>
      </c>
      <c r="U728" s="9">
        <v>2410</v>
      </c>
      <c r="V728" s="9" t="s">
        <v>21</v>
      </c>
    </row>
    <row r="729" spans="1:22" x14ac:dyDescent="0.25">
      <c r="A729" s="10" t="s">
        <v>37</v>
      </c>
      <c r="B729" t="b">
        <v>0</v>
      </c>
      <c r="C729" t="b">
        <v>0</v>
      </c>
      <c r="D729" s="1">
        <v>340</v>
      </c>
      <c r="E729" s="1">
        <v>0</v>
      </c>
      <c r="F729" s="1">
        <v>0</v>
      </c>
      <c r="G729" s="1">
        <v>2040</v>
      </c>
      <c r="H729" s="1">
        <v>0</v>
      </c>
      <c r="I729" s="1">
        <v>0</v>
      </c>
      <c r="J729" s="1">
        <f t="shared" si="43"/>
        <v>2380</v>
      </c>
      <c r="K729" s="1">
        <v>0</v>
      </c>
      <c r="L729" s="1">
        <v>0</v>
      </c>
      <c r="M729" s="1">
        <v>0</v>
      </c>
      <c r="N729" s="1">
        <f t="shared" si="41"/>
        <v>0</v>
      </c>
      <c r="O729" s="14">
        <v>16</v>
      </c>
      <c r="P729" s="17">
        <f t="shared" si="42"/>
        <v>2380</v>
      </c>
      <c r="Q729" s="1">
        <v>0</v>
      </c>
      <c r="R729" s="1">
        <v>0</v>
      </c>
      <c r="S729" s="20">
        <v>37653</v>
      </c>
      <c r="T729" s="1">
        <v>2396</v>
      </c>
      <c r="U729" s="9">
        <v>2380</v>
      </c>
      <c r="V729" s="9" t="s">
        <v>21</v>
      </c>
    </row>
    <row r="730" spans="1:22" x14ac:dyDescent="0.25">
      <c r="A730" s="10" t="s">
        <v>37</v>
      </c>
      <c r="B730" t="b">
        <v>0</v>
      </c>
      <c r="C730" t="b">
        <v>0</v>
      </c>
      <c r="D730" s="1">
        <v>400</v>
      </c>
      <c r="E730" s="1">
        <v>0</v>
      </c>
      <c r="F730" s="1">
        <v>0</v>
      </c>
      <c r="G730" s="1">
        <v>2290</v>
      </c>
      <c r="H730" s="1">
        <v>0</v>
      </c>
      <c r="I730" s="1">
        <v>0</v>
      </c>
      <c r="J730" s="1">
        <f t="shared" si="43"/>
        <v>2690</v>
      </c>
      <c r="K730" s="1">
        <v>0</v>
      </c>
      <c r="L730" s="1">
        <v>0</v>
      </c>
      <c r="M730" s="1">
        <v>0</v>
      </c>
      <c r="N730" s="1">
        <f t="shared" si="41"/>
        <v>0</v>
      </c>
      <c r="O730" s="14">
        <v>22</v>
      </c>
      <c r="P730" s="17">
        <f t="shared" si="42"/>
        <v>2690</v>
      </c>
      <c r="Q730" s="1">
        <v>0</v>
      </c>
      <c r="R730" s="1">
        <v>0</v>
      </c>
      <c r="S730" s="20">
        <v>37681</v>
      </c>
      <c r="T730" s="1">
        <v>2712</v>
      </c>
      <c r="U730" s="9">
        <v>2690</v>
      </c>
      <c r="V730" s="9" t="s">
        <v>21</v>
      </c>
    </row>
    <row r="731" spans="1:22" x14ac:dyDescent="0.25">
      <c r="A731" s="10" t="s">
        <v>37</v>
      </c>
      <c r="B731" t="b">
        <v>0</v>
      </c>
      <c r="C731" t="b">
        <v>0</v>
      </c>
      <c r="D731" s="1">
        <v>368</v>
      </c>
      <c r="E731" s="1">
        <v>0</v>
      </c>
      <c r="F731" s="1">
        <v>0</v>
      </c>
      <c r="G731" s="1">
        <v>2170</v>
      </c>
      <c r="H731" s="1">
        <v>0</v>
      </c>
      <c r="I731" s="1">
        <v>0</v>
      </c>
      <c r="J731" s="1">
        <f t="shared" si="43"/>
        <v>2538</v>
      </c>
      <c r="K731" s="1">
        <v>0</v>
      </c>
      <c r="L731" s="1">
        <v>0</v>
      </c>
      <c r="M731" s="1">
        <v>0</v>
      </c>
      <c r="N731" s="1">
        <f t="shared" si="41"/>
        <v>0</v>
      </c>
      <c r="O731" s="14">
        <v>16</v>
      </c>
      <c r="P731" s="17">
        <f t="shared" si="42"/>
        <v>2538</v>
      </c>
      <c r="Q731" s="1">
        <v>0</v>
      </c>
      <c r="R731" s="1">
        <v>0</v>
      </c>
      <c r="S731" s="20">
        <v>37712</v>
      </c>
      <c r="T731" s="1">
        <v>2554</v>
      </c>
      <c r="U731" s="9">
        <v>2538</v>
      </c>
      <c r="V731" s="9" t="s">
        <v>21</v>
      </c>
    </row>
    <row r="732" spans="1:22" x14ac:dyDescent="0.25">
      <c r="A732" s="10" t="s">
        <v>37</v>
      </c>
      <c r="B732" t="b">
        <v>0</v>
      </c>
      <c r="C732" t="b">
        <v>0</v>
      </c>
      <c r="D732" s="1">
        <v>368</v>
      </c>
      <c r="E732" s="1">
        <v>0</v>
      </c>
      <c r="F732" s="1">
        <v>0</v>
      </c>
      <c r="G732" s="1">
        <v>2263</v>
      </c>
      <c r="H732" s="1">
        <v>0</v>
      </c>
      <c r="I732" s="1">
        <v>0</v>
      </c>
      <c r="J732" s="1">
        <f t="shared" si="43"/>
        <v>2631</v>
      </c>
      <c r="K732" s="1">
        <v>0</v>
      </c>
      <c r="L732" s="1">
        <v>0</v>
      </c>
      <c r="M732" s="1">
        <v>0</v>
      </c>
      <c r="N732" s="1">
        <f t="shared" si="41"/>
        <v>0</v>
      </c>
      <c r="O732" s="14">
        <v>18</v>
      </c>
      <c r="P732" s="17">
        <f t="shared" si="42"/>
        <v>2631</v>
      </c>
      <c r="Q732" s="1">
        <v>0</v>
      </c>
      <c r="R732" s="1">
        <v>0</v>
      </c>
      <c r="S732" s="20">
        <v>37742</v>
      </c>
      <c r="T732" s="1">
        <v>2649</v>
      </c>
      <c r="U732" s="9">
        <v>2631</v>
      </c>
      <c r="V732" s="9" t="s">
        <v>21</v>
      </c>
    </row>
    <row r="733" spans="1:22" x14ac:dyDescent="0.25">
      <c r="A733" s="10" t="s">
        <v>37</v>
      </c>
      <c r="B733" t="b">
        <v>0</v>
      </c>
      <c r="C733" t="b">
        <v>0</v>
      </c>
      <c r="D733" s="1">
        <v>578</v>
      </c>
      <c r="E733" s="1">
        <v>0</v>
      </c>
      <c r="F733" s="1">
        <v>0</v>
      </c>
      <c r="G733" s="1">
        <v>2170</v>
      </c>
      <c r="H733" s="1">
        <v>0</v>
      </c>
      <c r="I733" s="1">
        <v>0</v>
      </c>
      <c r="J733" s="1">
        <f t="shared" si="43"/>
        <v>2748</v>
      </c>
      <c r="K733" s="1">
        <v>0</v>
      </c>
      <c r="L733" s="1">
        <v>0</v>
      </c>
      <c r="M733" s="1">
        <v>0</v>
      </c>
      <c r="N733" s="1">
        <f t="shared" si="41"/>
        <v>0</v>
      </c>
      <c r="O733" s="14">
        <v>16</v>
      </c>
      <c r="P733" s="17">
        <f t="shared" si="42"/>
        <v>2748</v>
      </c>
      <c r="Q733" s="1">
        <v>0</v>
      </c>
      <c r="R733" s="1">
        <v>0</v>
      </c>
      <c r="S733" s="20">
        <v>37773</v>
      </c>
      <c r="T733" s="1">
        <v>2764</v>
      </c>
      <c r="U733" s="9">
        <v>2748</v>
      </c>
      <c r="V733" s="9" t="s">
        <v>21</v>
      </c>
    </row>
    <row r="734" spans="1:22" x14ac:dyDescent="0.25">
      <c r="A734" s="10" t="s">
        <v>37</v>
      </c>
      <c r="B734" t="b">
        <v>0</v>
      </c>
      <c r="C734" t="b">
        <v>0</v>
      </c>
      <c r="D734" s="1">
        <v>951</v>
      </c>
      <c r="E734" s="1">
        <v>0</v>
      </c>
      <c r="F734" s="1">
        <v>0</v>
      </c>
      <c r="G734" s="1">
        <v>2235</v>
      </c>
      <c r="H734" s="1">
        <v>0</v>
      </c>
      <c r="I734" s="1">
        <v>0</v>
      </c>
      <c r="J734" s="1">
        <f t="shared" si="43"/>
        <v>3186</v>
      </c>
      <c r="K734" s="1">
        <v>0</v>
      </c>
      <c r="L734" s="1">
        <v>0</v>
      </c>
      <c r="M734" s="1">
        <v>0</v>
      </c>
      <c r="N734" s="1">
        <f t="shared" si="41"/>
        <v>0</v>
      </c>
      <c r="O734" s="14">
        <v>16</v>
      </c>
      <c r="P734" s="17">
        <f t="shared" si="42"/>
        <v>3186</v>
      </c>
      <c r="Q734" s="1">
        <v>0</v>
      </c>
      <c r="R734" s="1">
        <v>0</v>
      </c>
      <c r="S734" s="20">
        <v>37803</v>
      </c>
      <c r="T734" s="1">
        <v>3202</v>
      </c>
      <c r="U734" s="9">
        <v>3186</v>
      </c>
      <c r="V734" s="9" t="s">
        <v>21</v>
      </c>
    </row>
    <row r="735" spans="1:22" x14ac:dyDescent="0.25">
      <c r="A735" s="10" t="s">
        <v>37</v>
      </c>
      <c r="B735" t="b">
        <v>0</v>
      </c>
      <c r="C735" t="b">
        <v>0</v>
      </c>
      <c r="D735" s="1">
        <v>740</v>
      </c>
      <c r="E735" s="1">
        <v>0</v>
      </c>
      <c r="F735" s="1">
        <v>0</v>
      </c>
      <c r="G735" s="1">
        <v>2290</v>
      </c>
      <c r="H735" s="1">
        <v>0</v>
      </c>
      <c r="I735" s="1">
        <v>0</v>
      </c>
      <c r="J735" s="1">
        <f t="shared" si="43"/>
        <v>3030</v>
      </c>
      <c r="K735" s="1">
        <v>0</v>
      </c>
      <c r="L735" s="1">
        <v>0</v>
      </c>
      <c r="M735" s="1">
        <v>0</v>
      </c>
      <c r="N735" s="1">
        <f t="shared" si="41"/>
        <v>0</v>
      </c>
      <c r="O735" s="14">
        <v>20</v>
      </c>
      <c r="P735" s="17">
        <f t="shared" si="42"/>
        <v>3030</v>
      </c>
      <c r="Q735" s="1">
        <v>0</v>
      </c>
      <c r="R735" s="1">
        <v>0</v>
      </c>
      <c r="S735" s="20">
        <v>37834</v>
      </c>
      <c r="T735" s="1">
        <v>3050</v>
      </c>
      <c r="U735" s="9">
        <v>3030</v>
      </c>
      <c r="V735" s="9" t="s">
        <v>21</v>
      </c>
    </row>
    <row r="736" spans="1:22" x14ac:dyDescent="0.25">
      <c r="A736" s="10" t="s">
        <v>37</v>
      </c>
      <c r="B736" t="b">
        <v>0</v>
      </c>
      <c r="C736" t="b">
        <v>0</v>
      </c>
      <c r="D736" s="1">
        <v>573</v>
      </c>
      <c r="E736" s="1">
        <v>0</v>
      </c>
      <c r="F736" s="1">
        <v>0</v>
      </c>
      <c r="G736" s="1">
        <v>2170</v>
      </c>
      <c r="H736" s="1">
        <v>0</v>
      </c>
      <c r="I736" s="1">
        <v>0</v>
      </c>
      <c r="J736" s="1">
        <f t="shared" si="43"/>
        <v>2743</v>
      </c>
      <c r="K736" s="1">
        <v>0</v>
      </c>
      <c r="L736" s="1">
        <v>0</v>
      </c>
      <c r="M736" s="1">
        <v>0</v>
      </c>
      <c r="N736" s="1">
        <f t="shared" si="41"/>
        <v>0</v>
      </c>
      <c r="O736" s="14">
        <v>16</v>
      </c>
      <c r="P736" s="17">
        <f t="shared" si="42"/>
        <v>2743</v>
      </c>
      <c r="Q736" s="1">
        <v>0</v>
      </c>
      <c r="R736" s="1">
        <v>0</v>
      </c>
      <c r="S736" s="20">
        <v>37865</v>
      </c>
      <c r="T736" s="1">
        <v>2759</v>
      </c>
      <c r="U736" s="9">
        <v>2743</v>
      </c>
      <c r="V736" s="9" t="s">
        <v>21</v>
      </c>
    </row>
    <row r="737" spans="1:22" x14ac:dyDescent="0.25">
      <c r="A737" s="10" t="s">
        <v>37</v>
      </c>
      <c r="B737" t="b">
        <v>0</v>
      </c>
      <c r="C737" t="b">
        <v>0</v>
      </c>
      <c r="D737" s="1">
        <v>315</v>
      </c>
      <c r="E737" s="1">
        <v>0</v>
      </c>
      <c r="F737" s="1">
        <v>0</v>
      </c>
      <c r="G737" s="1">
        <v>2263</v>
      </c>
      <c r="H737" s="1">
        <v>0</v>
      </c>
      <c r="I737" s="1">
        <v>0</v>
      </c>
      <c r="J737" s="1">
        <f t="shared" si="43"/>
        <v>2578</v>
      </c>
      <c r="K737" s="1">
        <v>0</v>
      </c>
      <c r="L737" s="1">
        <v>0</v>
      </c>
      <c r="M737" s="1">
        <v>0</v>
      </c>
      <c r="N737" s="1">
        <f>K737+L737+M737</f>
        <v>0</v>
      </c>
      <c r="O737" s="14">
        <v>20</v>
      </c>
      <c r="P737" s="17">
        <f t="shared" si="42"/>
        <v>2578</v>
      </c>
      <c r="Q737" s="1">
        <v>0</v>
      </c>
      <c r="R737" s="1">
        <v>0</v>
      </c>
      <c r="S737" s="20">
        <v>37895</v>
      </c>
      <c r="T737" s="1">
        <v>2598</v>
      </c>
      <c r="U737" s="9">
        <v>2578</v>
      </c>
      <c r="V737" s="9" t="s">
        <v>21</v>
      </c>
    </row>
    <row r="738" spans="1:22" x14ac:dyDescent="0.25">
      <c r="A738" s="10" t="s">
        <v>37</v>
      </c>
      <c r="B738" t="b">
        <v>0</v>
      </c>
      <c r="C738" t="b">
        <v>0</v>
      </c>
      <c r="D738" s="1">
        <v>165</v>
      </c>
      <c r="E738" s="1">
        <v>0</v>
      </c>
      <c r="F738" s="1">
        <v>0</v>
      </c>
      <c r="G738" s="1">
        <v>2208</v>
      </c>
      <c r="H738" s="1">
        <v>0</v>
      </c>
      <c r="I738" s="1">
        <v>0</v>
      </c>
      <c r="J738" s="1">
        <f t="shared" si="43"/>
        <v>2373</v>
      </c>
      <c r="K738" s="1">
        <v>0</v>
      </c>
      <c r="L738" s="1">
        <v>0</v>
      </c>
      <c r="M738" s="1">
        <v>0</v>
      </c>
      <c r="N738" s="1">
        <f t="shared" ref="N738:N801" si="44">K738+L738+M738</f>
        <v>0</v>
      </c>
      <c r="O738" s="14">
        <v>16</v>
      </c>
      <c r="P738" s="17">
        <f t="shared" si="42"/>
        <v>2373</v>
      </c>
      <c r="Q738" s="1">
        <v>0</v>
      </c>
      <c r="R738" s="1">
        <v>0</v>
      </c>
      <c r="S738" s="20">
        <v>37926</v>
      </c>
      <c r="T738" s="1">
        <v>2389</v>
      </c>
      <c r="U738" s="9">
        <v>2373</v>
      </c>
      <c r="V738" s="9" t="s">
        <v>21</v>
      </c>
    </row>
    <row r="739" spans="1:22" x14ac:dyDescent="0.25">
      <c r="A739" s="10" t="s">
        <v>37</v>
      </c>
      <c r="B739" t="b">
        <v>0</v>
      </c>
      <c r="C739" t="b">
        <v>0</v>
      </c>
      <c r="D739" s="1">
        <v>0</v>
      </c>
      <c r="E739" s="1">
        <v>0</v>
      </c>
      <c r="F739" s="1">
        <v>0</v>
      </c>
      <c r="G739" s="1">
        <v>2263</v>
      </c>
      <c r="H739" s="1">
        <v>0</v>
      </c>
      <c r="I739" s="1">
        <v>0</v>
      </c>
      <c r="J739" s="1">
        <f t="shared" si="43"/>
        <v>2263</v>
      </c>
      <c r="K739" s="1">
        <v>0</v>
      </c>
      <c r="L739" s="1">
        <v>0</v>
      </c>
      <c r="M739" s="1">
        <v>0</v>
      </c>
      <c r="N739" s="1">
        <f t="shared" si="44"/>
        <v>0</v>
      </c>
      <c r="O739" s="14">
        <v>18</v>
      </c>
      <c r="P739" s="17">
        <f t="shared" si="42"/>
        <v>2263</v>
      </c>
      <c r="Q739" s="1">
        <v>0</v>
      </c>
      <c r="R739" s="1">
        <v>0</v>
      </c>
      <c r="S739" s="20">
        <v>37956</v>
      </c>
      <c r="T739" s="1">
        <v>2281</v>
      </c>
      <c r="U739" s="9">
        <v>2263</v>
      </c>
      <c r="V739" s="9" t="s">
        <v>21</v>
      </c>
    </row>
    <row r="740" spans="1:22" x14ac:dyDescent="0.25">
      <c r="A740" s="10" t="s">
        <v>37</v>
      </c>
      <c r="B740" t="b">
        <v>0</v>
      </c>
      <c r="C740" t="b">
        <v>0</v>
      </c>
      <c r="D740" s="1">
        <v>108</v>
      </c>
      <c r="E740" s="1">
        <v>0</v>
      </c>
      <c r="F740" s="1">
        <v>0</v>
      </c>
      <c r="G740" s="1">
        <v>2318</v>
      </c>
      <c r="H740" s="1">
        <v>0</v>
      </c>
      <c r="I740" s="1">
        <v>0</v>
      </c>
      <c r="J740" s="1">
        <f t="shared" si="43"/>
        <v>2426</v>
      </c>
      <c r="K740" s="1">
        <v>0</v>
      </c>
      <c r="L740" s="1">
        <v>0</v>
      </c>
      <c r="M740" s="1">
        <v>0</v>
      </c>
      <c r="N740" s="1">
        <f t="shared" si="44"/>
        <v>0</v>
      </c>
      <c r="O740" s="14">
        <v>22</v>
      </c>
      <c r="P740" s="17">
        <f t="shared" si="42"/>
        <v>2426</v>
      </c>
      <c r="Q740" s="1">
        <v>0</v>
      </c>
      <c r="R740" s="1">
        <v>0</v>
      </c>
      <c r="S740" s="20">
        <v>37987</v>
      </c>
      <c r="T740" s="1">
        <v>2448</v>
      </c>
      <c r="U740" s="9">
        <v>2426</v>
      </c>
      <c r="V740" s="9" t="s">
        <v>41</v>
      </c>
    </row>
    <row r="741" spans="1:22" x14ac:dyDescent="0.25">
      <c r="A741" s="10" t="s">
        <v>37</v>
      </c>
      <c r="B741" t="b">
        <v>0</v>
      </c>
      <c r="C741" t="b">
        <v>0</v>
      </c>
      <c r="D741" s="1">
        <v>8</v>
      </c>
      <c r="E741" s="1">
        <v>0</v>
      </c>
      <c r="F741" s="1">
        <v>0</v>
      </c>
      <c r="G741" s="1">
        <v>2133</v>
      </c>
      <c r="H741" s="1">
        <v>0</v>
      </c>
      <c r="I741" s="1">
        <v>0</v>
      </c>
      <c r="J741" s="1">
        <f t="shared" si="43"/>
        <v>2141</v>
      </c>
      <c r="K741" s="1">
        <v>0</v>
      </c>
      <c r="L741" s="1">
        <v>0</v>
      </c>
      <c r="M741" s="1">
        <v>0</v>
      </c>
      <c r="N741" s="1">
        <f t="shared" si="44"/>
        <v>0</v>
      </c>
      <c r="O741" s="14">
        <v>18</v>
      </c>
      <c r="P741" s="17">
        <f t="shared" si="42"/>
        <v>2141</v>
      </c>
      <c r="Q741" s="1">
        <v>0</v>
      </c>
      <c r="R741" s="1">
        <v>0</v>
      </c>
      <c r="S741" s="20">
        <v>38018</v>
      </c>
      <c r="T741" s="1">
        <v>2159</v>
      </c>
      <c r="U741" s="9">
        <v>2141</v>
      </c>
      <c r="V741" s="9" t="s">
        <v>41</v>
      </c>
    </row>
    <row r="742" spans="1:22" x14ac:dyDescent="0.25">
      <c r="A742" s="10" t="s">
        <v>37</v>
      </c>
      <c r="B742" t="b">
        <v>0</v>
      </c>
      <c r="C742" t="b">
        <v>0</v>
      </c>
      <c r="D742" s="1">
        <v>3</v>
      </c>
      <c r="E742" s="1">
        <v>0</v>
      </c>
      <c r="F742" s="1">
        <v>0</v>
      </c>
      <c r="G742" s="1">
        <v>2235</v>
      </c>
      <c r="H742" s="1">
        <v>0</v>
      </c>
      <c r="I742" s="1">
        <v>0</v>
      </c>
      <c r="J742" s="1">
        <f t="shared" si="43"/>
        <v>2238</v>
      </c>
      <c r="K742" s="1">
        <v>0</v>
      </c>
      <c r="L742" s="1">
        <v>0</v>
      </c>
      <c r="M742" s="1">
        <v>0</v>
      </c>
      <c r="N742" s="1">
        <f t="shared" si="44"/>
        <v>0</v>
      </c>
      <c r="O742" s="14">
        <v>16</v>
      </c>
      <c r="P742" s="17">
        <f t="shared" si="42"/>
        <v>2238</v>
      </c>
      <c r="Q742" s="1">
        <v>0</v>
      </c>
      <c r="R742" s="1">
        <v>0</v>
      </c>
      <c r="S742" s="20">
        <v>38047</v>
      </c>
      <c r="T742" s="1">
        <v>2254</v>
      </c>
      <c r="U742" s="9">
        <v>2238</v>
      </c>
      <c r="V742" s="9" t="s">
        <v>41</v>
      </c>
    </row>
    <row r="743" spans="1:22" x14ac:dyDescent="0.25">
      <c r="A743" s="10" t="s">
        <v>37</v>
      </c>
      <c r="B743" t="b">
        <v>0</v>
      </c>
      <c r="C743" t="b">
        <v>0</v>
      </c>
      <c r="D743" s="1">
        <v>8</v>
      </c>
      <c r="E743" s="1">
        <v>0</v>
      </c>
      <c r="F743" s="1">
        <v>0</v>
      </c>
      <c r="G743" s="1">
        <v>2170</v>
      </c>
      <c r="H743" s="1">
        <v>0</v>
      </c>
      <c r="I743" s="1">
        <v>0</v>
      </c>
      <c r="J743" s="1">
        <f t="shared" si="43"/>
        <v>2178</v>
      </c>
      <c r="K743" s="1">
        <v>0</v>
      </c>
      <c r="L743" s="1">
        <v>0</v>
      </c>
      <c r="M743" s="1">
        <v>0</v>
      </c>
      <c r="N743" s="1">
        <f t="shared" si="44"/>
        <v>0</v>
      </c>
      <c r="O743" s="14">
        <v>16</v>
      </c>
      <c r="P743" s="17">
        <f t="shared" si="42"/>
        <v>2178</v>
      </c>
      <c r="Q743" s="1">
        <v>0</v>
      </c>
      <c r="R743" s="1">
        <v>0</v>
      </c>
      <c r="S743" s="20">
        <v>38078</v>
      </c>
      <c r="T743" s="1">
        <v>2194</v>
      </c>
      <c r="U743" s="9">
        <v>2178</v>
      </c>
      <c r="V743" s="9" t="s">
        <v>41</v>
      </c>
    </row>
    <row r="744" spans="1:22" x14ac:dyDescent="0.25">
      <c r="A744" s="10" t="s">
        <v>37</v>
      </c>
      <c r="B744" t="b">
        <v>0</v>
      </c>
      <c r="C744" t="b">
        <v>0</v>
      </c>
      <c r="D744" s="1">
        <v>0</v>
      </c>
      <c r="E744" s="1">
        <v>0</v>
      </c>
      <c r="F744" s="1">
        <v>0</v>
      </c>
      <c r="G744" s="1">
        <v>2318</v>
      </c>
      <c r="H744" s="1">
        <v>0</v>
      </c>
      <c r="I744" s="1">
        <v>0</v>
      </c>
      <c r="J744" s="1">
        <f t="shared" si="43"/>
        <v>2318</v>
      </c>
      <c r="K744" s="1">
        <v>0</v>
      </c>
      <c r="L744" s="1">
        <v>0</v>
      </c>
      <c r="M744" s="1">
        <v>0</v>
      </c>
      <c r="N744" s="1">
        <f t="shared" si="44"/>
        <v>0</v>
      </c>
      <c r="O744" s="14">
        <v>22</v>
      </c>
      <c r="P744" s="17">
        <f t="shared" si="42"/>
        <v>2318</v>
      </c>
      <c r="Q744" s="1">
        <v>0</v>
      </c>
      <c r="R744" s="1">
        <v>0</v>
      </c>
      <c r="S744" s="20">
        <v>38108</v>
      </c>
      <c r="T744" s="1">
        <v>2340</v>
      </c>
      <c r="U744" s="9">
        <v>2318</v>
      </c>
      <c r="V744" s="9" t="s">
        <v>41</v>
      </c>
    </row>
    <row r="745" spans="1:22" x14ac:dyDescent="0.25">
      <c r="A745" s="10" t="s">
        <v>37</v>
      </c>
      <c r="B745" t="b">
        <v>0</v>
      </c>
      <c r="C745" t="b">
        <v>0</v>
      </c>
      <c r="D745" s="1">
        <v>0</v>
      </c>
      <c r="E745" s="1">
        <v>0</v>
      </c>
      <c r="F745" s="1">
        <v>0</v>
      </c>
      <c r="G745" s="1">
        <v>2170</v>
      </c>
      <c r="H745" s="1">
        <v>0</v>
      </c>
      <c r="I745" s="1">
        <v>0</v>
      </c>
      <c r="J745" s="1">
        <f t="shared" si="43"/>
        <v>2170</v>
      </c>
      <c r="K745" s="1">
        <v>0</v>
      </c>
      <c r="L745" s="1">
        <v>0</v>
      </c>
      <c r="M745" s="1">
        <v>0</v>
      </c>
      <c r="N745" s="1">
        <f t="shared" si="44"/>
        <v>0</v>
      </c>
      <c r="O745" s="14">
        <v>16</v>
      </c>
      <c r="P745" s="17">
        <f t="shared" si="42"/>
        <v>2170</v>
      </c>
      <c r="Q745" s="1">
        <v>0</v>
      </c>
      <c r="R745" s="1">
        <v>0</v>
      </c>
      <c r="S745" s="20">
        <v>38139</v>
      </c>
      <c r="T745" s="1">
        <v>2186</v>
      </c>
      <c r="U745" s="9">
        <v>2170</v>
      </c>
      <c r="V745" s="9" t="s">
        <v>41</v>
      </c>
    </row>
    <row r="746" spans="1:22" x14ac:dyDescent="0.25">
      <c r="A746" s="10" t="s">
        <v>37</v>
      </c>
      <c r="B746" t="b">
        <v>0</v>
      </c>
      <c r="C746" t="b">
        <v>0</v>
      </c>
      <c r="D746" s="1">
        <v>0</v>
      </c>
      <c r="E746" s="1">
        <v>0</v>
      </c>
      <c r="F746" s="1">
        <v>0</v>
      </c>
      <c r="G746" s="1">
        <v>2290</v>
      </c>
      <c r="H746" s="1">
        <v>0</v>
      </c>
      <c r="I746" s="1">
        <v>0</v>
      </c>
      <c r="J746" s="1">
        <f t="shared" si="43"/>
        <v>2290</v>
      </c>
      <c r="K746" s="1">
        <v>0</v>
      </c>
      <c r="L746" s="1">
        <v>0</v>
      </c>
      <c r="M746" s="1">
        <v>0</v>
      </c>
      <c r="N746" s="1">
        <f t="shared" si="44"/>
        <v>0</v>
      </c>
      <c r="O746" s="14">
        <v>0</v>
      </c>
      <c r="P746" s="17">
        <f t="shared" si="42"/>
        <v>2290</v>
      </c>
      <c r="Q746" s="1">
        <v>0</v>
      </c>
      <c r="R746" s="1">
        <v>0</v>
      </c>
      <c r="S746" s="20">
        <v>38169</v>
      </c>
      <c r="T746" s="1">
        <v>2290</v>
      </c>
      <c r="U746" s="9">
        <v>2290</v>
      </c>
      <c r="V746" s="9" t="s">
        <v>41</v>
      </c>
    </row>
    <row r="747" spans="1:22" x14ac:dyDescent="0.25">
      <c r="A747" s="10" t="s">
        <v>37</v>
      </c>
      <c r="B747" t="b">
        <v>0</v>
      </c>
      <c r="C747" t="b">
        <v>0</v>
      </c>
      <c r="D747" s="1">
        <v>740</v>
      </c>
      <c r="E747" s="1">
        <v>0</v>
      </c>
      <c r="F747" s="1">
        <v>0</v>
      </c>
      <c r="G747" s="1">
        <v>2290</v>
      </c>
      <c r="H747" s="1">
        <v>0</v>
      </c>
      <c r="I747" s="1">
        <v>0</v>
      </c>
      <c r="J747" s="1">
        <f t="shared" si="43"/>
        <v>3030</v>
      </c>
      <c r="K747" s="1">
        <v>0</v>
      </c>
      <c r="L747" s="1">
        <v>0</v>
      </c>
      <c r="M747" s="1">
        <v>0</v>
      </c>
      <c r="N747" s="1">
        <f t="shared" si="44"/>
        <v>0</v>
      </c>
      <c r="O747" s="14">
        <v>20</v>
      </c>
      <c r="P747" s="17">
        <f t="shared" si="42"/>
        <v>3030</v>
      </c>
      <c r="Q747" s="1">
        <v>0</v>
      </c>
      <c r="R747" s="1">
        <v>0</v>
      </c>
      <c r="S747" s="20">
        <v>38200</v>
      </c>
      <c r="T747" s="1">
        <v>3050</v>
      </c>
      <c r="U747" s="9">
        <v>3030</v>
      </c>
      <c r="V747" s="9" t="s">
        <v>41</v>
      </c>
    </row>
    <row r="748" spans="1:22" x14ac:dyDescent="0.25">
      <c r="A748" s="10" t="s">
        <v>37</v>
      </c>
      <c r="B748" t="b">
        <v>0</v>
      </c>
      <c r="C748" t="b">
        <v>0</v>
      </c>
      <c r="D748" s="1">
        <v>0</v>
      </c>
      <c r="E748" s="1">
        <v>0</v>
      </c>
      <c r="F748" s="1">
        <v>0</v>
      </c>
      <c r="G748" s="1">
        <v>2198</v>
      </c>
      <c r="H748" s="1">
        <v>0</v>
      </c>
      <c r="I748" s="1">
        <v>0</v>
      </c>
      <c r="J748" s="1">
        <f t="shared" si="43"/>
        <v>2198</v>
      </c>
      <c r="K748" s="1">
        <v>0</v>
      </c>
      <c r="L748" s="1">
        <v>0</v>
      </c>
      <c r="M748" s="1">
        <v>0</v>
      </c>
      <c r="N748" s="1">
        <f t="shared" si="44"/>
        <v>0</v>
      </c>
      <c r="O748" s="14">
        <v>18</v>
      </c>
      <c r="P748" s="17">
        <f t="shared" si="42"/>
        <v>2198</v>
      </c>
      <c r="Q748" s="1">
        <v>0</v>
      </c>
      <c r="R748" s="1">
        <v>0</v>
      </c>
      <c r="S748" s="20">
        <v>38231</v>
      </c>
      <c r="T748" s="1">
        <v>2216</v>
      </c>
      <c r="U748" s="9">
        <v>2198</v>
      </c>
      <c r="V748" s="9" t="s">
        <v>41</v>
      </c>
    </row>
    <row r="749" spans="1:22" x14ac:dyDescent="0.25">
      <c r="A749" s="10" t="s">
        <v>37</v>
      </c>
      <c r="B749" t="b">
        <v>0</v>
      </c>
      <c r="C749" t="b">
        <v>0</v>
      </c>
      <c r="D749" s="1">
        <v>0</v>
      </c>
      <c r="E749" s="1">
        <v>0</v>
      </c>
      <c r="F749" s="1">
        <v>0</v>
      </c>
      <c r="G749" s="1">
        <v>2290</v>
      </c>
      <c r="H749" s="1">
        <v>0</v>
      </c>
      <c r="I749" s="1">
        <v>0</v>
      </c>
      <c r="J749" s="1">
        <f t="shared" si="43"/>
        <v>2290</v>
      </c>
      <c r="K749" s="1">
        <v>0</v>
      </c>
      <c r="L749" s="1">
        <v>0</v>
      </c>
      <c r="M749" s="1">
        <v>0</v>
      </c>
      <c r="N749" s="1">
        <f t="shared" si="44"/>
        <v>0</v>
      </c>
      <c r="O749" s="14">
        <v>20</v>
      </c>
      <c r="P749" s="17">
        <f t="shared" si="42"/>
        <v>2290</v>
      </c>
      <c r="Q749" s="1">
        <v>0</v>
      </c>
      <c r="R749" s="1">
        <v>0</v>
      </c>
      <c r="S749" s="20">
        <v>38261</v>
      </c>
      <c r="T749" s="1">
        <v>2310</v>
      </c>
      <c r="U749" s="9">
        <v>2290</v>
      </c>
      <c r="V749" s="9" t="s">
        <v>41</v>
      </c>
    </row>
    <row r="750" spans="1:22" x14ac:dyDescent="0.25">
      <c r="A750" s="10" t="s">
        <v>37</v>
      </c>
      <c r="B750" t="b">
        <v>0</v>
      </c>
      <c r="C750" t="b">
        <v>0</v>
      </c>
      <c r="D750" s="1">
        <v>0</v>
      </c>
      <c r="E750" s="1">
        <v>0</v>
      </c>
      <c r="F750" s="1">
        <v>0</v>
      </c>
      <c r="G750" s="1">
        <v>2170</v>
      </c>
      <c r="H750" s="1">
        <v>0</v>
      </c>
      <c r="I750" s="1">
        <v>0</v>
      </c>
      <c r="J750" s="1">
        <f t="shared" si="43"/>
        <v>2170</v>
      </c>
      <c r="K750" s="1">
        <v>0</v>
      </c>
      <c r="L750" s="1">
        <v>0</v>
      </c>
      <c r="M750" s="1">
        <v>0</v>
      </c>
      <c r="N750" s="1">
        <f t="shared" si="44"/>
        <v>0</v>
      </c>
      <c r="O750" s="14">
        <v>20</v>
      </c>
      <c r="P750" s="17">
        <f t="shared" si="42"/>
        <v>2170</v>
      </c>
      <c r="Q750" s="1">
        <v>0</v>
      </c>
      <c r="R750" s="1">
        <v>0</v>
      </c>
      <c r="S750" s="20">
        <v>38292</v>
      </c>
      <c r="T750" s="1">
        <v>2190</v>
      </c>
      <c r="U750" s="9">
        <v>2170</v>
      </c>
      <c r="V750" s="9" t="s">
        <v>41</v>
      </c>
    </row>
    <row r="751" spans="1:22" x14ac:dyDescent="0.25">
      <c r="A751" s="10" t="s">
        <v>37</v>
      </c>
      <c r="B751" t="b">
        <v>0</v>
      </c>
      <c r="C751" t="b">
        <v>0</v>
      </c>
      <c r="D751" s="1">
        <v>0</v>
      </c>
      <c r="E751" s="1">
        <v>0</v>
      </c>
      <c r="F751" s="1">
        <v>0</v>
      </c>
      <c r="G751" s="1">
        <v>2235</v>
      </c>
      <c r="H751" s="1">
        <v>0</v>
      </c>
      <c r="I751" s="1">
        <v>0</v>
      </c>
      <c r="J751" s="1">
        <f t="shared" si="43"/>
        <v>2235</v>
      </c>
      <c r="K751" s="1">
        <v>0</v>
      </c>
      <c r="L751" s="1">
        <v>0</v>
      </c>
      <c r="M751" s="1">
        <v>0</v>
      </c>
      <c r="N751" s="1">
        <f t="shared" si="44"/>
        <v>0</v>
      </c>
      <c r="O751" s="14">
        <v>16</v>
      </c>
      <c r="P751" s="17">
        <f t="shared" si="42"/>
        <v>2235</v>
      </c>
      <c r="Q751" s="1">
        <v>0</v>
      </c>
      <c r="R751" s="1">
        <v>0</v>
      </c>
      <c r="S751" s="20">
        <v>38322</v>
      </c>
      <c r="T751" s="1">
        <v>2251</v>
      </c>
      <c r="U751" s="9">
        <v>2235</v>
      </c>
      <c r="V751" s="9" t="s">
        <v>41</v>
      </c>
    </row>
    <row r="752" spans="1:22" x14ac:dyDescent="0.25">
      <c r="A752" s="10" t="s">
        <v>37</v>
      </c>
      <c r="B752" t="b">
        <v>0</v>
      </c>
      <c r="C752" t="b">
        <v>0</v>
      </c>
      <c r="D752" s="1">
        <v>0</v>
      </c>
      <c r="E752" s="1">
        <v>0</v>
      </c>
      <c r="F752" s="1">
        <v>0</v>
      </c>
      <c r="G752" s="1">
        <v>2318</v>
      </c>
      <c r="H752" s="1">
        <v>0</v>
      </c>
      <c r="I752" s="1">
        <v>0</v>
      </c>
      <c r="J752" s="1">
        <f t="shared" si="43"/>
        <v>2318</v>
      </c>
      <c r="K752" s="1">
        <v>0</v>
      </c>
      <c r="L752" s="1">
        <v>0</v>
      </c>
      <c r="M752" s="1">
        <v>0</v>
      </c>
      <c r="N752" s="1">
        <f t="shared" si="44"/>
        <v>0</v>
      </c>
      <c r="O752" s="14">
        <v>20</v>
      </c>
      <c r="P752" s="17">
        <f t="shared" si="42"/>
        <v>2318</v>
      </c>
      <c r="Q752" s="1">
        <v>0</v>
      </c>
      <c r="R752" s="1">
        <v>0</v>
      </c>
      <c r="S752" s="20">
        <v>38353</v>
      </c>
      <c r="T752" s="1">
        <v>2338</v>
      </c>
      <c r="U752" s="9">
        <v>2318</v>
      </c>
      <c r="V752" s="9" t="s">
        <v>21</v>
      </c>
    </row>
    <row r="753" spans="1:22" x14ac:dyDescent="0.25">
      <c r="A753" s="10" t="s">
        <v>37</v>
      </c>
      <c r="B753" t="b">
        <v>0</v>
      </c>
      <c r="C753" t="b">
        <v>0</v>
      </c>
      <c r="D753" s="1">
        <v>0</v>
      </c>
      <c r="E753" s="1">
        <v>0</v>
      </c>
      <c r="F753" s="1">
        <v>0</v>
      </c>
      <c r="G753" s="1">
        <v>2040</v>
      </c>
      <c r="H753" s="1">
        <v>0</v>
      </c>
      <c r="I753" s="1">
        <v>0</v>
      </c>
      <c r="J753" s="1">
        <f t="shared" si="43"/>
        <v>2040</v>
      </c>
      <c r="K753" s="1">
        <v>0</v>
      </c>
      <c r="L753" s="1">
        <v>0</v>
      </c>
      <c r="M753" s="1">
        <v>0</v>
      </c>
      <c r="N753" s="1">
        <f t="shared" si="44"/>
        <v>0</v>
      </c>
      <c r="O753" s="14">
        <v>16</v>
      </c>
      <c r="P753" s="17">
        <f t="shared" si="42"/>
        <v>2040</v>
      </c>
      <c r="Q753" s="1">
        <v>0</v>
      </c>
      <c r="R753" s="1">
        <v>0</v>
      </c>
      <c r="S753" s="20">
        <v>38384</v>
      </c>
      <c r="T753" s="1">
        <v>2056</v>
      </c>
      <c r="U753" s="9">
        <v>2040</v>
      </c>
      <c r="V753" s="9" t="s">
        <v>21</v>
      </c>
    </row>
    <row r="754" spans="1:22" x14ac:dyDescent="0.25">
      <c r="A754" s="10" t="s">
        <v>37</v>
      </c>
      <c r="B754" t="b">
        <v>0</v>
      </c>
      <c r="C754" t="b">
        <v>0</v>
      </c>
      <c r="D754" s="1">
        <v>0</v>
      </c>
      <c r="E754" s="1">
        <v>0</v>
      </c>
      <c r="F754" s="1">
        <v>0</v>
      </c>
      <c r="G754" s="1">
        <v>2235</v>
      </c>
      <c r="H754" s="1">
        <v>0</v>
      </c>
      <c r="I754" s="1">
        <v>0</v>
      </c>
      <c r="J754" s="1">
        <f t="shared" si="43"/>
        <v>2235</v>
      </c>
      <c r="K754" s="1">
        <v>0</v>
      </c>
      <c r="L754" s="1">
        <v>0</v>
      </c>
      <c r="M754" s="1">
        <v>0</v>
      </c>
      <c r="N754" s="1">
        <f t="shared" si="44"/>
        <v>0</v>
      </c>
      <c r="O754" s="14">
        <v>16</v>
      </c>
      <c r="P754" s="17">
        <f t="shared" si="42"/>
        <v>2235</v>
      </c>
      <c r="Q754" s="1">
        <v>0</v>
      </c>
      <c r="R754" s="1">
        <v>0</v>
      </c>
      <c r="S754" s="20">
        <v>38412</v>
      </c>
      <c r="T754" s="1">
        <v>2251</v>
      </c>
      <c r="U754" s="9">
        <v>2235</v>
      </c>
      <c r="V754" s="9" t="s">
        <v>21</v>
      </c>
    </row>
    <row r="755" spans="1:22" x14ac:dyDescent="0.25">
      <c r="A755" s="10" t="s">
        <v>37</v>
      </c>
      <c r="B755" t="b">
        <v>0</v>
      </c>
      <c r="C755" t="b">
        <v>0</v>
      </c>
      <c r="D755" s="1">
        <v>0</v>
      </c>
      <c r="E755" s="1">
        <v>0</v>
      </c>
      <c r="F755" s="1">
        <v>0</v>
      </c>
      <c r="G755" s="1">
        <v>2235</v>
      </c>
      <c r="H755" s="1">
        <v>0</v>
      </c>
      <c r="I755" s="1">
        <v>0</v>
      </c>
      <c r="J755" s="1">
        <f t="shared" si="43"/>
        <v>2235</v>
      </c>
      <c r="K755" s="1">
        <v>0</v>
      </c>
      <c r="L755" s="1">
        <v>0</v>
      </c>
      <c r="M755" s="1">
        <v>0</v>
      </c>
      <c r="N755" s="1">
        <f t="shared" si="44"/>
        <v>0</v>
      </c>
      <c r="O755" s="14">
        <v>16</v>
      </c>
      <c r="P755" s="17">
        <f t="shared" si="42"/>
        <v>2235</v>
      </c>
      <c r="Q755" s="1">
        <v>0</v>
      </c>
      <c r="R755" s="1">
        <v>0</v>
      </c>
      <c r="S755" s="20">
        <v>38443</v>
      </c>
      <c r="T755" s="1">
        <v>2251</v>
      </c>
      <c r="U755" s="9">
        <v>2235</v>
      </c>
      <c r="V755" s="9" t="s">
        <v>21</v>
      </c>
    </row>
    <row r="756" spans="1:22" x14ac:dyDescent="0.25">
      <c r="A756" s="10" t="s">
        <v>37</v>
      </c>
      <c r="B756" t="b">
        <v>0</v>
      </c>
      <c r="C756" t="b">
        <v>0</v>
      </c>
      <c r="D756" s="1">
        <v>0</v>
      </c>
      <c r="E756" s="1">
        <v>0</v>
      </c>
      <c r="F756" s="1">
        <v>0</v>
      </c>
      <c r="G756" s="1">
        <v>2263</v>
      </c>
      <c r="H756" s="1">
        <v>0</v>
      </c>
      <c r="I756" s="1">
        <v>0</v>
      </c>
      <c r="J756" s="1">
        <f t="shared" si="43"/>
        <v>2263</v>
      </c>
      <c r="K756" s="1">
        <v>0</v>
      </c>
      <c r="L756" s="1">
        <v>0</v>
      </c>
      <c r="M756" s="1">
        <v>0</v>
      </c>
      <c r="N756" s="1">
        <f t="shared" si="44"/>
        <v>0</v>
      </c>
      <c r="O756" s="14">
        <v>18</v>
      </c>
      <c r="P756" s="17">
        <f t="shared" si="42"/>
        <v>2263</v>
      </c>
      <c r="Q756" s="1">
        <v>0</v>
      </c>
      <c r="R756" s="1">
        <v>0</v>
      </c>
      <c r="S756" s="20">
        <v>38473</v>
      </c>
      <c r="T756" s="1">
        <v>2281</v>
      </c>
      <c r="U756" s="9">
        <v>2263</v>
      </c>
      <c r="V756" s="9" t="s">
        <v>21</v>
      </c>
    </row>
    <row r="757" spans="1:22" x14ac:dyDescent="0.25">
      <c r="A757" s="10" t="s">
        <v>37</v>
      </c>
      <c r="B757" t="b">
        <v>0</v>
      </c>
      <c r="C757" t="b">
        <v>0</v>
      </c>
      <c r="D757" s="1">
        <v>0</v>
      </c>
      <c r="E757" s="1">
        <v>0</v>
      </c>
      <c r="F757" s="1">
        <v>0</v>
      </c>
      <c r="G757" s="1">
        <v>2198</v>
      </c>
      <c r="H757" s="1">
        <v>0</v>
      </c>
      <c r="I757" s="1">
        <v>0</v>
      </c>
      <c r="J757" s="1">
        <f t="shared" si="43"/>
        <v>2198</v>
      </c>
      <c r="K757" s="1">
        <v>0</v>
      </c>
      <c r="L757" s="1">
        <v>0</v>
      </c>
      <c r="M757" s="1">
        <v>0</v>
      </c>
      <c r="N757" s="1">
        <f t="shared" si="44"/>
        <v>0</v>
      </c>
      <c r="O757" s="14">
        <v>18</v>
      </c>
      <c r="P757" s="17">
        <f t="shared" si="42"/>
        <v>2198</v>
      </c>
      <c r="Q757" s="1">
        <v>0</v>
      </c>
      <c r="R757" s="1">
        <v>0</v>
      </c>
      <c r="S757" s="20">
        <v>38504</v>
      </c>
      <c r="T757" s="1">
        <v>2216</v>
      </c>
      <c r="U757" s="9">
        <v>2198</v>
      </c>
      <c r="V757" s="9" t="s">
        <v>21</v>
      </c>
    </row>
    <row r="758" spans="1:22" x14ac:dyDescent="0.25">
      <c r="A758" s="10" t="s">
        <v>37</v>
      </c>
      <c r="B758" t="b">
        <v>0</v>
      </c>
      <c r="C758" t="b">
        <v>0</v>
      </c>
      <c r="D758" s="1">
        <v>0</v>
      </c>
      <c r="E758" s="1">
        <v>0</v>
      </c>
      <c r="F758" s="1">
        <v>0</v>
      </c>
      <c r="G758" s="1">
        <v>2290</v>
      </c>
      <c r="H758" s="1">
        <v>0</v>
      </c>
      <c r="I758" s="1">
        <v>0</v>
      </c>
      <c r="J758" s="1">
        <f t="shared" si="43"/>
        <v>2290</v>
      </c>
      <c r="K758" s="1">
        <v>0</v>
      </c>
      <c r="L758" s="1">
        <v>0</v>
      </c>
      <c r="M758" s="1">
        <v>0</v>
      </c>
      <c r="N758" s="1">
        <f t="shared" si="44"/>
        <v>0</v>
      </c>
      <c r="O758" s="14">
        <v>22</v>
      </c>
      <c r="P758" s="17">
        <f t="shared" si="42"/>
        <v>2290</v>
      </c>
      <c r="Q758" s="1">
        <v>0</v>
      </c>
      <c r="R758" s="1">
        <v>0</v>
      </c>
      <c r="S758" s="20">
        <v>38534</v>
      </c>
      <c r="T758" s="1">
        <v>2312</v>
      </c>
      <c r="U758" s="9">
        <v>2290</v>
      </c>
      <c r="V758" s="9" t="s">
        <v>21</v>
      </c>
    </row>
    <row r="759" spans="1:22" x14ac:dyDescent="0.25">
      <c r="A759" s="10" t="s">
        <v>37</v>
      </c>
      <c r="B759" t="b">
        <v>0</v>
      </c>
      <c r="C759" t="b">
        <v>0</v>
      </c>
      <c r="D759" s="1">
        <v>0</v>
      </c>
      <c r="E759" s="1">
        <v>0</v>
      </c>
      <c r="F759" s="1">
        <v>0</v>
      </c>
      <c r="G759" s="1">
        <v>2235</v>
      </c>
      <c r="H759" s="1">
        <v>0</v>
      </c>
      <c r="I759" s="1">
        <v>0</v>
      </c>
      <c r="J759" s="1">
        <f t="shared" si="43"/>
        <v>2235</v>
      </c>
      <c r="K759" s="1">
        <v>0</v>
      </c>
      <c r="L759" s="1">
        <v>0</v>
      </c>
      <c r="M759" s="1">
        <v>0</v>
      </c>
      <c r="N759" s="1">
        <f t="shared" si="44"/>
        <v>0</v>
      </c>
      <c r="O759" s="14">
        <v>16</v>
      </c>
      <c r="P759" s="17">
        <f t="shared" si="42"/>
        <v>2235</v>
      </c>
      <c r="Q759" s="1">
        <v>0</v>
      </c>
      <c r="R759" s="1">
        <v>0</v>
      </c>
      <c r="S759" s="20">
        <v>38565</v>
      </c>
      <c r="T759" s="1">
        <v>2251</v>
      </c>
      <c r="U759" s="9">
        <v>2235</v>
      </c>
      <c r="V759" s="9" t="s">
        <v>21</v>
      </c>
    </row>
    <row r="760" spans="1:22" x14ac:dyDescent="0.25">
      <c r="A760" s="10" t="s">
        <v>37</v>
      </c>
      <c r="B760" t="b">
        <v>0</v>
      </c>
      <c r="C760" t="b">
        <v>0</v>
      </c>
      <c r="D760" s="1">
        <v>0</v>
      </c>
      <c r="E760" s="1">
        <v>0</v>
      </c>
      <c r="F760" s="1">
        <v>0</v>
      </c>
      <c r="G760" s="1">
        <v>2198</v>
      </c>
      <c r="H760" s="1">
        <v>0</v>
      </c>
      <c r="I760" s="1">
        <v>0</v>
      </c>
      <c r="J760" s="1">
        <f t="shared" si="43"/>
        <v>2198</v>
      </c>
      <c r="K760" s="1">
        <v>0</v>
      </c>
      <c r="L760" s="1">
        <v>0</v>
      </c>
      <c r="M760" s="1">
        <v>0</v>
      </c>
      <c r="N760" s="1">
        <f t="shared" si="44"/>
        <v>0</v>
      </c>
      <c r="O760" s="14">
        <v>18</v>
      </c>
      <c r="P760" s="17">
        <f t="shared" si="42"/>
        <v>2198</v>
      </c>
      <c r="Q760" s="1">
        <v>0</v>
      </c>
      <c r="R760" s="1">
        <v>0</v>
      </c>
      <c r="S760" s="20">
        <v>38596</v>
      </c>
      <c r="T760" s="1">
        <v>2216</v>
      </c>
      <c r="U760" s="9">
        <v>2198</v>
      </c>
      <c r="V760" s="9" t="s">
        <v>21</v>
      </c>
    </row>
    <row r="761" spans="1:22" x14ac:dyDescent="0.25">
      <c r="A761" s="10" t="s">
        <v>37</v>
      </c>
      <c r="B761" t="b">
        <v>0</v>
      </c>
      <c r="C761" t="b">
        <v>0</v>
      </c>
      <c r="D761" s="1">
        <v>0</v>
      </c>
      <c r="E761" s="1">
        <v>0</v>
      </c>
      <c r="F761" s="1">
        <v>0</v>
      </c>
      <c r="G761" s="1">
        <v>2290</v>
      </c>
      <c r="H761" s="1">
        <v>0</v>
      </c>
      <c r="I761" s="1">
        <v>0</v>
      </c>
      <c r="J761" s="1">
        <f t="shared" si="43"/>
        <v>2290</v>
      </c>
      <c r="K761" s="1">
        <v>0</v>
      </c>
      <c r="L761" s="1">
        <v>0</v>
      </c>
      <c r="M761" s="1">
        <v>0</v>
      </c>
      <c r="N761" s="1">
        <f t="shared" si="44"/>
        <v>0</v>
      </c>
      <c r="O761" s="14">
        <v>20</v>
      </c>
      <c r="P761" s="17">
        <f t="shared" si="42"/>
        <v>2290</v>
      </c>
      <c r="Q761" s="1">
        <v>0</v>
      </c>
      <c r="R761" s="1">
        <v>0</v>
      </c>
      <c r="S761" s="20">
        <v>38626</v>
      </c>
      <c r="T761" s="1">
        <v>2310</v>
      </c>
      <c r="U761" s="9">
        <v>2290</v>
      </c>
      <c r="V761" s="9" t="s">
        <v>21</v>
      </c>
    </row>
    <row r="762" spans="1:22" x14ac:dyDescent="0.25">
      <c r="A762" s="10" t="s">
        <v>37</v>
      </c>
      <c r="B762" t="b">
        <v>0</v>
      </c>
      <c r="C762" t="b">
        <v>0</v>
      </c>
      <c r="D762" s="1">
        <v>0</v>
      </c>
      <c r="E762" s="1">
        <v>0</v>
      </c>
      <c r="F762" s="1">
        <v>0</v>
      </c>
      <c r="G762" s="1">
        <v>2170</v>
      </c>
      <c r="H762" s="1">
        <v>0</v>
      </c>
      <c r="I762" s="1">
        <v>0</v>
      </c>
      <c r="J762" s="1">
        <f t="shared" si="43"/>
        <v>2170</v>
      </c>
      <c r="K762" s="1">
        <v>0</v>
      </c>
      <c r="L762" s="1">
        <v>0</v>
      </c>
      <c r="M762" s="1">
        <v>0</v>
      </c>
      <c r="N762" s="1">
        <f t="shared" si="44"/>
        <v>0</v>
      </c>
      <c r="O762" s="14">
        <v>16</v>
      </c>
      <c r="P762" s="17">
        <f t="shared" si="42"/>
        <v>2170</v>
      </c>
      <c r="Q762" s="1">
        <v>0</v>
      </c>
      <c r="R762" s="1">
        <v>0</v>
      </c>
      <c r="S762" s="20">
        <v>38657</v>
      </c>
      <c r="T762" s="1">
        <v>2186</v>
      </c>
      <c r="U762" s="9">
        <v>2170</v>
      </c>
      <c r="V762" s="9" t="s">
        <v>21</v>
      </c>
    </row>
    <row r="763" spans="1:22" x14ac:dyDescent="0.25">
      <c r="A763" s="10" t="s">
        <v>37</v>
      </c>
      <c r="B763" t="b">
        <v>0</v>
      </c>
      <c r="C763" t="b">
        <v>0</v>
      </c>
      <c r="D763" s="1">
        <v>0</v>
      </c>
      <c r="E763" s="1">
        <v>0</v>
      </c>
      <c r="F763" s="1">
        <v>0</v>
      </c>
      <c r="G763" s="1">
        <v>2290</v>
      </c>
      <c r="H763" s="1">
        <v>0</v>
      </c>
      <c r="I763" s="1">
        <v>0</v>
      </c>
      <c r="J763" s="1">
        <f t="shared" si="43"/>
        <v>2290</v>
      </c>
      <c r="K763" s="1">
        <v>0</v>
      </c>
      <c r="L763" s="1">
        <v>0</v>
      </c>
      <c r="M763" s="1">
        <v>0</v>
      </c>
      <c r="N763" s="1">
        <f t="shared" si="44"/>
        <v>0</v>
      </c>
      <c r="O763" s="14">
        <v>18</v>
      </c>
      <c r="P763" s="17">
        <f t="shared" si="42"/>
        <v>2290</v>
      </c>
      <c r="Q763" s="1">
        <v>0</v>
      </c>
      <c r="R763" s="1">
        <v>0</v>
      </c>
      <c r="S763" s="20">
        <v>38687</v>
      </c>
      <c r="T763" s="1">
        <v>2308</v>
      </c>
      <c r="U763" s="9">
        <v>2290</v>
      </c>
      <c r="V763" s="9" t="s">
        <v>21</v>
      </c>
    </row>
    <row r="764" spans="1:22" x14ac:dyDescent="0.25">
      <c r="A764" s="10" t="s">
        <v>37</v>
      </c>
      <c r="B764" t="b">
        <v>0</v>
      </c>
      <c r="C764" t="b">
        <v>0</v>
      </c>
      <c r="D764" s="1">
        <v>0</v>
      </c>
      <c r="E764" s="1">
        <v>0</v>
      </c>
      <c r="F764" s="1">
        <v>0</v>
      </c>
      <c r="G764" s="1">
        <v>2290</v>
      </c>
      <c r="H764" s="1">
        <v>0</v>
      </c>
      <c r="I764" s="1">
        <v>0</v>
      </c>
      <c r="J764" s="1">
        <f t="shared" si="43"/>
        <v>2290</v>
      </c>
      <c r="K764" s="1">
        <v>0</v>
      </c>
      <c r="L764" s="1">
        <v>0</v>
      </c>
      <c r="M764" s="1">
        <v>0</v>
      </c>
      <c r="N764" s="1">
        <f t="shared" si="44"/>
        <v>0</v>
      </c>
      <c r="O764" s="14">
        <v>18</v>
      </c>
      <c r="P764" s="17">
        <f t="shared" si="42"/>
        <v>2290</v>
      </c>
      <c r="Q764" s="1">
        <v>0</v>
      </c>
      <c r="R764" s="1">
        <v>0</v>
      </c>
      <c r="S764" s="20">
        <v>38718</v>
      </c>
      <c r="T764" s="1">
        <v>2308</v>
      </c>
      <c r="U764" s="9">
        <v>2290</v>
      </c>
      <c r="V764" s="9" t="s">
        <v>21</v>
      </c>
    </row>
    <row r="765" spans="1:22" x14ac:dyDescent="0.25">
      <c r="A765" s="10" t="s">
        <v>37</v>
      </c>
      <c r="B765" t="b">
        <v>0</v>
      </c>
      <c r="C765" t="b">
        <v>0</v>
      </c>
      <c r="D765" s="1">
        <v>0</v>
      </c>
      <c r="E765" s="1">
        <v>0</v>
      </c>
      <c r="F765" s="1">
        <v>0</v>
      </c>
      <c r="G765" s="1">
        <v>2040</v>
      </c>
      <c r="H765" s="1">
        <v>0</v>
      </c>
      <c r="I765" s="1">
        <v>0</v>
      </c>
      <c r="J765" s="1">
        <f t="shared" si="43"/>
        <v>2040</v>
      </c>
      <c r="K765" s="1">
        <v>0</v>
      </c>
      <c r="L765" s="1">
        <v>0</v>
      </c>
      <c r="M765" s="1">
        <v>0</v>
      </c>
      <c r="N765" s="1">
        <f t="shared" si="44"/>
        <v>0</v>
      </c>
      <c r="O765" s="14">
        <v>16</v>
      </c>
      <c r="P765" s="17">
        <f t="shared" si="42"/>
        <v>2040</v>
      </c>
      <c r="Q765" s="1">
        <v>0</v>
      </c>
      <c r="R765" s="1">
        <v>0</v>
      </c>
      <c r="S765" s="20">
        <v>38749</v>
      </c>
      <c r="T765" s="1">
        <v>2056</v>
      </c>
      <c r="U765" s="9">
        <v>2040</v>
      </c>
      <c r="V765" s="9" t="s">
        <v>21</v>
      </c>
    </row>
    <row r="766" spans="1:22" x14ac:dyDescent="0.25">
      <c r="A766" s="10" t="s">
        <v>37</v>
      </c>
      <c r="B766" t="b">
        <v>0</v>
      </c>
      <c r="C766" t="b">
        <v>0</v>
      </c>
      <c r="D766" s="1">
        <v>0</v>
      </c>
      <c r="E766" s="1">
        <v>0</v>
      </c>
      <c r="F766" s="1">
        <v>0</v>
      </c>
      <c r="G766" s="1">
        <v>2170</v>
      </c>
      <c r="H766" s="1">
        <v>0</v>
      </c>
      <c r="I766" s="1">
        <v>0</v>
      </c>
      <c r="J766" s="1">
        <f t="shared" si="43"/>
        <v>2170</v>
      </c>
      <c r="K766" s="1">
        <v>0</v>
      </c>
      <c r="L766" s="1">
        <v>0</v>
      </c>
      <c r="M766" s="1">
        <v>0</v>
      </c>
      <c r="N766" s="1">
        <f t="shared" si="44"/>
        <v>0</v>
      </c>
      <c r="O766" s="14">
        <v>16</v>
      </c>
      <c r="P766" s="17">
        <f t="shared" si="42"/>
        <v>2170</v>
      </c>
      <c r="Q766" s="1">
        <v>0</v>
      </c>
      <c r="R766" s="1">
        <v>0</v>
      </c>
      <c r="S766" s="20">
        <v>38777</v>
      </c>
      <c r="T766" s="1">
        <v>2186</v>
      </c>
      <c r="U766" s="9">
        <v>2170</v>
      </c>
      <c r="V766" s="9" t="s">
        <v>21</v>
      </c>
    </row>
    <row r="767" spans="1:22" x14ac:dyDescent="0.25">
      <c r="A767" s="10" t="s">
        <v>37</v>
      </c>
      <c r="B767" t="b">
        <v>0</v>
      </c>
      <c r="C767" t="b">
        <v>0</v>
      </c>
      <c r="D767" s="1">
        <v>0</v>
      </c>
      <c r="E767" s="1">
        <v>0</v>
      </c>
      <c r="F767" s="1">
        <v>0</v>
      </c>
      <c r="G767" s="1">
        <v>2225</v>
      </c>
      <c r="H767" s="1">
        <v>0</v>
      </c>
      <c r="I767" s="1">
        <v>0</v>
      </c>
      <c r="J767" s="1">
        <f t="shared" si="43"/>
        <v>2225</v>
      </c>
      <c r="K767" s="1">
        <v>0</v>
      </c>
      <c r="L767" s="1">
        <v>0</v>
      </c>
      <c r="M767" s="1">
        <v>0</v>
      </c>
      <c r="N767" s="1">
        <f t="shared" si="44"/>
        <v>0</v>
      </c>
      <c r="O767" s="14">
        <v>20</v>
      </c>
      <c r="P767" s="17">
        <f t="shared" si="42"/>
        <v>2225</v>
      </c>
      <c r="Q767" s="1">
        <v>0</v>
      </c>
      <c r="R767" s="1">
        <v>0</v>
      </c>
      <c r="S767" s="20">
        <v>38808</v>
      </c>
      <c r="T767" s="1">
        <v>2245</v>
      </c>
      <c r="U767" s="9">
        <v>2225</v>
      </c>
      <c r="V767" s="9" t="s">
        <v>21</v>
      </c>
    </row>
    <row r="768" spans="1:22" x14ac:dyDescent="0.25">
      <c r="A768" s="10" t="s">
        <v>37</v>
      </c>
      <c r="B768" t="b">
        <v>0</v>
      </c>
      <c r="C768" t="b">
        <v>0</v>
      </c>
      <c r="D768" s="1">
        <v>0</v>
      </c>
      <c r="E768" s="1">
        <v>0</v>
      </c>
      <c r="F768" s="1">
        <v>0</v>
      </c>
      <c r="G768" s="1">
        <v>2235</v>
      </c>
      <c r="H768" s="1">
        <v>0</v>
      </c>
      <c r="I768" s="1">
        <v>0</v>
      </c>
      <c r="J768" s="1">
        <f t="shared" si="43"/>
        <v>2235</v>
      </c>
      <c r="K768" s="1">
        <v>0</v>
      </c>
      <c r="L768" s="1">
        <v>0</v>
      </c>
      <c r="M768" s="1">
        <v>0</v>
      </c>
      <c r="N768" s="1">
        <f t="shared" si="44"/>
        <v>0</v>
      </c>
      <c r="O768" s="14">
        <v>0</v>
      </c>
      <c r="P768" s="17">
        <f t="shared" si="42"/>
        <v>2235</v>
      </c>
      <c r="Q768" s="1">
        <v>0</v>
      </c>
      <c r="R768" s="1">
        <v>0</v>
      </c>
      <c r="S768" s="20">
        <v>38838</v>
      </c>
      <c r="T768" s="1">
        <v>2235</v>
      </c>
      <c r="U768" s="9">
        <v>2235</v>
      </c>
      <c r="V768" s="9" t="s">
        <v>21</v>
      </c>
    </row>
    <row r="769" spans="1:22" x14ac:dyDescent="0.25">
      <c r="A769" s="10" t="s">
        <v>37</v>
      </c>
      <c r="B769" t="b">
        <v>0</v>
      </c>
      <c r="C769" t="b">
        <v>0</v>
      </c>
      <c r="D769" s="1">
        <v>0</v>
      </c>
      <c r="E769" s="1">
        <v>0</v>
      </c>
      <c r="F769" s="1">
        <v>0</v>
      </c>
      <c r="G769" s="1">
        <v>2170</v>
      </c>
      <c r="H769" s="1">
        <v>0</v>
      </c>
      <c r="I769" s="1">
        <v>0</v>
      </c>
      <c r="J769" s="1">
        <f t="shared" si="43"/>
        <v>2170</v>
      </c>
      <c r="K769" s="1">
        <v>0</v>
      </c>
      <c r="L769" s="1">
        <v>0</v>
      </c>
      <c r="M769" s="1">
        <v>0</v>
      </c>
      <c r="N769" s="1">
        <f t="shared" si="44"/>
        <v>0</v>
      </c>
      <c r="O769" s="14">
        <v>16</v>
      </c>
      <c r="P769" s="17">
        <f t="shared" si="42"/>
        <v>2170</v>
      </c>
      <c r="Q769" s="1">
        <v>0</v>
      </c>
      <c r="R769" s="1">
        <v>0</v>
      </c>
      <c r="S769" s="20">
        <v>38869</v>
      </c>
      <c r="T769" s="1">
        <v>2186</v>
      </c>
      <c r="U769" s="9">
        <v>2170</v>
      </c>
      <c r="V769" s="9" t="s">
        <v>21</v>
      </c>
    </row>
    <row r="770" spans="1:22" x14ac:dyDescent="0.25">
      <c r="A770" s="10" t="s">
        <v>37</v>
      </c>
      <c r="B770" t="b">
        <v>0</v>
      </c>
      <c r="C770" t="b">
        <v>0</v>
      </c>
      <c r="D770" s="1">
        <v>0</v>
      </c>
      <c r="E770" s="1">
        <v>0</v>
      </c>
      <c r="F770" s="1">
        <v>0</v>
      </c>
      <c r="G770" s="1">
        <v>2290</v>
      </c>
      <c r="H770" s="1">
        <v>0</v>
      </c>
      <c r="I770" s="1">
        <v>0</v>
      </c>
      <c r="J770" s="1">
        <f t="shared" si="43"/>
        <v>2290</v>
      </c>
      <c r="K770" s="1">
        <v>0</v>
      </c>
      <c r="L770" s="1">
        <v>0</v>
      </c>
      <c r="M770" s="1">
        <v>0</v>
      </c>
      <c r="N770" s="1">
        <f t="shared" si="44"/>
        <v>0</v>
      </c>
      <c r="O770" s="14">
        <v>20</v>
      </c>
      <c r="P770" s="17">
        <f t="shared" si="42"/>
        <v>2290</v>
      </c>
      <c r="Q770" s="1">
        <v>0</v>
      </c>
      <c r="R770" s="1">
        <v>0</v>
      </c>
      <c r="S770" s="20">
        <v>38899</v>
      </c>
      <c r="T770" s="1">
        <v>2310</v>
      </c>
      <c r="U770" s="9">
        <v>2290</v>
      </c>
      <c r="V770" s="9" t="s">
        <v>21</v>
      </c>
    </row>
    <row r="771" spans="1:22" x14ac:dyDescent="0.25">
      <c r="A771" s="10" t="s">
        <v>37</v>
      </c>
      <c r="B771" t="b">
        <v>0</v>
      </c>
      <c r="C771" t="b">
        <v>0</v>
      </c>
      <c r="D771" s="1">
        <v>0</v>
      </c>
      <c r="E771" s="1">
        <v>0</v>
      </c>
      <c r="F771" s="1">
        <v>0</v>
      </c>
      <c r="G771" s="1">
        <v>2235</v>
      </c>
      <c r="H771" s="1">
        <v>0</v>
      </c>
      <c r="I771" s="1">
        <v>0</v>
      </c>
      <c r="J771" s="1">
        <f t="shared" si="43"/>
        <v>2235</v>
      </c>
      <c r="K771" s="1">
        <v>0</v>
      </c>
      <c r="L771" s="1">
        <v>0</v>
      </c>
      <c r="M771" s="1">
        <v>0</v>
      </c>
      <c r="N771" s="1">
        <f t="shared" si="44"/>
        <v>0</v>
      </c>
      <c r="O771" s="14">
        <v>17</v>
      </c>
      <c r="P771" s="17">
        <f t="shared" si="42"/>
        <v>2235</v>
      </c>
      <c r="Q771" s="1">
        <v>0</v>
      </c>
      <c r="R771" s="1">
        <v>0</v>
      </c>
      <c r="S771" s="20">
        <v>38930</v>
      </c>
      <c r="T771" s="1">
        <v>2252</v>
      </c>
      <c r="U771" s="9">
        <v>2235</v>
      </c>
      <c r="V771" s="9" t="s">
        <v>21</v>
      </c>
    </row>
    <row r="772" spans="1:22" x14ac:dyDescent="0.25">
      <c r="A772" s="10" t="s">
        <v>37</v>
      </c>
      <c r="B772" t="b">
        <v>0</v>
      </c>
      <c r="C772" t="b">
        <v>0</v>
      </c>
      <c r="D772" s="1">
        <v>0</v>
      </c>
      <c r="E772" s="1">
        <v>0</v>
      </c>
      <c r="F772" s="1">
        <v>0</v>
      </c>
      <c r="G772" s="1">
        <v>2225</v>
      </c>
      <c r="H772" s="1">
        <v>0</v>
      </c>
      <c r="I772" s="1">
        <v>0</v>
      </c>
      <c r="J772" s="1">
        <f t="shared" si="43"/>
        <v>2225</v>
      </c>
      <c r="K772" s="1">
        <v>0</v>
      </c>
      <c r="L772" s="1">
        <v>0</v>
      </c>
      <c r="M772" s="1">
        <v>0</v>
      </c>
      <c r="N772" s="1">
        <f t="shared" si="44"/>
        <v>0</v>
      </c>
      <c r="O772" s="14">
        <v>20</v>
      </c>
      <c r="P772" s="17">
        <f t="shared" si="42"/>
        <v>2225</v>
      </c>
      <c r="Q772" s="1">
        <v>0</v>
      </c>
      <c r="R772" s="1">
        <v>0</v>
      </c>
      <c r="S772" s="20">
        <v>38961</v>
      </c>
      <c r="T772" s="1">
        <v>2245</v>
      </c>
      <c r="U772" s="9">
        <v>2225</v>
      </c>
      <c r="V772" s="9" t="s">
        <v>21</v>
      </c>
    </row>
    <row r="773" spans="1:22" x14ac:dyDescent="0.25">
      <c r="A773" s="10" t="s">
        <v>37</v>
      </c>
      <c r="B773" t="b">
        <v>0</v>
      </c>
      <c r="C773" t="b">
        <v>0</v>
      </c>
      <c r="D773" s="1">
        <v>0</v>
      </c>
      <c r="E773" s="1">
        <v>0</v>
      </c>
      <c r="F773" s="1">
        <v>0</v>
      </c>
      <c r="G773" s="1">
        <v>2263</v>
      </c>
      <c r="H773" s="1">
        <v>0</v>
      </c>
      <c r="I773" s="1">
        <v>0</v>
      </c>
      <c r="J773" s="1">
        <f t="shared" si="43"/>
        <v>2263</v>
      </c>
      <c r="K773" s="1">
        <v>0</v>
      </c>
      <c r="L773" s="1">
        <v>0</v>
      </c>
      <c r="M773" s="1">
        <v>0</v>
      </c>
      <c r="N773" s="1">
        <f t="shared" si="44"/>
        <v>0</v>
      </c>
      <c r="O773" s="14">
        <v>18</v>
      </c>
      <c r="P773" s="17">
        <f t="shared" si="42"/>
        <v>2263</v>
      </c>
      <c r="Q773" s="1">
        <v>0</v>
      </c>
      <c r="R773" s="1">
        <v>0</v>
      </c>
      <c r="S773" s="20">
        <v>38991</v>
      </c>
      <c r="T773" s="1">
        <v>2281</v>
      </c>
      <c r="U773" s="9">
        <v>2263</v>
      </c>
      <c r="V773" s="9" t="s">
        <v>21</v>
      </c>
    </row>
    <row r="774" spans="1:22" x14ac:dyDescent="0.25">
      <c r="A774" s="10" t="s">
        <v>37</v>
      </c>
      <c r="B774" t="b">
        <v>0</v>
      </c>
      <c r="C774" t="b">
        <v>0</v>
      </c>
      <c r="D774" s="1">
        <v>0</v>
      </c>
      <c r="E774" s="1">
        <v>0</v>
      </c>
      <c r="F774" s="1">
        <v>0</v>
      </c>
      <c r="G774" s="1">
        <v>2040</v>
      </c>
      <c r="H774" s="1">
        <v>0</v>
      </c>
      <c r="I774" s="1">
        <v>0</v>
      </c>
      <c r="J774" s="1">
        <f t="shared" si="43"/>
        <v>2040</v>
      </c>
      <c r="K774" s="1">
        <v>0</v>
      </c>
      <c r="L774" s="1">
        <v>0</v>
      </c>
      <c r="M774" s="1">
        <v>0</v>
      </c>
      <c r="N774" s="1">
        <f t="shared" si="44"/>
        <v>0</v>
      </c>
      <c r="O774" s="14">
        <v>16</v>
      </c>
      <c r="P774" s="17">
        <f t="shared" ref="P774:P837" si="45">J774</f>
        <v>2040</v>
      </c>
      <c r="Q774" s="1">
        <v>0</v>
      </c>
      <c r="R774" s="1">
        <v>0</v>
      </c>
      <c r="S774" s="20">
        <v>39022</v>
      </c>
      <c r="T774" s="1">
        <v>2056</v>
      </c>
      <c r="U774" s="9">
        <v>2040</v>
      </c>
      <c r="V774" s="9" t="s">
        <v>21</v>
      </c>
    </row>
    <row r="775" spans="1:22" x14ac:dyDescent="0.25">
      <c r="A775" s="10" t="s">
        <v>37</v>
      </c>
      <c r="B775" t="b">
        <v>0</v>
      </c>
      <c r="C775" t="b">
        <v>0</v>
      </c>
      <c r="D775" s="1">
        <v>0</v>
      </c>
      <c r="E775" s="1">
        <v>0</v>
      </c>
      <c r="F775" s="1">
        <v>0</v>
      </c>
      <c r="G775" s="1">
        <v>1780</v>
      </c>
      <c r="H775" s="1">
        <v>0</v>
      </c>
      <c r="I775" s="1">
        <v>0</v>
      </c>
      <c r="J775" s="1">
        <f t="shared" ref="J775:J838" si="46">D775+E775+F775+G775+H775+I775</f>
        <v>1780</v>
      </c>
      <c r="K775" s="1">
        <v>0</v>
      </c>
      <c r="L775" s="1">
        <v>0</v>
      </c>
      <c r="M775" s="1">
        <v>0</v>
      </c>
      <c r="N775" s="1">
        <f t="shared" si="44"/>
        <v>0</v>
      </c>
      <c r="O775" s="14">
        <v>0</v>
      </c>
      <c r="P775" s="17">
        <f t="shared" si="45"/>
        <v>1780</v>
      </c>
      <c r="Q775" s="1">
        <v>0</v>
      </c>
      <c r="R775" s="1">
        <v>0</v>
      </c>
      <c r="S775" s="20">
        <v>39052</v>
      </c>
      <c r="T775" s="1">
        <v>1780</v>
      </c>
      <c r="U775" s="9">
        <v>1780</v>
      </c>
      <c r="V775" s="9" t="s">
        <v>21</v>
      </c>
    </row>
    <row r="776" spans="1:22" x14ac:dyDescent="0.25">
      <c r="A776" s="10" t="s">
        <v>37</v>
      </c>
      <c r="B776" t="b">
        <v>0</v>
      </c>
      <c r="C776" t="b">
        <v>0</v>
      </c>
      <c r="D776" s="1">
        <v>0</v>
      </c>
      <c r="E776" s="1">
        <v>0</v>
      </c>
      <c r="F776" s="1">
        <v>0</v>
      </c>
      <c r="G776" s="1">
        <v>1283</v>
      </c>
      <c r="H776" s="1">
        <v>0</v>
      </c>
      <c r="I776" s="1">
        <v>0</v>
      </c>
      <c r="J776" s="1">
        <f t="shared" si="46"/>
        <v>1283</v>
      </c>
      <c r="K776" s="1">
        <v>0</v>
      </c>
      <c r="L776" s="1">
        <v>0</v>
      </c>
      <c r="M776" s="1">
        <v>0</v>
      </c>
      <c r="N776" s="1">
        <f t="shared" si="44"/>
        <v>0</v>
      </c>
      <c r="O776" s="14">
        <v>16</v>
      </c>
      <c r="P776" s="17">
        <f t="shared" si="45"/>
        <v>1283</v>
      </c>
      <c r="Q776" s="1">
        <v>0</v>
      </c>
      <c r="R776" s="1">
        <v>0</v>
      </c>
      <c r="S776" s="20">
        <v>39083</v>
      </c>
      <c r="T776" s="1">
        <v>1299</v>
      </c>
      <c r="U776" s="9">
        <v>1283</v>
      </c>
      <c r="V776" s="9" t="s">
        <v>41</v>
      </c>
    </row>
    <row r="777" spans="1:22" x14ac:dyDescent="0.25">
      <c r="A777" s="10" t="s">
        <v>37</v>
      </c>
      <c r="B777" t="b">
        <v>0</v>
      </c>
      <c r="C777" t="b">
        <v>0</v>
      </c>
      <c r="D777" s="1">
        <v>0</v>
      </c>
      <c r="E777" s="1">
        <v>0</v>
      </c>
      <c r="F777" s="1">
        <v>0</v>
      </c>
      <c r="G777" s="1">
        <v>2040</v>
      </c>
      <c r="H777" s="1">
        <v>0</v>
      </c>
      <c r="I777" s="1">
        <v>0</v>
      </c>
      <c r="J777" s="1">
        <f t="shared" si="46"/>
        <v>2040</v>
      </c>
      <c r="K777" s="1">
        <v>0</v>
      </c>
      <c r="L777" s="1">
        <v>0</v>
      </c>
      <c r="M777" s="1">
        <v>0</v>
      </c>
      <c r="N777" s="1">
        <f t="shared" si="44"/>
        <v>0</v>
      </c>
      <c r="O777" s="14">
        <v>16</v>
      </c>
      <c r="P777" s="17">
        <f t="shared" si="45"/>
        <v>2040</v>
      </c>
      <c r="Q777" s="1">
        <v>0</v>
      </c>
      <c r="R777" s="1">
        <v>0</v>
      </c>
      <c r="S777" s="20">
        <v>39114</v>
      </c>
      <c r="T777" s="1">
        <v>2056</v>
      </c>
      <c r="U777" s="9">
        <v>2040</v>
      </c>
      <c r="V777" s="9" t="s">
        <v>41</v>
      </c>
    </row>
    <row r="778" spans="1:22" x14ac:dyDescent="0.25">
      <c r="A778" s="10" t="s">
        <v>37</v>
      </c>
      <c r="B778" t="b">
        <v>0</v>
      </c>
      <c r="C778" t="b">
        <v>0</v>
      </c>
      <c r="D778" s="1">
        <v>0</v>
      </c>
      <c r="E778" s="1">
        <v>0</v>
      </c>
      <c r="F778" s="1">
        <v>0</v>
      </c>
      <c r="G778" s="1">
        <v>2170</v>
      </c>
      <c r="H778" s="1">
        <v>0</v>
      </c>
      <c r="I778" s="1">
        <v>0</v>
      </c>
      <c r="J778" s="1">
        <f t="shared" si="46"/>
        <v>2170</v>
      </c>
      <c r="K778" s="1">
        <v>0</v>
      </c>
      <c r="L778" s="1">
        <v>0</v>
      </c>
      <c r="M778" s="1">
        <v>0</v>
      </c>
      <c r="N778" s="1">
        <f t="shared" si="44"/>
        <v>0</v>
      </c>
      <c r="O778" s="14">
        <v>20</v>
      </c>
      <c r="P778" s="17">
        <f t="shared" si="45"/>
        <v>2170</v>
      </c>
      <c r="Q778" s="1">
        <v>0</v>
      </c>
      <c r="R778" s="1">
        <v>0</v>
      </c>
      <c r="S778" s="20">
        <v>39142</v>
      </c>
      <c r="T778" s="1">
        <v>2190</v>
      </c>
      <c r="U778" s="9">
        <v>2170</v>
      </c>
      <c r="V778" s="9" t="s">
        <v>41</v>
      </c>
    </row>
    <row r="779" spans="1:22" x14ac:dyDescent="0.25">
      <c r="A779" s="10" t="s">
        <v>37</v>
      </c>
      <c r="B779" t="b">
        <v>0</v>
      </c>
      <c r="C779" t="b">
        <v>0</v>
      </c>
      <c r="D779" s="1">
        <v>0</v>
      </c>
      <c r="E779" s="1">
        <v>0</v>
      </c>
      <c r="F779" s="1">
        <v>0</v>
      </c>
      <c r="G779" s="1">
        <v>2225</v>
      </c>
      <c r="H779" s="1">
        <v>0</v>
      </c>
      <c r="I779" s="1">
        <v>0</v>
      </c>
      <c r="J779" s="1">
        <f t="shared" si="46"/>
        <v>2225</v>
      </c>
      <c r="K779" s="1">
        <v>0</v>
      </c>
      <c r="L779" s="1">
        <v>0</v>
      </c>
      <c r="M779" s="1">
        <v>0</v>
      </c>
      <c r="N779" s="1">
        <f t="shared" si="44"/>
        <v>0</v>
      </c>
      <c r="O779" s="14">
        <v>20</v>
      </c>
      <c r="P779" s="17">
        <f t="shared" si="45"/>
        <v>2225</v>
      </c>
      <c r="Q779" s="1">
        <v>0</v>
      </c>
      <c r="R779" s="1">
        <v>0</v>
      </c>
      <c r="S779" s="20">
        <v>39173</v>
      </c>
      <c r="T779" s="1">
        <v>2245</v>
      </c>
      <c r="U779" s="9">
        <v>2225</v>
      </c>
      <c r="V779" s="9" t="s">
        <v>41</v>
      </c>
    </row>
    <row r="780" spans="1:22" x14ac:dyDescent="0.25">
      <c r="A780" s="10" t="s">
        <v>37</v>
      </c>
      <c r="B780" t="b">
        <v>0</v>
      </c>
      <c r="C780" t="b">
        <v>0</v>
      </c>
      <c r="D780" s="1">
        <v>0</v>
      </c>
      <c r="E780" s="1">
        <v>0</v>
      </c>
      <c r="F780" s="1">
        <v>0</v>
      </c>
      <c r="G780" s="1">
        <v>2215</v>
      </c>
      <c r="H780" s="1">
        <v>0</v>
      </c>
      <c r="I780" s="1">
        <v>0</v>
      </c>
      <c r="J780" s="1">
        <f t="shared" si="46"/>
        <v>2215</v>
      </c>
      <c r="K780" s="1">
        <v>0</v>
      </c>
      <c r="L780" s="1">
        <v>0</v>
      </c>
      <c r="M780" s="1">
        <v>0</v>
      </c>
      <c r="N780" s="1">
        <f t="shared" si="44"/>
        <v>0</v>
      </c>
      <c r="O780" s="14">
        <v>19</v>
      </c>
      <c r="P780" s="17">
        <f t="shared" si="45"/>
        <v>2215</v>
      </c>
      <c r="Q780" s="1">
        <v>0</v>
      </c>
      <c r="R780" s="1">
        <v>0</v>
      </c>
      <c r="S780" s="20">
        <v>39203</v>
      </c>
      <c r="T780" s="1">
        <v>2234</v>
      </c>
      <c r="U780" s="9">
        <v>2215</v>
      </c>
      <c r="V780" s="9" t="s">
        <v>41</v>
      </c>
    </row>
    <row r="781" spans="1:22" x14ac:dyDescent="0.25">
      <c r="A781" s="10" t="s">
        <v>37</v>
      </c>
      <c r="B781" t="b">
        <v>0</v>
      </c>
      <c r="C781" t="b">
        <v>0</v>
      </c>
      <c r="D781" s="1">
        <v>0</v>
      </c>
      <c r="E781" s="1">
        <v>0</v>
      </c>
      <c r="F781" s="1">
        <v>0</v>
      </c>
      <c r="G781" s="1">
        <v>2198</v>
      </c>
      <c r="H781" s="1">
        <v>0</v>
      </c>
      <c r="I781" s="1">
        <v>0</v>
      </c>
      <c r="J781" s="1">
        <f t="shared" si="46"/>
        <v>2198</v>
      </c>
      <c r="K781" s="1">
        <v>0</v>
      </c>
      <c r="L781" s="1">
        <v>0</v>
      </c>
      <c r="M781" s="1">
        <v>0</v>
      </c>
      <c r="N781" s="1">
        <f t="shared" si="44"/>
        <v>0</v>
      </c>
      <c r="O781" s="14">
        <v>18</v>
      </c>
      <c r="P781" s="17">
        <f t="shared" si="45"/>
        <v>2198</v>
      </c>
      <c r="Q781" s="1">
        <v>0</v>
      </c>
      <c r="R781" s="1">
        <v>0</v>
      </c>
      <c r="S781" s="20">
        <v>39234</v>
      </c>
      <c r="T781" s="1">
        <v>2216</v>
      </c>
      <c r="U781" s="9">
        <v>2198</v>
      </c>
      <c r="V781" s="9" t="s">
        <v>41</v>
      </c>
    </row>
    <row r="782" spans="1:22" x14ac:dyDescent="0.25">
      <c r="A782" s="10" t="s">
        <v>37</v>
      </c>
      <c r="B782" t="b">
        <v>0</v>
      </c>
      <c r="C782" t="b">
        <v>0</v>
      </c>
      <c r="D782" s="1">
        <v>0</v>
      </c>
      <c r="E782" s="1">
        <v>0</v>
      </c>
      <c r="F782" s="1">
        <v>0</v>
      </c>
      <c r="G782" s="1">
        <v>2273</v>
      </c>
      <c r="H782" s="1">
        <v>0</v>
      </c>
      <c r="I782" s="1">
        <v>0</v>
      </c>
      <c r="J782" s="1">
        <f t="shared" si="46"/>
        <v>2273</v>
      </c>
      <c r="K782" s="1">
        <v>0</v>
      </c>
      <c r="L782" s="1">
        <v>0</v>
      </c>
      <c r="M782" s="1">
        <v>0</v>
      </c>
      <c r="N782" s="1">
        <f t="shared" si="44"/>
        <v>0</v>
      </c>
      <c r="O782" s="14">
        <v>18</v>
      </c>
      <c r="P782" s="17">
        <f t="shared" si="45"/>
        <v>2273</v>
      </c>
      <c r="Q782" s="1">
        <v>0</v>
      </c>
      <c r="R782" s="1">
        <v>0</v>
      </c>
      <c r="S782" s="20">
        <v>39264</v>
      </c>
      <c r="T782" s="1">
        <v>2291</v>
      </c>
      <c r="U782" s="9">
        <v>2273</v>
      </c>
      <c r="V782" s="9" t="s">
        <v>41</v>
      </c>
    </row>
    <row r="783" spans="1:22" x14ac:dyDescent="0.25">
      <c r="A783" s="10" t="s">
        <v>37</v>
      </c>
      <c r="B783" t="b">
        <v>0</v>
      </c>
      <c r="C783" t="b">
        <v>0</v>
      </c>
      <c r="D783" s="1">
        <v>0</v>
      </c>
      <c r="E783" s="1">
        <v>0</v>
      </c>
      <c r="F783" s="1">
        <v>0</v>
      </c>
      <c r="G783" s="1">
        <v>2245</v>
      </c>
      <c r="H783" s="1">
        <v>0</v>
      </c>
      <c r="I783" s="1">
        <v>0</v>
      </c>
      <c r="J783" s="1">
        <f t="shared" si="46"/>
        <v>2245</v>
      </c>
      <c r="K783" s="1">
        <v>0</v>
      </c>
      <c r="L783" s="1">
        <v>0</v>
      </c>
      <c r="M783" s="1">
        <v>0</v>
      </c>
      <c r="N783" s="1">
        <f t="shared" si="44"/>
        <v>0</v>
      </c>
      <c r="O783" s="14">
        <v>18</v>
      </c>
      <c r="P783" s="17">
        <f t="shared" si="45"/>
        <v>2245</v>
      </c>
      <c r="Q783" s="1">
        <v>0</v>
      </c>
      <c r="R783" s="1">
        <v>0</v>
      </c>
      <c r="S783" s="20">
        <v>39295</v>
      </c>
      <c r="T783" s="1">
        <v>2263</v>
      </c>
      <c r="U783" s="9">
        <v>2245</v>
      </c>
      <c r="V783" s="9" t="s">
        <v>41</v>
      </c>
    </row>
    <row r="784" spans="1:22" x14ac:dyDescent="0.25">
      <c r="A784" s="10" t="s">
        <v>37</v>
      </c>
      <c r="B784" t="b">
        <v>0</v>
      </c>
      <c r="C784" t="b">
        <v>0</v>
      </c>
      <c r="D784" s="1">
        <v>0</v>
      </c>
      <c r="E784" s="1">
        <v>0</v>
      </c>
      <c r="F784" s="1">
        <v>0</v>
      </c>
      <c r="G784" s="1">
        <v>2255</v>
      </c>
      <c r="H784" s="1">
        <v>0</v>
      </c>
      <c r="I784" s="1">
        <v>0</v>
      </c>
      <c r="J784" s="1">
        <f t="shared" si="46"/>
        <v>2255</v>
      </c>
      <c r="K784" s="1">
        <v>0</v>
      </c>
      <c r="L784" s="1">
        <v>0</v>
      </c>
      <c r="M784" s="1">
        <v>0</v>
      </c>
      <c r="N784" s="1">
        <f t="shared" si="44"/>
        <v>0</v>
      </c>
      <c r="O784" s="14">
        <v>23</v>
      </c>
      <c r="P784" s="17">
        <f t="shared" si="45"/>
        <v>2255</v>
      </c>
      <c r="Q784" s="1">
        <v>0</v>
      </c>
      <c r="R784" s="1">
        <v>0</v>
      </c>
      <c r="S784" s="20">
        <v>39326</v>
      </c>
      <c r="T784" s="1">
        <v>2278</v>
      </c>
      <c r="U784" s="9">
        <v>2255</v>
      </c>
      <c r="V784" s="9" t="s">
        <v>41</v>
      </c>
    </row>
    <row r="785" spans="1:22" x14ac:dyDescent="0.25">
      <c r="A785" s="10" t="s">
        <v>37</v>
      </c>
      <c r="B785" t="b">
        <v>0</v>
      </c>
      <c r="C785" t="b">
        <v>0</v>
      </c>
      <c r="D785" s="1">
        <v>0</v>
      </c>
      <c r="E785" s="1">
        <v>0</v>
      </c>
      <c r="F785" s="1">
        <v>0</v>
      </c>
      <c r="G785" s="1">
        <v>2235</v>
      </c>
      <c r="H785" s="1">
        <v>0</v>
      </c>
      <c r="I785" s="1">
        <v>0</v>
      </c>
      <c r="J785" s="1">
        <f t="shared" si="46"/>
        <v>2235</v>
      </c>
      <c r="K785" s="1">
        <v>0</v>
      </c>
      <c r="L785" s="1">
        <v>0</v>
      </c>
      <c r="M785" s="1">
        <v>0</v>
      </c>
      <c r="N785" s="1">
        <f t="shared" si="44"/>
        <v>0</v>
      </c>
      <c r="O785" s="14">
        <v>17</v>
      </c>
      <c r="P785" s="17">
        <f t="shared" si="45"/>
        <v>2235</v>
      </c>
      <c r="Q785" s="1">
        <v>0</v>
      </c>
      <c r="R785" s="1">
        <v>0</v>
      </c>
      <c r="S785" s="20">
        <v>39356</v>
      </c>
      <c r="T785" s="1">
        <v>2252</v>
      </c>
      <c r="U785" s="9">
        <v>2235</v>
      </c>
      <c r="V785" s="9" t="s">
        <v>41</v>
      </c>
    </row>
    <row r="786" spans="1:22" x14ac:dyDescent="0.25">
      <c r="A786" s="10" t="s">
        <v>37</v>
      </c>
      <c r="B786" t="b">
        <v>0</v>
      </c>
      <c r="C786" t="b">
        <v>0</v>
      </c>
      <c r="D786" s="1">
        <v>0</v>
      </c>
      <c r="E786" s="1">
        <v>0</v>
      </c>
      <c r="F786" s="1">
        <v>0</v>
      </c>
      <c r="G786" s="1">
        <v>2000</v>
      </c>
      <c r="H786" s="1">
        <v>0</v>
      </c>
      <c r="I786" s="1">
        <v>0</v>
      </c>
      <c r="J786" s="1">
        <f t="shared" si="46"/>
        <v>2000</v>
      </c>
      <c r="K786" s="1">
        <v>0</v>
      </c>
      <c r="L786" s="1">
        <v>0</v>
      </c>
      <c r="M786" s="1">
        <v>0</v>
      </c>
      <c r="N786" s="1">
        <f t="shared" si="44"/>
        <v>0</v>
      </c>
      <c r="O786" s="14">
        <v>20</v>
      </c>
      <c r="P786" s="17">
        <f t="shared" si="45"/>
        <v>2000</v>
      </c>
      <c r="Q786" s="1">
        <v>0</v>
      </c>
      <c r="R786" s="1">
        <v>0</v>
      </c>
      <c r="S786" s="20">
        <v>39387</v>
      </c>
      <c r="T786" s="1">
        <v>2020</v>
      </c>
      <c r="U786" s="9">
        <v>2000</v>
      </c>
      <c r="V786" s="9" t="s">
        <v>41</v>
      </c>
    </row>
    <row r="787" spans="1:22" x14ac:dyDescent="0.25">
      <c r="A787" s="10" t="s">
        <v>37</v>
      </c>
      <c r="B787" t="b">
        <v>0</v>
      </c>
      <c r="C787" t="b">
        <v>0</v>
      </c>
      <c r="D787" s="1">
        <v>0</v>
      </c>
      <c r="E787" s="1">
        <v>0</v>
      </c>
      <c r="F787" s="1">
        <v>0</v>
      </c>
      <c r="G787" s="1">
        <v>1880</v>
      </c>
      <c r="H787" s="1">
        <v>0</v>
      </c>
      <c r="I787" s="1">
        <v>0</v>
      </c>
      <c r="J787" s="1">
        <f t="shared" si="46"/>
        <v>1880</v>
      </c>
      <c r="K787" s="1">
        <v>0</v>
      </c>
      <c r="L787" s="1">
        <v>0</v>
      </c>
      <c r="M787" s="1">
        <v>0</v>
      </c>
      <c r="N787" s="1">
        <f t="shared" si="44"/>
        <v>0</v>
      </c>
      <c r="O787" s="14">
        <v>30</v>
      </c>
      <c r="P787" s="17">
        <f t="shared" si="45"/>
        <v>1880</v>
      </c>
      <c r="Q787" s="1">
        <v>0</v>
      </c>
      <c r="R787" s="1">
        <v>0</v>
      </c>
      <c r="S787" s="20">
        <v>39417</v>
      </c>
      <c r="T787" s="1">
        <v>1910</v>
      </c>
      <c r="U787" s="9">
        <v>1880</v>
      </c>
      <c r="V787" s="9" t="s">
        <v>41</v>
      </c>
    </row>
    <row r="788" spans="1:22" x14ac:dyDescent="0.25">
      <c r="A788" s="10" t="s">
        <v>37</v>
      </c>
      <c r="B788" t="b">
        <v>0</v>
      </c>
      <c r="C788" t="b">
        <v>0</v>
      </c>
      <c r="D788" s="1">
        <v>0</v>
      </c>
      <c r="E788" s="1">
        <v>0</v>
      </c>
      <c r="F788" s="1">
        <v>0</v>
      </c>
      <c r="G788" s="1">
        <v>1478</v>
      </c>
      <c r="H788" s="1">
        <v>0</v>
      </c>
      <c r="I788" s="1">
        <v>0</v>
      </c>
      <c r="J788" s="1">
        <f t="shared" si="46"/>
        <v>1478</v>
      </c>
      <c r="K788" s="1">
        <v>0</v>
      </c>
      <c r="L788" s="1">
        <v>0</v>
      </c>
      <c r="M788" s="1">
        <v>0</v>
      </c>
      <c r="N788" s="1">
        <f t="shared" si="44"/>
        <v>0</v>
      </c>
      <c r="O788" s="14">
        <v>29</v>
      </c>
      <c r="P788" s="17">
        <f t="shared" si="45"/>
        <v>1478</v>
      </c>
      <c r="Q788" s="1">
        <v>0</v>
      </c>
      <c r="R788" s="1">
        <v>0</v>
      </c>
      <c r="S788" s="20">
        <v>39448</v>
      </c>
      <c r="T788" s="1">
        <v>1507</v>
      </c>
      <c r="U788" s="9">
        <v>1478</v>
      </c>
      <c r="V788" s="9" t="s">
        <v>46</v>
      </c>
    </row>
    <row r="789" spans="1:22" x14ac:dyDescent="0.25">
      <c r="A789" s="10" t="s">
        <v>37</v>
      </c>
      <c r="B789" t="b">
        <v>0</v>
      </c>
      <c r="C789" t="b">
        <v>0</v>
      </c>
      <c r="D789" s="1">
        <v>0</v>
      </c>
      <c r="E789" s="1">
        <v>0</v>
      </c>
      <c r="F789" s="1">
        <v>0</v>
      </c>
      <c r="G789" s="1">
        <v>2103</v>
      </c>
      <c r="H789" s="1">
        <v>0</v>
      </c>
      <c r="I789" s="1">
        <v>0</v>
      </c>
      <c r="J789" s="1">
        <f t="shared" si="46"/>
        <v>2103</v>
      </c>
      <c r="K789" s="1">
        <v>0</v>
      </c>
      <c r="L789" s="1">
        <v>0</v>
      </c>
      <c r="M789" s="1">
        <v>0</v>
      </c>
      <c r="N789" s="1">
        <f t="shared" si="44"/>
        <v>0</v>
      </c>
      <c r="O789" s="14">
        <v>16</v>
      </c>
      <c r="P789" s="17">
        <f t="shared" si="45"/>
        <v>2103</v>
      </c>
      <c r="Q789" s="1">
        <v>0</v>
      </c>
      <c r="R789" s="1">
        <v>0</v>
      </c>
      <c r="S789" s="20">
        <v>39479</v>
      </c>
      <c r="T789" s="1">
        <v>2119</v>
      </c>
      <c r="U789" s="9">
        <v>2103</v>
      </c>
      <c r="V789" s="9" t="s">
        <v>46</v>
      </c>
    </row>
    <row r="790" spans="1:22" x14ac:dyDescent="0.25">
      <c r="A790" s="10" t="s">
        <v>37</v>
      </c>
      <c r="B790" t="b">
        <v>0</v>
      </c>
      <c r="C790" t="b">
        <v>0</v>
      </c>
      <c r="D790" s="1">
        <v>0</v>
      </c>
      <c r="E790" s="1">
        <v>0</v>
      </c>
      <c r="F790" s="1">
        <v>0</v>
      </c>
      <c r="G790" s="1">
        <v>2290</v>
      </c>
      <c r="H790" s="1">
        <v>0</v>
      </c>
      <c r="I790" s="1">
        <v>0</v>
      </c>
      <c r="J790" s="1">
        <f t="shared" si="46"/>
        <v>2290</v>
      </c>
      <c r="K790" s="1">
        <v>0</v>
      </c>
      <c r="L790" s="1">
        <v>0</v>
      </c>
      <c r="M790" s="1">
        <v>0</v>
      </c>
      <c r="N790" s="1">
        <f t="shared" si="44"/>
        <v>0</v>
      </c>
      <c r="O790" s="14">
        <v>21</v>
      </c>
      <c r="P790" s="17">
        <f t="shared" si="45"/>
        <v>2290</v>
      </c>
      <c r="Q790" s="1">
        <v>0</v>
      </c>
      <c r="R790" s="1">
        <v>0</v>
      </c>
      <c r="S790" s="20">
        <v>39508</v>
      </c>
      <c r="T790" s="1">
        <v>2311</v>
      </c>
      <c r="U790" s="9">
        <v>2290</v>
      </c>
      <c r="V790" s="9" t="s">
        <v>46</v>
      </c>
    </row>
    <row r="791" spans="1:22" x14ac:dyDescent="0.25">
      <c r="A791" s="10" t="s">
        <v>37</v>
      </c>
      <c r="B791" t="b">
        <v>0</v>
      </c>
      <c r="C791" t="b">
        <v>0</v>
      </c>
      <c r="D791" s="1">
        <v>0</v>
      </c>
      <c r="E791" s="1">
        <v>0</v>
      </c>
      <c r="F791" s="1">
        <v>0</v>
      </c>
      <c r="G791" s="1">
        <v>2170</v>
      </c>
      <c r="H791" s="1">
        <v>0</v>
      </c>
      <c r="I791" s="1">
        <v>0</v>
      </c>
      <c r="J791" s="1">
        <f t="shared" si="46"/>
        <v>2170</v>
      </c>
      <c r="K791" s="1">
        <v>0</v>
      </c>
      <c r="L791" s="1">
        <v>0</v>
      </c>
      <c r="M791" s="1">
        <v>0</v>
      </c>
      <c r="N791" s="1">
        <f t="shared" si="44"/>
        <v>0</v>
      </c>
      <c r="O791" s="14">
        <v>18</v>
      </c>
      <c r="P791" s="17">
        <f t="shared" si="45"/>
        <v>2170</v>
      </c>
      <c r="Q791" s="1">
        <v>0</v>
      </c>
      <c r="R791" s="1">
        <v>0</v>
      </c>
      <c r="S791" s="20">
        <v>39539</v>
      </c>
      <c r="T791" s="1">
        <v>2188</v>
      </c>
      <c r="U791" s="9">
        <v>2170</v>
      </c>
      <c r="V791" s="9" t="s">
        <v>46</v>
      </c>
    </row>
    <row r="792" spans="1:22" x14ac:dyDescent="0.25">
      <c r="A792" s="10" t="s">
        <v>37</v>
      </c>
      <c r="B792" t="b">
        <v>0</v>
      </c>
      <c r="C792" t="b">
        <v>0</v>
      </c>
      <c r="D792" s="1">
        <v>0</v>
      </c>
      <c r="E792" s="1">
        <v>0</v>
      </c>
      <c r="F792" s="1">
        <v>0</v>
      </c>
      <c r="G792" s="1">
        <v>2243</v>
      </c>
      <c r="H792" s="1">
        <v>0</v>
      </c>
      <c r="I792" s="1">
        <v>0</v>
      </c>
      <c r="J792" s="1">
        <f t="shared" si="46"/>
        <v>2243</v>
      </c>
      <c r="K792" s="1">
        <v>0</v>
      </c>
      <c r="L792" s="1">
        <v>0</v>
      </c>
      <c r="M792" s="1">
        <v>0</v>
      </c>
      <c r="N792" s="1">
        <f t="shared" si="44"/>
        <v>0</v>
      </c>
      <c r="O792" s="14">
        <v>25</v>
      </c>
      <c r="P792" s="17">
        <f t="shared" si="45"/>
        <v>2243</v>
      </c>
      <c r="Q792" s="1">
        <v>0</v>
      </c>
      <c r="R792" s="1">
        <v>0</v>
      </c>
      <c r="S792" s="20">
        <v>39569</v>
      </c>
      <c r="T792" s="1">
        <v>2268</v>
      </c>
      <c r="U792" s="9">
        <v>2243</v>
      </c>
      <c r="V792" s="9" t="s">
        <v>46</v>
      </c>
    </row>
    <row r="793" spans="1:22" x14ac:dyDescent="0.25">
      <c r="A793" s="10" t="s">
        <v>37</v>
      </c>
      <c r="B793" t="b">
        <v>0</v>
      </c>
      <c r="C793" t="b">
        <v>0</v>
      </c>
      <c r="D793" s="1">
        <v>0</v>
      </c>
      <c r="E793" s="1">
        <v>0</v>
      </c>
      <c r="F793" s="1">
        <v>0</v>
      </c>
      <c r="G793" s="1">
        <v>2145</v>
      </c>
      <c r="H793" s="1">
        <v>0</v>
      </c>
      <c r="I793" s="1">
        <v>0</v>
      </c>
      <c r="J793" s="1">
        <f t="shared" si="46"/>
        <v>2145</v>
      </c>
      <c r="K793" s="1">
        <v>0</v>
      </c>
      <c r="L793" s="1">
        <v>0</v>
      </c>
      <c r="M793" s="1">
        <v>0</v>
      </c>
      <c r="N793" s="1">
        <f t="shared" si="44"/>
        <v>0</v>
      </c>
      <c r="O793" s="14">
        <v>27</v>
      </c>
      <c r="P793" s="17">
        <f t="shared" si="45"/>
        <v>2145</v>
      </c>
      <c r="Q793" s="1">
        <v>0</v>
      </c>
      <c r="R793" s="1">
        <v>0</v>
      </c>
      <c r="S793" s="20">
        <v>39600</v>
      </c>
      <c r="T793" s="1">
        <v>2172</v>
      </c>
      <c r="U793" s="9">
        <v>2145</v>
      </c>
      <c r="V793" s="9" t="s">
        <v>46</v>
      </c>
    </row>
    <row r="794" spans="1:22" x14ac:dyDescent="0.25">
      <c r="A794" s="10" t="s">
        <v>37</v>
      </c>
      <c r="B794" t="b">
        <v>0</v>
      </c>
      <c r="C794" t="b">
        <v>0</v>
      </c>
      <c r="D794" s="1">
        <v>0</v>
      </c>
      <c r="E794" s="1">
        <v>0</v>
      </c>
      <c r="F794" s="1">
        <v>0</v>
      </c>
      <c r="G794" s="1">
        <v>2245</v>
      </c>
      <c r="H794" s="1">
        <v>0</v>
      </c>
      <c r="I794" s="1">
        <v>0</v>
      </c>
      <c r="J794" s="1">
        <f t="shared" si="46"/>
        <v>2245</v>
      </c>
      <c r="K794" s="1">
        <v>0</v>
      </c>
      <c r="L794" s="1">
        <v>0</v>
      </c>
      <c r="M794" s="1">
        <v>0</v>
      </c>
      <c r="N794" s="1">
        <f t="shared" si="44"/>
        <v>0</v>
      </c>
      <c r="O794" s="14">
        <v>16</v>
      </c>
      <c r="P794" s="17">
        <f t="shared" si="45"/>
        <v>2245</v>
      </c>
      <c r="Q794" s="1">
        <v>0</v>
      </c>
      <c r="R794" s="1">
        <v>0</v>
      </c>
      <c r="S794" s="20">
        <v>39630</v>
      </c>
      <c r="T794" s="1">
        <v>2261</v>
      </c>
      <c r="U794" s="9">
        <v>2245</v>
      </c>
      <c r="V794" s="9" t="s">
        <v>46</v>
      </c>
    </row>
    <row r="795" spans="1:22" x14ac:dyDescent="0.25">
      <c r="A795" s="10" t="s">
        <v>37</v>
      </c>
      <c r="B795" t="b">
        <v>0</v>
      </c>
      <c r="C795" t="b">
        <v>0</v>
      </c>
      <c r="D795" s="1">
        <v>0</v>
      </c>
      <c r="E795" s="1">
        <v>0</v>
      </c>
      <c r="F795" s="1">
        <v>0</v>
      </c>
      <c r="G795" s="1">
        <v>2330</v>
      </c>
      <c r="H795" s="1">
        <v>0</v>
      </c>
      <c r="I795" s="1">
        <v>0</v>
      </c>
      <c r="J795" s="1">
        <f t="shared" si="46"/>
        <v>2330</v>
      </c>
      <c r="K795" s="1">
        <v>0</v>
      </c>
      <c r="L795" s="1">
        <v>0</v>
      </c>
      <c r="M795" s="1">
        <v>0</v>
      </c>
      <c r="N795" s="1">
        <f t="shared" si="44"/>
        <v>0</v>
      </c>
      <c r="O795" s="14">
        <v>23</v>
      </c>
      <c r="P795" s="17">
        <f t="shared" si="45"/>
        <v>2330</v>
      </c>
      <c r="Q795" s="1">
        <v>0</v>
      </c>
      <c r="R795" s="1">
        <v>0</v>
      </c>
      <c r="S795" s="20">
        <v>39661</v>
      </c>
      <c r="T795" s="1">
        <v>2353</v>
      </c>
      <c r="U795" s="9">
        <v>2330</v>
      </c>
      <c r="V795" s="9" t="s">
        <v>46</v>
      </c>
    </row>
    <row r="796" spans="1:22" x14ac:dyDescent="0.25">
      <c r="A796" s="10" t="s">
        <v>37</v>
      </c>
      <c r="B796" t="b">
        <v>0</v>
      </c>
      <c r="C796" t="b">
        <v>0</v>
      </c>
      <c r="D796" s="1">
        <v>0</v>
      </c>
      <c r="E796" s="1">
        <v>0</v>
      </c>
      <c r="F796" s="1">
        <v>0</v>
      </c>
      <c r="G796" s="1">
        <v>2203</v>
      </c>
      <c r="H796" s="1">
        <v>0</v>
      </c>
      <c r="I796" s="1">
        <v>0</v>
      </c>
      <c r="J796" s="1">
        <f t="shared" si="46"/>
        <v>2203</v>
      </c>
      <c r="K796" s="1">
        <v>0</v>
      </c>
      <c r="L796" s="1">
        <v>0</v>
      </c>
      <c r="M796" s="1">
        <v>0</v>
      </c>
      <c r="N796" s="1">
        <f t="shared" si="44"/>
        <v>0</v>
      </c>
      <c r="O796" s="14">
        <v>0</v>
      </c>
      <c r="P796" s="17">
        <f t="shared" si="45"/>
        <v>2203</v>
      </c>
      <c r="Q796" s="1">
        <v>0</v>
      </c>
      <c r="R796" s="1">
        <v>0</v>
      </c>
      <c r="S796" s="20">
        <v>39692</v>
      </c>
      <c r="T796" s="1">
        <v>2203</v>
      </c>
      <c r="U796" s="9">
        <v>2203</v>
      </c>
      <c r="V796" s="9" t="s">
        <v>46</v>
      </c>
    </row>
    <row r="797" spans="1:22" x14ac:dyDescent="0.25">
      <c r="A797" s="10" t="s">
        <v>37</v>
      </c>
      <c r="B797" t="b">
        <v>0</v>
      </c>
      <c r="C797" t="b">
        <v>0</v>
      </c>
      <c r="D797" s="1">
        <v>0</v>
      </c>
      <c r="E797" s="1">
        <v>0</v>
      </c>
      <c r="F797" s="1">
        <v>0</v>
      </c>
      <c r="G797" s="1">
        <v>2170</v>
      </c>
      <c r="H797" s="1">
        <v>0</v>
      </c>
      <c r="I797" s="1">
        <v>0</v>
      </c>
      <c r="J797" s="1">
        <f t="shared" si="46"/>
        <v>2170</v>
      </c>
      <c r="K797" s="1">
        <v>0</v>
      </c>
      <c r="L797" s="1">
        <v>0</v>
      </c>
      <c r="M797" s="1">
        <v>0</v>
      </c>
      <c r="N797" s="1">
        <f t="shared" si="44"/>
        <v>0</v>
      </c>
      <c r="O797" s="14">
        <v>0</v>
      </c>
      <c r="P797" s="17">
        <f t="shared" si="45"/>
        <v>2170</v>
      </c>
      <c r="Q797" s="1">
        <v>0</v>
      </c>
      <c r="R797" s="1">
        <v>0</v>
      </c>
      <c r="S797" s="20">
        <v>39722</v>
      </c>
      <c r="T797" s="1">
        <v>2170</v>
      </c>
      <c r="U797" s="9">
        <v>2170</v>
      </c>
      <c r="V797" s="9" t="s">
        <v>46</v>
      </c>
    </row>
    <row r="798" spans="1:22" x14ac:dyDescent="0.25">
      <c r="A798" s="10" t="s">
        <v>37</v>
      </c>
      <c r="B798" t="b">
        <v>0</v>
      </c>
      <c r="C798" t="b">
        <v>0</v>
      </c>
      <c r="D798" s="1">
        <v>0</v>
      </c>
      <c r="E798" s="1">
        <v>0</v>
      </c>
      <c r="F798" s="1">
        <v>0</v>
      </c>
      <c r="G798" s="1">
        <v>2000</v>
      </c>
      <c r="H798" s="1">
        <v>0</v>
      </c>
      <c r="I798" s="1">
        <v>0</v>
      </c>
      <c r="J798" s="1">
        <f t="shared" si="46"/>
        <v>2000</v>
      </c>
      <c r="K798" s="1">
        <v>0</v>
      </c>
      <c r="L798" s="1">
        <v>0</v>
      </c>
      <c r="M798" s="1">
        <v>0</v>
      </c>
      <c r="N798" s="1">
        <f t="shared" si="44"/>
        <v>0</v>
      </c>
      <c r="O798" s="14">
        <v>24</v>
      </c>
      <c r="P798" s="17">
        <f t="shared" si="45"/>
        <v>2000</v>
      </c>
      <c r="Q798" s="1">
        <v>0</v>
      </c>
      <c r="R798" s="1">
        <v>0</v>
      </c>
      <c r="S798" s="20">
        <v>39753</v>
      </c>
      <c r="T798" s="1">
        <v>2024</v>
      </c>
      <c r="U798" s="9">
        <v>2000</v>
      </c>
      <c r="V798" s="9" t="s">
        <v>46</v>
      </c>
    </row>
    <row r="799" spans="1:22" x14ac:dyDescent="0.25">
      <c r="A799" s="10" t="s">
        <v>37</v>
      </c>
      <c r="B799" t="b">
        <v>0</v>
      </c>
      <c r="C799" t="b">
        <v>0</v>
      </c>
      <c r="D799" s="1">
        <v>0</v>
      </c>
      <c r="E799" s="1">
        <v>0</v>
      </c>
      <c r="F799" s="1">
        <v>0</v>
      </c>
      <c r="G799" s="1">
        <v>2235</v>
      </c>
      <c r="H799" s="1">
        <v>0</v>
      </c>
      <c r="I799" s="1">
        <v>0</v>
      </c>
      <c r="J799" s="1">
        <f t="shared" si="46"/>
        <v>2235</v>
      </c>
      <c r="K799" s="1">
        <v>0</v>
      </c>
      <c r="L799" s="1">
        <v>0</v>
      </c>
      <c r="M799" s="1">
        <v>0</v>
      </c>
      <c r="N799" s="1">
        <f t="shared" si="44"/>
        <v>0</v>
      </c>
      <c r="O799" s="14">
        <v>16</v>
      </c>
      <c r="P799" s="17">
        <f t="shared" si="45"/>
        <v>2235</v>
      </c>
      <c r="Q799" s="1">
        <v>0</v>
      </c>
      <c r="R799" s="1">
        <v>0</v>
      </c>
      <c r="S799" s="20">
        <v>39783</v>
      </c>
      <c r="T799" s="1">
        <v>2251</v>
      </c>
      <c r="U799" s="9">
        <v>2235</v>
      </c>
      <c r="V799" s="9" t="s">
        <v>46</v>
      </c>
    </row>
    <row r="800" spans="1:22" x14ac:dyDescent="0.25">
      <c r="A800" s="10" t="s">
        <v>37</v>
      </c>
      <c r="B800" t="b">
        <v>0</v>
      </c>
      <c r="C800" t="b">
        <v>0</v>
      </c>
      <c r="D800" s="1">
        <v>0</v>
      </c>
      <c r="E800" s="1">
        <v>0</v>
      </c>
      <c r="F800" s="1">
        <v>0</v>
      </c>
      <c r="G800" s="1">
        <v>2263</v>
      </c>
      <c r="H800" s="1">
        <v>0</v>
      </c>
      <c r="I800" s="1">
        <v>0</v>
      </c>
      <c r="J800" s="1">
        <f t="shared" si="46"/>
        <v>2263</v>
      </c>
      <c r="K800" s="1">
        <v>0</v>
      </c>
      <c r="L800" s="1">
        <v>0</v>
      </c>
      <c r="M800" s="1">
        <v>0</v>
      </c>
      <c r="N800" s="1">
        <f t="shared" si="44"/>
        <v>0</v>
      </c>
      <c r="O800" s="14">
        <v>18</v>
      </c>
      <c r="P800" s="17">
        <f t="shared" si="45"/>
        <v>2263</v>
      </c>
      <c r="Q800" s="1">
        <v>0</v>
      </c>
      <c r="R800" s="1">
        <v>0</v>
      </c>
      <c r="S800" s="20">
        <v>39814</v>
      </c>
      <c r="T800" s="1">
        <v>2281</v>
      </c>
      <c r="U800" s="9">
        <v>2263</v>
      </c>
      <c r="V800" s="9" t="s">
        <v>41</v>
      </c>
    </row>
    <row r="801" spans="1:22" x14ac:dyDescent="0.25">
      <c r="A801" s="10" t="s">
        <v>37</v>
      </c>
      <c r="B801" t="b">
        <v>0</v>
      </c>
      <c r="C801" t="b">
        <v>0</v>
      </c>
      <c r="D801" s="1">
        <v>0</v>
      </c>
      <c r="E801" s="1">
        <v>0</v>
      </c>
      <c r="F801" s="1">
        <v>0</v>
      </c>
      <c r="G801" s="1">
        <v>2123</v>
      </c>
      <c r="H801" s="1">
        <v>0</v>
      </c>
      <c r="I801" s="1">
        <v>0</v>
      </c>
      <c r="J801" s="1">
        <f t="shared" si="46"/>
        <v>2123</v>
      </c>
      <c r="K801" s="1">
        <v>0</v>
      </c>
      <c r="L801" s="1">
        <v>0</v>
      </c>
      <c r="M801" s="1">
        <v>0</v>
      </c>
      <c r="N801" s="1">
        <f t="shared" si="44"/>
        <v>0</v>
      </c>
      <c r="O801" s="14">
        <v>14</v>
      </c>
      <c r="P801" s="17">
        <f t="shared" si="45"/>
        <v>2123</v>
      </c>
      <c r="Q801" s="1">
        <v>0</v>
      </c>
      <c r="R801" s="1">
        <v>0</v>
      </c>
      <c r="S801" s="20">
        <v>39845</v>
      </c>
      <c r="T801" s="1">
        <v>2137</v>
      </c>
      <c r="U801" s="9">
        <v>2123</v>
      </c>
      <c r="V801" s="9" t="s">
        <v>41</v>
      </c>
    </row>
    <row r="802" spans="1:22" x14ac:dyDescent="0.25">
      <c r="A802" s="10" t="s">
        <v>37</v>
      </c>
      <c r="B802" t="b">
        <v>0</v>
      </c>
      <c r="C802" t="b">
        <v>0</v>
      </c>
      <c r="D802" s="1">
        <v>0</v>
      </c>
      <c r="E802" s="1">
        <v>0</v>
      </c>
      <c r="F802" s="1">
        <v>0</v>
      </c>
      <c r="G802" s="1">
        <v>2373</v>
      </c>
      <c r="H802" s="1">
        <v>0</v>
      </c>
      <c r="I802" s="1">
        <v>0</v>
      </c>
      <c r="J802" s="1">
        <f t="shared" si="46"/>
        <v>2373</v>
      </c>
      <c r="K802" s="1">
        <v>0</v>
      </c>
      <c r="L802" s="1">
        <v>0</v>
      </c>
      <c r="M802" s="1">
        <v>0</v>
      </c>
      <c r="N802" s="1">
        <f t="shared" ref="N802:N865" si="47">K802+L802+M802</f>
        <v>0</v>
      </c>
      <c r="O802" s="14">
        <v>18</v>
      </c>
      <c r="P802" s="17">
        <f t="shared" si="45"/>
        <v>2373</v>
      </c>
      <c r="Q802" s="1">
        <v>0</v>
      </c>
      <c r="R802" s="1">
        <v>0</v>
      </c>
      <c r="S802" s="20">
        <v>39873</v>
      </c>
      <c r="T802" s="1">
        <v>2391</v>
      </c>
      <c r="U802" s="9">
        <v>2373</v>
      </c>
      <c r="V802" s="9" t="s">
        <v>41</v>
      </c>
    </row>
    <row r="803" spans="1:22" x14ac:dyDescent="0.25">
      <c r="A803" s="10" t="s">
        <v>37</v>
      </c>
      <c r="B803" t="b">
        <v>0</v>
      </c>
      <c r="C803" t="b">
        <v>0</v>
      </c>
      <c r="D803" s="1">
        <v>0</v>
      </c>
      <c r="E803" s="1">
        <v>0</v>
      </c>
      <c r="F803" s="1">
        <v>0</v>
      </c>
      <c r="G803" s="1">
        <v>2170</v>
      </c>
      <c r="H803" s="1">
        <v>0</v>
      </c>
      <c r="I803" s="1">
        <v>0</v>
      </c>
      <c r="J803" s="1">
        <f t="shared" si="46"/>
        <v>2170</v>
      </c>
      <c r="K803" s="1">
        <v>0</v>
      </c>
      <c r="L803" s="1">
        <v>0</v>
      </c>
      <c r="M803" s="1">
        <v>0</v>
      </c>
      <c r="N803" s="1">
        <f t="shared" si="47"/>
        <v>0</v>
      </c>
      <c r="O803" s="14">
        <v>16</v>
      </c>
      <c r="P803" s="17">
        <f t="shared" si="45"/>
        <v>2170</v>
      </c>
      <c r="Q803" s="1">
        <v>0</v>
      </c>
      <c r="R803" s="1">
        <v>0</v>
      </c>
      <c r="S803" s="20">
        <v>39904</v>
      </c>
      <c r="T803" s="1">
        <v>2186</v>
      </c>
      <c r="U803" s="9">
        <v>2170</v>
      </c>
      <c r="V803" s="9" t="s">
        <v>41</v>
      </c>
    </row>
    <row r="804" spans="1:22" x14ac:dyDescent="0.25">
      <c r="A804" s="10" t="s">
        <v>37</v>
      </c>
      <c r="B804" t="b">
        <v>0</v>
      </c>
      <c r="C804" t="b">
        <v>0</v>
      </c>
      <c r="D804" s="1">
        <v>0</v>
      </c>
      <c r="E804" s="1">
        <v>0</v>
      </c>
      <c r="F804" s="1">
        <v>0</v>
      </c>
      <c r="G804" s="1">
        <v>2270</v>
      </c>
      <c r="H804" s="1">
        <v>0</v>
      </c>
      <c r="I804" s="1">
        <v>0</v>
      </c>
      <c r="J804" s="1">
        <f t="shared" si="46"/>
        <v>2270</v>
      </c>
      <c r="K804" s="1">
        <v>0</v>
      </c>
      <c r="L804" s="1">
        <v>0</v>
      </c>
      <c r="M804" s="1">
        <v>0</v>
      </c>
      <c r="N804" s="1">
        <f t="shared" si="47"/>
        <v>0</v>
      </c>
      <c r="O804" s="14">
        <v>0</v>
      </c>
      <c r="P804" s="17">
        <f t="shared" si="45"/>
        <v>2270</v>
      </c>
      <c r="Q804" s="1">
        <v>33</v>
      </c>
      <c r="R804" s="1">
        <v>0</v>
      </c>
      <c r="S804" s="20">
        <v>39934</v>
      </c>
      <c r="T804" s="1">
        <v>2303</v>
      </c>
      <c r="U804" s="9">
        <v>2270</v>
      </c>
      <c r="V804" s="9" t="s">
        <v>41</v>
      </c>
    </row>
    <row r="805" spans="1:22" x14ac:dyDescent="0.25">
      <c r="A805" s="10" t="s">
        <v>37</v>
      </c>
      <c r="B805" t="b">
        <v>0</v>
      </c>
      <c r="C805" t="b">
        <v>0</v>
      </c>
      <c r="D805" s="1">
        <v>0</v>
      </c>
      <c r="E805" s="1">
        <v>0</v>
      </c>
      <c r="F805" s="1">
        <v>0</v>
      </c>
      <c r="G805" s="1">
        <v>2220</v>
      </c>
      <c r="H805" s="1">
        <v>0</v>
      </c>
      <c r="I805" s="1">
        <v>0</v>
      </c>
      <c r="J805" s="1">
        <f t="shared" si="46"/>
        <v>2220</v>
      </c>
      <c r="K805" s="1">
        <v>0</v>
      </c>
      <c r="L805" s="1">
        <v>0</v>
      </c>
      <c r="M805" s="1">
        <v>0</v>
      </c>
      <c r="N805" s="1">
        <f t="shared" si="47"/>
        <v>0</v>
      </c>
      <c r="O805" s="14">
        <v>36</v>
      </c>
      <c r="P805" s="17">
        <f t="shared" si="45"/>
        <v>2220</v>
      </c>
      <c r="Q805" s="1">
        <v>0</v>
      </c>
      <c r="R805" s="1">
        <v>0</v>
      </c>
      <c r="S805" s="20">
        <v>39965</v>
      </c>
      <c r="T805" s="1">
        <v>2256</v>
      </c>
      <c r="U805" s="9">
        <v>2220</v>
      </c>
      <c r="V805" s="9" t="s">
        <v>41</v>
      </c>
    </row>
    <row r="806" spans="1:22" x14ac:dyDescent="0.25">
      <c r="A806" s="10" t="s">
        <v>37</v>
      </c>
      <c r="B806" t="b">
        <v>0</v>
      </c>
      <c r="C806" t="b">
        <v>0</v>
      </c>
      <c r="D806" s="1">
        <v>148</v>
      </c>
      <c r="E806" s="1">
        <v>0</v>
      </c>
      <c r="F806" s="1">
        <v>0</v>
      </c>
      <c r="G806" s="1">
        <v>2245</v>
      </c>
      <c r="H806" s="1">
        <v>0</v>
      </c>
      <c r="I806" s="1">
        <v>0</v>
      </c>
      <c r="J806" s="1">
        <f t="shared" si="46"/>
        <v>2393</v>
      </c>
      <c r="K806" s="1">
        <v>0</v>
      </c>
      <c r="L806" s="1">
        <v>0</v>
      </c>
      <c r="M806" s="1">
        <v>0</v>
      </c>
      <c r="N806" s="1">
        <f t="shared" si="47"/>
        <v>0</v>
      </c>
      <c r="O806" s="14">
        <v>13</v>
      </c>
      <c r="P806" s="17">
        <f t="shared" si="45"/>
        <v>2393</v>
      </c>
      <c r="Q806" s="1">
        <v>0</v>
      </c>
      <c r="R806" s="1">
        <v>0</v>
      </c>
      <c r="S806" s="20">
        <v>39995</v>
      </c>
      <c r="T806" s="1">
        <v>2406</v>
      </c>
      <c r="U806" s="9">
        <v>2393</v>
      </c>
      <c r="V806" s="9" t="s">
        <v>41</v>
      </c>
    </row>
    <row r="807" spans="1:22" x14ac:dyDescent="0.25">
      <c r="A807" s="10" t="s">
        <v>37</v>
      </c>
      <c r="B807" t="b">
        <v>0</v>
      </c>
      <c r="C807" t="b">
        <v>0</v>
      </c>
      <c r="D807" s="1">
        <v>373</v>
      </c>
      <c r="E807" s="1">
        <v>0</v>
      </c>
      <c r="F807" s="1">
        <v>0</v>
      </c>
      <c r="G807" s="1">
        <v>2195</v>
      </c>
      <c r="H807" s="1">
        <v>0</v>
      </c>
      <c r="I807" s="1">
        <v>0</v>
      </c>
      <c r="J807" s="1">
        <f t="shared" si="46"/>
        <v>2568</v>
      </c>
      <c r="K807" s="1">
        <v>0</v>
      </c>
      <c r="L807" s="1">
        <v>0</v>
      </c>
      <c r="M807" s="1">
        <v>0</v>
      </c>
      <c r="N807" s="1">
        <f t="shared" si="47"/>
        <v>0</v>
      </c>
      <c r="O807" s="14">
        <v>24</v>
      </c>
      <c r="P807" s="17">
        <f t="shared" si="45"/>
        <v>2568</v>
      </c>
      <c r="Q807" s="1">
        <v>0</v>
      </c>
      <c r="R807" s="1">
        <v>0</v>
      </c>
      <c r="S807" s="20">
        <v>40026</v>
      </c>
      <c r="T807" s="1">
        <v>2592</v>
      </c>
      <c r="U807" s="9">
        <v>2568</v>
      </c>
      <c r="V807" s="9" t="s">
        <v>41</v>
      </c>
    </row>
    <row r="808" spans="1:22" x14ac:dyDescent="0.25">
      <c r="A808" s="10" t="s">
        <v>37</v>
      </c>
      <c r="B808" t="b">
        <v>0</v>
      </c>
      <c r="C808" t="b">
        <v>0</v>
      </c>
      <c r="D808" s="1">
        <v>165</v>
      </c>
      <c r="E808" s="1">
        <v>0</v>
      </c>
      <c r="F808" s="1">
        <v>0</v>
      </c>
      <c r="G808" s="1">
        <v>2023</v>
      </c>
      <c r="H808" s="1">
        <v>0</v>
      </c>
      <c r="I808" s="1">
        <v>0</v>
      </c>
      <c r="J808" s="1">
        <f t="shared" si="46"/>
        <v>2188</v>
      </c>
      <c r="K808" s="1">
        <v>0</v>
      </c>
      <c r="L808" s="1">
        <v>0</v>
      </c>
      <c r="M808" s="1">
        <v>0</v>
      </c>
      <c r="N808" s="1">
        <f t="shared" si="47"/>
        <v>0</v>
      </c>
      <c r="O808" s="14">
        <v>10</v>
      </c>
      <c r="P808" s="17">
        <f t="shared" si="45"/>
        <v>2188</v>
      </c>
      <c r="Q808" s="1">
        <v>0</v>
      </c>
      <c r="R808" s="1">
        <v>0</v>
      </c>
      <c r="S808" s="20">
        <v>40057</v>
      </c>
      <c r="T808" s="1">
        <v>2198</v>
      </c>
      <c r="U808" s="9">
        <v>2188</v>
      </c>
      <c r="V808" s="9" t="s">
        <v>41</v>
      </c>
    </row>
    <row r="809" spans="1:22" x14ac:dyDescent="0.25">
      <c r="A809" s="10" t="s">
        <v>37</v>
      </c>
      <c r="B809" t="b">
        <v>0</v>
      </c>
      <c r="C809" t="b">
        <v>0</v>
      </c>
      <c r="D809" s="1">
        <v>125</v>
      </c>
      <c r="E809" s="1">
        <v>0</v>
      </c>
      <c r="F809" s="1">
        <v>0</v>
      </c>
      <c r="G809" s="1">
        <v>173</v>
      </c>
      <c r="H809" s="1">
        <v>0</v>
      </c>
      <c r="I809" s="1">
        <v>0</v>
      </c>
      <c r="J809" s="1">
        <f t="shared" si="46"/>
        <v>298</v>
      </c>
      <c r="K809" s="1">
        <v>0</v>
      </c>
      <c r="L809" s="1">
        <v>0</v>
      </c>
      <c r="M809" s="1">
        <v>0</v>
      </c>
      <c r="N809" s="1">
        <f t="shared" si="47"/>
        <v>0</v>
      </c>
      <c r="O809" s="14">
        <v>13</v>
      </c>
      <c r="P809" s="17">
        <f t="shared" si="45"/>
        <v>298</v>
      </c>
      <c r="Q809" s="1">
        <v>0</v>
      </c>
      <c r="R809" s="1">
        <v>0</v>
      </c>
      <c r="S809" s="20">
        <v>40087</v>
      </c>
      <c r="T809" s="1">
        <v>311</v>
      </c>
      <c r="U809" s="9">
        <v>298</v>
      </c>
      <c r="V809" s="9" t="s">
        <v>41</v>
      </c>
    </row>
    <row r="810" spans="1:22" x14ac:dyDescent="0.25">
      <c r="A810" s="10" t="s">
        <v>37</v>
      </c>
      <c r="B810" t="b">
        <v>0</v>
      </c>
      <c r="C810" t="b">
        <v>0</v>
      </c>
      <c r="D810" s="1">
        <v>135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f t="shared" si="46"/>
        <v>135</v>
      </c>
      <c r="K810" s="1">
        <v>0</v>
      </c>
      <c r="L810" s="1">
        <v>0</v>
      </c>
      <c r="M810" s="1">
        <v>0</v>
      </c>
      <c r="N810" s="1">
        <f t="shared" si="47"/>
        <v>0</v>
      </c>
      <c r="O810" s="14">
        <v>27</v>
      </c>
      <c r="P810" s="17">
        <f t="shared" si="45"/>
        <v>135</v>
      </c>
      <c r="Q810" s="1">
        <v>0</v>
      </c>
      <c r="R810" s="1">
        <v>0</v>
      </c>
      <c r="S810" s="20">
        <v>40118</v>
      </c>
      <c r="T810" s="1">
        <v>162</v>
      </c>
      <c r="U810" s="9">
        <v>135</v>
      </c>
      <c r="V810" s="9" t="s">
        <v>41</v>
      </c>
    </row>
    <row r="811" spans="1:22" x14ac:dyDescent="0.25">
      <c r="A811" s="10" t="s">
        <v>37</v>
      </c>
      <c r="B811" t="b">
        <v>0</v>
      </c>
      <c r="C811" t="b">
        <v>0</v>
      </c>
      <c r="D811" s="1">
        <v>143</v>
      </c>
      <c r="E811" s="1">
        <v>0</v>
      </c>
      <c r="F811" s="1">
        <v>0</v>
      </c>
      <c r="G811" s="1">
        <v>148</v>
      </c>
      <c r="H811" s="1">
        <v>0</v>
      </c>
      <c r="I811" s="1">
        <v>0</v>
      </c>
      <c r="J811" s="1">
        <f t="shared" si="46"/>
        <v>291</v>
      </c>
      <c r="K811" s="1">
        <v>0</v>
      </c>
      <c r="L811" s="1">
        <v>0</v>
      </c>
      <c r="M811" s="1">
        <v>0</v>
      </c>
      <c r="N811" s="1">
        <f t="shared" si="47"/>
        <v>0</v>
      </c>
      <c r="O811" s="14">
        <v>12</v>
      </c>
      <c r="P811" s="17">
        <f t="shared" si="45"/>
        <v>291</v>
      </c>
      <c r="Q811" s="1">
        <v>0</v>
      </c>
      <c r="R811" s="1">
        <v>0</v>
      </c>
      <c r="S811" s="20">
        <v>40148</v>
      </c>
      <c r="T811" s="1">
        <v>303</v>
      </c>
      <c r="U811" s="9">
        <v>291</v>
      </c>
      <c r="V811" s="9" t="s">
        <v>41</v>
      </c>
    </row>
    <row r="812" spans="1:22" x14ac:dyDescent="0.25">
      <c r="A812" s="10" t="s">
        <v>37</v>
      </c>
      <c r="B812" t="b">
        <v>0</v>
      </c>
      <c r="C812" t="b">
        <v>0</v>
      </c>
      <c r="D812" s="1">
        <v>75</v>
      </c>
      <c r="E812" s="1">
        <v>0</v>
      </c>
      <c r="F812" s="1">
        <v>0</v>
      </c>
      <c r="G812" s="1">
        <v>228</v>
      </c>
      <c r="H812" s="1">
        <v>0</v>
      </c>
      <c r="I812" s="1">
        <v>0</v>
      </c>
      <c r="J812" s="1">
        <f t="shared" si="46"/>
        <v>303</v>
      </c>
      <c r="K812" s="1">
        <v>0</v>
      </c>
      <c r="L812" s="1">
        <v>0</v>
      </c>
      <c r="M812" s="1">
        <v>0</v>
      </c>
      <c r="N812" s="1">
        <f t="shared" si="47"/>
        <v>0</v>
      </c>
      <c r="O812" s="14">
        <v>5</v>
      </c>
      <c r="P812" s="17">
        <f t="shared" si="45"/>
        <v>303</v>
      </c>
      <c r="Q812" s="1">
        <v>0</v>
      </c>
      <c r="R812" s="1">
        <v>0</v>
      </c>
      <c r="S812" s="20">
        <v>40179</v>
      </c>
      <c r="T812" s="1">
        <v>308</v>
      </c>
      <c r="U812" s="9">
        <v>303</v>
      </c>
      <c r="V812" s="9" t="s">
        <v>21</v>
      </c>
    </row>
    <row r="813" spans="1:22" x14ac:dyDescent="0.25">
      <c r="A813" s="10" t="s">
        <v>37</v>
      </c>
      <c r="B813" t="b">
        <v>0</v>
      </c>
      <c r="C813" t="b">
        <v>0</v>
      </c>
      <c r="D813" s="1">
        <v>88</v>
      </c>
      <c r="E813" s="1">
        <v>0</v>
      </c>
      <c r="F813" s="1">
        <v>0</v>
      </c>
      <c r="G813" s="1">
        <v>2043</v>
      </c>
      <c r="H813" s="1">
        <v>0</v>
      </c>
      <c r="I813" s="1">
        <v>0</v>
      </c>
      <c r="J813" s="1">
        <f t="shared" si="46"/>
        <v>2131</v>
      </c>
      <c r="K813" s="1">
        <v>0</v>
      </c>
      <c r="L813" s="1">
        <v>0</v>
      </c>
      <c r="M813" s="1">
        <v>0</v>
      </c>
      <c r="N813" s="1">
        <f t="shared" si="47"/>
        <v>0</v>
      </c>
      <c r="O813" s="14">
        <v>10</v>
      </c>
      <c r="P813" s="17">
        <f t="shared" si="45"/>
        <v>2131</v>
      </c>
      <c r="Q813" s="1">
        <v>0</v>
      </c>
      <c r="R813" s="1">
        <v>0</v>
      </c>
      <c r="S813" s="20">
        <v>40210</v>
      </c>
      <c r="T813" s="1">
        <v>2141</v>
      </c>
      <c r="U813" s="9">
        <v>2131</v>
      </c>
      <c r="V813" s="9" t="s">
        <v>21</v>
      </c>
    </row>
    <row r="814" spans="1:22" x14ac:dyDescent="0.25">
      <c r="A814" s="10" t="s">
        <v>37</v>
      </c>
      <c r="B814" t="b">
        <v>0</v>
      </c>
      <c r="C814" t="b">
        <v>0</v>
      </c>
      <c r="D814" s="1">
        <v>135</v>
      </c>
      <c r="E814" s="1">
        <v>0</v>
      </c>
      <c r="F814" s="1">
        <v>0</v>
      </c>
      <c r="G814" s="1">
        <v>2238</v>
      </c>
      <c r="H814" s="1">
        <v>0</v>
      </c>
      <c r="I814" s="1">
        <v>0</v>
      </c>
      <c r="J814" s="1">
        <f t="shared" si="46"/>
        <v>2373</v>
      </c>
      <c r="K814" s="1">
        <v>0</v>
      </c>
      <c r="L814" s="1">
        <v>0</v>
      </c>
      <c r="M814" s="1">
        <v>0</v>
      </c>
      <c r="N814" s="1">
        <f t="shared" si="47"/>
        <v>0</v>
      </c>
      <c r="O814" s="14">
        <v>10</v>
      </c>
      <c r="P814" s="17">
        <f t="shared" si="45"/>
        <v>2373</v>
      </c>
      <c r="Q814" s="1">
        <v>0</v>
      </c>
      <c r="R814" s="1">
        <v>0</v>
      </c>
      <c r="S814" s="20">
        <v>40238</v>
      </c>
      <c r="T814" s="1">
        <v>2383</v>
      </c>
      <c r="U814" s="9">
        <v>2373</v>
      </c>
      <c r="V814" s="9" t="s">
        <v>21</v>
      </c>
    </row>
    <row r="815" spans="1:22" x14ac:dyDescent="0.25">
      <c r="A815" s="10" t="s">
        <v>37</v>
      </c>
      <c r="B815" t="b">
        <v>0</v>
      </c>
      <c r="C815" t="b">
        <v>0</v>
      </c>
      <c r="D815" s="1">
        <v>173</v>
      </c>
      <c r="E815" s="1">
        <v>0</v>
      </c>
      <c r="F815" s="1">
        <v>0</v>
      </c>
      <c r="G815" s="1">
        <v>2175</v>
      </c>
      <c r="H815" s="1">
        <v>0</v>
      </c>
      <c r="I815" s="1">
        <v>0</v>
      </c>
      <c r="J815" s="1">
        <f t="shared" si="46"/>
        <v>2348</v>
      </c>
      <c r="K815" s="1">
        <v>0</v>
      </c>
      <c r="L815" s="1">
        <v>0</v>
      </c>
      <c r="M815" s="1">
        <v>0</v>
      </c>
      <c r="N815" s="1">
        <f t="shared" si="47"/>
        <v>0</v>
      </c>
      <c r="O815" s="14">
        <v>13</v>
      </c>
      <c r="P815" s="17">
        <f t="shared" si="45"/>
        <v>2348</v>
      </c>
      <c r="Q815" s="1">
        <v>0</v>
      </c>
      <c r="R815" s="1">
        <v>0</v>
      </c>
      <c r="S815" s="20">
        <v>40269</v>
      </c>
      <c r="T815" s="1">
        <v>2361</v>
      </c>
      <c r="U815" s="9">
        <v>2348</v>
      </c>
      <c r="V815" s="9" t="s">
        <v>21</v>
      </c>
    </row>
    <row r="816" spans="1:22" x14ac:dyDescent="0.25">
      <c r="A816" s="10" t="s">
        <v>37</v>
      </c>
      <c r="B816" t="b">
        <v>0</v>
      </c>
      <c r="C816" t="b">
        <v>0</v>
      </c>
      <c r="D816" s="1">
        <v>155</v>
      </c>
      <c r="E816" s="1">
        <v>0</v>
      </c>
      <c r="F816" s="1">
        <v>0</v>
      </c>
      <c r="G816" s="1">
        <v>2225</v>
      </c>
      <c r="H816" s="1">
        <v>0</v>
      </c>
      <c r="I816" s="1">
        <v>0</v>
      </c>
      <c r="J816" s="1">
        <f t="shared" si="46"/>
        <v>2380</v>
      </c>
      <c r="K816" s="1">
        <v>0</v>
      </c>
      <c r="L816" s="1">
        <v>0</v>
      </c>
      <c r="M816" s="1">
        <v>0</v>
      </c>
      <c r="N816" s="1">
        <f t="shared" si="47"/>
        <v>0</v>
      </c>
      <c r="O816" s="14">
        <v>14</v>
      </c>
      <c r="P816" s="17">
        <f t="shared" si="45"/>
        <v>2380</v>
      </c>
      <c r="Q816" s="1">
        <v>0</v>
      </c>
      <c r="R816" s="1">
        <v>0</v>
      </c>
      <c r="S816" s="20">
        <v>40299</v>
      </c>
      <c r="T816" s="1">
        <v>2394</v>
      </c>
      <c r="U816" s="9">
        <v>2380</v>
      </c>
      <c r="V816" s="9" t="s">
        <v>21</v>
      </c>
    </row>
    <row r="817" spans="1:22" x14ac:dyDescent="0.25">
      <c r="A817" s="10" t="s">
        <v>37</v>
      </c>
      <c r="B817" t="b">
        <v>0</v>
      </c>
      <c r="C817" t="b">
        <v>0</v>
      </c>
      <c r="D817" s="1">
        <v>0</v>
      </c>
      <c r="E817" s="1">
        <v>0</v>
      </c>
      <c r="F817" s="1">
        <v>0</v>
      </c>
      <c r="G817" s="1">
        <v>260</v>
      </c>
      <c r="H817" s="1">
        <v>0</v>
      </c>
      <c r="I817" s="1">
        <v>0</v>
      </c>
      <c r="J817" s="1">
        <f t="shared" si="46"/>
        <v>260</v>
      </c>
      <c r="K817" s="1">
        <v>0</v>
      </c>
      <c r="L817" s="1">
        <v>0</v>
      </c>
      <c r="M817" s="1">
        <v>0</v>
      </c>
      <c r="N817" s="1">
        <f t="shared" si="47"/>
        <v>0</v>
      </c>
      <c r="O817" s="14">
        <v>18</v>
      </c>
      <c r="P817" s="17">
        <f t="shared" si="45"/>
        <v>260</v>
      </c>
      <c r="Q817" s="1">
        <v>0</v>
      </c>
      <c r="R817" s="1">
        <v>0</v>
      </c>
      <c r="S817" s="20">
        <v>40330</v>
      </c>
      <c r="T817" s="1">
        <v>278</v>
      </c>
      <c r="U817" s="9">
        <v>260</v>
      </c>
      <c r="V817" s="9" t="s">
        <v>21</v>
      </c>
    </row>
    <row r="818" spans="1:22" x14ac:dyDescent="0.25">
      <c r="A818" s="10" t="s">
        <v>37</v>
      </c>
      <c r="B818" t="b">
        <v>0</v>
      </c>
      <c r="C818" t="b">
        <v>0</v>
      </c>
      <c r="D818" s="1">
        <v>0</v>
      </c>
      <c r="E818" s="1">
        <v>0</v>
      </c>
      <c r="F818" s="1">
        <v>0</v>
      </c>
      <c r="G818" s="1">
        <v>215</v>
      </c>
      <c r="H818" s="1">
        <v>0</v>
      </c>
      <c r="I818" s="1">
        <v>0</v>
      </c>
      <c r="J818" s="1">
        <f t="shared" si="46"/>
        <v>215</v>
      </c>
      <c r="K818" s="1">
        <v>0</v>
      </c>
      <c r="L818" s="1">
        <v>0</v>
      </c>
      <c r="M818" s="1">
        <v>0</v>
      </c>
      <c r="N818" s="1">
        <f t="shared" si="47"/>
        <v>0</v>
      </c>
      <c r="O818" s="14">
        <v>20</v>
      </c>
      <c r="P818" s="17">
        <f t="shared" si="45"/>
        <v>215</v>
      </c>
      <c r="Q818" s="1">
        <v>0</v>
      </c>
      <c r="R818" s="1">
        <v>0</v>
      </c>
      <c r="S818" s="20">
        <v>40360</v>
      </c>
      <c r="T818" s="1">
        <v>235</v>
      </c>
      <c r="U818" s="9">
        <v>215</v>
      </c>
      <c r="V818" s="9" t="s">
        <v>21</v>
      </c>
    </row>
    <row r="819" spans="1:22" x14ac:dyDescent="0.25">
      <c r="A819" s="10" t="s">
        <v>37</v>
      </c>
      <c r="B819" t="b">
        <v>0</v>
      </c>
      <c r="C819" t="b">
        <v>0</v>
      </c>
      <c r="D819" s="1">
        <v>0</v>
      </c>
      <c r="E819" s="1">
        <v>0</v>
      </c>
      <c r="F819" s="1">
        <v>0</v>
      </c>
      <c r="G819" s="1">
        <v>210</v>
      </c>
      <c r="H819" s="1">
        <v>0</v>
      </c>
      <c r="I819" s="1">
        <v>0</v>
      </c>
      <c r="J819" s="1">
        <f t="shared" si="46"/>
        <v>210</v>
      </c>
      <c r="K819" s="1">
        <v>0</v>
      </c>
      <c r="L819" s="1">
        <v>0</v>
      </c>
      <c r="M819" s="1">
        <v>0</v>
      </c>
      <c r="N819" s="1">
        <f t="shared" si="47"/>
        <v>0</v>
      </c>
      <c r="O819" s="14">
        <v>20</v>
      </c>
      <c r="P819" s="17">
        <f t="shared" si="45"/>
        <v>210</v>
      </c>
      <c r="Q819" s="1">
        <v>0</v>
      </c>
      <c r="R819" s="1">
        <v>0</v>
      </c>
      <c r="S819" s="20">
        <v>40391</v>
      </c>
      <c r="T819" s="1">
        <v>230</v>
      </c>
      <c r="U819" s="9">
        <v>210</v>
      </c>
      <c r="V819" s="9" t="s">
        <v>21</v>
      </c>
    </row>
    <row r="820" spans="1:22" x14ac:dyDescent="0.25">
      <c r="A820" s="10" t="s">
        <v>37</v>
      </c>
      <c r="B820" t="b">
        <v>0</v>
      </c>
      <c r="C820" t="b">
        <v>0</v>
      </c>
      <c r="D820" s="1">
        <v>0</v>
      </c>
      <c r="E820" s="1">
        <v>0</v>
      </c>
      <c r="F820" s="1">
        <v>0</v>
      </c>
      <c r="G820" s="1">
        <v>328</v>
      </c>
      <c r="H820" s="1">
        <v>0</v>
      </c>
      <c r="I820" s="1">
        <v>0</v>
      </c>
      <c r="J820" s="1">
        <f t="shared" si="46"/>
        <v>328</v>
      </c>
      <c r="K820" s="1">
        <v>0</v>
      </c>
      <c r="L820" s="1">
        <v>0</v>
      </c>
      <c r="M820" s="1">
        <v>0</v>
      </c>
      <c r="N820" s="1">
        <f t="shared" si="47"/>
        <v>0</v>
      </c>
      <c r="O820" s="14">
        <v>37</v>
      </c>
      <c r="P820" s="17">
        <f t="shared" si="45"/>
        <v>328</v>
      </c>
      <c r="Q820" s="1">
        <v>0</v>
      </c>
      <c r="R820" s="1">
        <v>0</v>
      </c>
      <c r="S820" s="20">
        <v>40422</v>
      </c>
      <c r="T820" s="1">
        <v>365</v>
      </c>
      <c r="U820" s="9">
        <v>328</v>
      </c>
      <c r="V820" s="9" t="s">
        <v>21</v>
      </c>
    </row>
    <row r="821" spans="1:22" x14ac:dyDescent="0.25">
      <c r="A821" s="10" t="s">
        <v>37</v>
      </c>
      <c r="B821" t="b">
        <v>0</v>
      </c>
      <c r="C821" t="b">
        <v>0</v>
      </c>
      <c r="D821" s="1">
        <v>10</v>
      </c>
      <c r="E821" s="1">
        <v>0</v>
      </c>
      <c r="F821" s="1">
        <v>0</v>
      </c>
      <c r="G821" s="1">
        <v>328</v>
      </c>
      <c r="H821" s="1">
        <v>0</v>
      </c>
      <c r="I821" s="1">
        <v>0</v>
      </c>
      <c r="J821" s="1">
        <f t="shared" si="46"/>
        <v>338</v>
      </c>
      <c r="K821" s="1">
        <v>0</v>
      </c>
      <c r="L821" s="1">
        <v>0</v>
      </c>
      <c r="M821" s="1">
        <v>0</v>
      </c>
      <c r="N821" s="1">
        <f t="shared" si="47"/>
        <v>0</v>
      </c>
      <c r="O821" s="14">
        <v>44</v>
      </c>
      <c r="P821" s="17">
        <f t="shared" si="45"/>
        <v>338</v>
      </c>
      <c r="Q821" s="1">
        <v>0</v>
      </c>
      <c r="R821" s="1">
        <v>0</v>
      </c>
      <c r="S821" s="20">
        <v>40452</v>
      </c>
      <c r="T821" s="1">
        <v>382</v>
      </c>
      <c r="U821" s="9">
        <v>338</v>
      </c>
      <c r="V821" s="9" t="s">
        <v>21</v>
      </c>
    </row>
    <row r="822" spans="1:22" x14ac:dyDescent="0.25">
      <c r="A822" s="10" t="s">
        <v>37</v>
      </c>
      <c r="B822" t="b">
        <v>0</v>
      </c>
      <c r="C822" t="b">
        <v>0</v>
      </c>
      <c r="D822" s="1">
        <v>38</v>
      </c>
      <c r="E822" s="1">
        <v>0</v>
      </c>
      <c r="F822" s="1">
        <v>0</v>
      </c>
      <c r="G822" s="1">
        <v>343</v>
      </c>
      <c r="H822" s="1">
        <v>0</v>
      </c>
      <c r="I822" s="1">
        <v>0</v>
      </c>
      <c r="J822" s="1">
        <f t="shared" si="46"/>
        <v>381</v>
      </c>
      <c r="K822" s="1">
        <v>0</v>
      </c>
      <c r="L822" s="1">
        <v>0</v>
      </c>
      <c r="M822" s="1">
        <v>0</v>
      </c>
      <c r="N822" s="1">
        <f t="shared" si="47"/>
        <v>0</v>
      </c>
      <c r="O822" s="14">
        <v>2</v>
      </c>
      <c r="P822" s="17">
        <f t="shared" si="45"/>
        <v>381</v>
      </c>
      <c r="Q822" s="1">
        <v>0</v>
      </c>
      <c r="R822" s="1">
        <v>0</v>
      </c>
      <c r="S822" s="20">
        <v>40483</v>
      </c>
      <c r="T822" s="1">
        <v>383</v>
      </c>
      <c r="U822" s="9">
        <v>381</v>
      </c>
      <c r="V822" s="9" t="s">
        <v>21</v>
      </c>
    </row>
    <row r="823" spans="1:22" x14ac:dyDescent="0.25">
      <c r="A823" s="10" t="s">
        <v>37</v>
      </c>
      <c r="B823" t="b">
        <v>0</v>
      </c>
      <c r="C823" t="b">
        <v>0</v>
      </c>
      <c r="D823" s="1">
        <v>3</v>
      </c>
      <c r="E823" s="1">
        <v>0</v>
      </c>
      <c r="F823" s="1">
        <v>0</v>
      </c>
      <c r="G823" s="1">
        <v>245</v>
      </c>
      <c r="H823" s="1">
        <v>0</v>
      </c>
      <c r="I823" s="1">
        <v>0</v>
      </c>
      <c r="J823" s="1">
        <f t="shared" si="46"/>
        <v>248</v>
      </c>
      <c r="K823" s="1">
        <v>0</v>
      </c>
      <c r="L823" s="1">
        <v>0</v>
      </c>
      <c r="M823" s="1">
        <v>0</v>
      </c>
      <c r="N823" s="1">
        <f t="shared" si="47"/>
        <v>0</v>
      </c>
      <c r="O823" s="14">
        <v>1</v>
      </c>
      <c r="P823" s="17">
        <f t="shared" si="45"/>
        <v>248</v>
      </c>
      <c r="Q823" s="1">
        <v>0</v>
      </c>
      <c r="R823" s="1">
        <v>0</v>
      </c>
      <c r="S823" s="20">
        <v>40513</v>
      </c>
      <c r="T823" s="1">
        <v>249</v>
      </c>
      <c r="U823" s="9">
        <v>248</v>
      </c>
      <c r="V823" s="9" t="s">
        <v>21</v>
      </c>
    </row>
    <row r="824" spans="1:22" x14ac:dyDescent="0.25">
      <c r="A824" s="10" t="s">
        <v>37</v>
      </c>
      <c r="B824" t="b">
        <v>0</v>
      </c>
      <c r="C824" t="b">
        <v>0</v>
      </c>
      <c r="D824" s="1">
        <v>0</v>
      </c>
      <c r="E824" s="1">
        <v>0</v>
      </c>
      <c r="F824" s="1">
        <v>0</v>
      </c>
      <c r="G824" s="1">
        <v>278</v>
      </c>
      <c r="H824" s="1">
        <v>0</v>
      </c>
      <c r="I824" s="1">
        <v>0</v>
      </c>
      <c r="J824" s="1">
        <f t="shared" si="46"/>
        <v>278</v>
      </c>
      <c r="K824" s="1">
        <v>0</v>
      </c>
      <c r="L824" s="1">
        <v>0</v>
      </c>
      <c r="M824" s="1">
        <v>0</v>
      </c>
      <c r="N824" s="1">
        <f t="shared" si="47"/>
        <v>0</v>
      </c>
      <c r="O824" s="14">
        <v>15</v>
      </c>
      <c r="P824" s="17">
        <f t="shared" si="45"/>
        <v>278</v>
      </c>
      <c r="Q824" s="1">
        <v>0</v>
      </c>
      <c r="R824" s="1">
        <v>0</v>
      </c>
      <c r="S824" s="20">
        <v>40544</v>
      </c>
      <c r="T824" s="1">
        <v>293</v>
      </c>
      <c r="U824" s="9">
        <v>278</v>
      </c>
      <c r="V824" s="9" t="s">
        <v>21</v>
      </c>
    </row>
    <row r="825" spans="1:22" x14ac:dyDescent="0.25">
      <c r="A825" s="10" t="s">
        <v>37</v>
      </c>
      <c r="B825" t="b">
        <v>0</v>
      </c>
      <c r="C825" t="b">
        <v>0</v>
      </c>
      <c r="D825" s="1">
        <v>30</v>
      </c>
      <c r="E825" s="1">
        <v>0</v>
      </c>
      <c r="F825" s="1">
        <v>0</v>
      </c>
      <c r="G825" s="1">
        <v>185</v>
      </c>
      <c r="H825" s="1">
        <v>0</v>
      </c>
      <c r="I825" s="1">
        <v>0</v>
      </c>
      <c r="J825" s="1">
        <f t="shared" si="46"/>
        <v>215</v>
      </c>
      <c r="K825" s="1">
        <v>0</v>
      </c>
      <c r="L825" s="1">
        <v>0</v>
      </c>
      <c r="M825" s="1">
        <v>0</v>
      </c>
      <c r="N825" s="1">
        <f t="shared" si="47"/>
        <v>0</v>
      </c>
      <c r="O825" s="14">
        <v>2</v>
      </c>
      <c r="P825" s="17">
        <f t="shared" si="45"/>
        <v>215</v>
      </c>
      <c r="Q825" s="1">
        <v>0</v>
      </c>
      <c r="R825" s="1">
        <v>0</v>
      </c>
      <c r="S825" s="20">
        <v>40575</v>
      </c>
      <c r="T825" s="1">
        <v>217</v>
      </c>
      <c r="U825" s="9">
        <v>215</v>
      </c>
      <c r="V825" s="9" t="s">
        <v>21</v>
      </c>
    </row>
    <row r="826" spans="1:22" x14ac:dyDescent="0.25">
      <c r="A826" s="10" t="s">
        <v>37</v>
      </c>
      <c r="B826" t="b">
        <v>0</v>
      </c>
      <c r="C826" t="b">
        <v>0</v>
      </c>
      <c r="D826" s="1">
        <v>53</v>
      </c>
      <c r="E826" s="1">
        <v>0</v>
      </c>
      <c r="F826" s="1">
        <v>0</v>
      </c>
      <c r="G826" s="1">
        <v>125</v>
      </c>
      <c r="H826" s="1">
        <v>0</v>
      </c>
      <c r="I826" s="1">
        <v>0</v>
      </c>
      <c r="J826" s="1">
        <f t="shared" si="46"/>
        <v>178</v>
      </c>
      <c r="K826" s="1">
        <v>0</v>
      </c>
      <c r="L826" s="1">
        <v>0</v>
      </c>
      <c r="M826" s="1">
        <v>0</v>
      </c>
      <c r="N826" s="1">
        <f t="shared" si="47"/>
        <v>0</v>
      </c>
      <c r="O826" s="14">
        <v>7</v>
      </c>
      <c r="P826" s="17">
        <f t="shared" si="45"/>
        <v>178</v>
      </c>
      <c r="Q826" s="1">
        <v>0</v>
      </c>
      <c r="R826" s="1">
        <v>0</v>
      </c>
      <c r="S826" s="20">
        <v>40603</v>
      </c>
      <c r="T826" s="1">
        <v>185</v>
      </c>
      <c r="U826" s="9">
        <v>178</v>
      </c>
      <c r="V826" s="9" t="s">
        <v>21</v>
      </c>
    </row>
    <row r="827" spans="1:22" x14ac:dyDescent="0.25">
      <c r="A827" s="10" t="s">
        <v>37</v>
      </c>
      <c r="B827" t="b">
        <v>0</v>
      </c>
      <c r="C827" t="b">
        <v>0</v>
      </c>
      <c r="D827" s="1">
        <v>0</v>
      </c>
      <c r="E827" s="1">
        <v>0</v>
      </c>
      <c r="F827" s="1">
        <v>0</v>
      </c>
      <c r="G827" s="1">
        <v>208</v>
      </c>
      <c r="H827" s="1">
        <v>0</v>
      </c>
      <c r="I827" s="1">
        <v>0</v>
      </c>
      <c r="J827" s="1">
        <f t="shared" si="46"/>
        <v>208</v>
      </c>
      <c r="K827" s="1">
        <v>0</v>
      </c>
      <c r="L827" s="1">
        <v>0</v>
      </c>
      <c r="M827" s="1">
        <v>0</v>
      </c>
      <c r="N827" s="1">
        <f t="shared" si="47"/>
        <v>0</v>
      </c>
      <c r="O827" s="14">
        <v>10</v>
      </c>
      <c r="P827" s="17">
        <f t="shared" si="45"/>
        <v>208</v>
      </c>
      <c r="Q827" s="1">
        <v>0</v>
      </c>
      <c r="R827" s="1">
        <v>0</v>
      </c>
      <c r="S827" s="20">
        <v>40634</v>
      </c>
      <c r="T827" s="1">
        <v>218</v>
      </c>
      <c r="U827" s="9">
        <v>208</v>
      </c>
      <c r="V827" s="9" t="s">
        <v>21</v>
      </c>
    </row>
    <row r="828" spans="1:22" x14ac:dyDescent="0.25">
      <c r="A828" s="10" t="s">
        <v>37</v>
      </c>
      <c r="B828" t="b">
        <v>0</v>
      </c>
      <c r="C828" t="b">
        <v>0</v>
      </c>
      <c r="D828" s="1">
        <v>0</v>
      </c>
      <c r="E828" s="1">
        <v>0</v>
      </c>
      <c r="F828" s="1">
        <v>0</v>
      </c>
      <c r="G828" s="1">
        <v>225</v>
      </c>
      <c r="H828" s="1">
        <v>0</v>
      </c>
      <c r="I828" s="1">
        <v>0</v>
      </c>
      <c r="J828" s="1">
        <f t="shared" si="46"/>
        <v>225</v>
      </c>
      <c r="K828" s="1">
        <v>0</v>
      </c>
      <c r="L828" s="1">
        <v>0</v>
      </c>
      <c r="M828" s="1">
        <v>0</v>
      </c>
      <c r="N828" s="1">
        <f t="shared" si="47"/>
        <v>0</v>
      </c>
      <c r="O828" s="14">
        <v>17</v>
      </c>
      <c r="P828" s="17">
        <f t="shared" si="45"/>
        <v>225</v>
      </c>
      <c r="Q828" s="1">
        <v>0</v>
      </c>
      <c r="R828" s="1">
        <v>0</v>
      </c>
      <c r="S828" s="20">
        <v>40664</v>
      </c>
      <c r="T828" s="1">
        <v>242</v>
      </c>
      <c r="U828" s="9">
        <v>225</v>
      </c>
      <c r="V828" s="9" t="s">
        <v>21</v>
      </c>
    </row>
    <row r="829" spans="1:22" x14ac:dyDescent="0.25">
      <c r="A829" s="10" t="s">
        <v>37</v>
      </c>
      <c r="B829" t="b">
        <v>0</v>
      </c>
      <c r="C829" t="b">
        <v>0</v>
      </c>
      <c r="D829" s="1">
        <v>28</v>
      </c>
      <c r="E829" s="1">
        <v>0</v>
      </c>
      <c r="F829" s="1">
        <v>0</v>
      </c>
      <c r="G829" s="1">
        <v>203</v>
      </c>
      <c r="H829" s="1">
        <v>0</v>
      </c>
      <c r="I829" s="1">
        <v>0</v>
      </c>
      <c r="J829" s="1">
        <f t="shared" si="46"/>
        <v>231</v>
      </c>
      <c r="K829" s="1">
        <v>0</v>
      </c>
      <c r="L829" s="1">
        <v>0</v>
      </c>
      <c r="M829" s="1">
        <v>0</v>
      </c>
      <c r="N829" s="1">
        <f t="shared" si="47"/>
        <v>0</v>
      </c>
      <c r="O829" s="14">
        <v>21</v>
      </c>
      <c r="P829" s="17">
        <f t="shared" si="45"/>
        <v>231</v>
      </c>
      <c r="Q829" s="1">
        <v>0</v>
      </c>
      <c r="R829" s="1">
        <v>0</v>
      </c>
      <c r="S829" s="20">
        <v>40695</v>
      </c>
      <c r="T829" s="1">
        <v>252</v>
      </c>
      <c r="U829" s="9">
        <v>231</v>
      </c>
      <c r="V829" s="9" t="s">
        <v>21</v>
      </c>
    </row>
    <row r="830" spans="1:22" x14ac:dyDescent="0.25">
      <c r="A830" s="10" t="s">
        <v>37</v>
      </c>
      <c r="B830" t="b">
        <v>0</v>
      </c>
      <c r="C830" t="b">
        <v>0</v>
      </c>
      <c r="D830" s="1">
        <v>83</v>
      </c>
      <c r="E830" s="1">
        <v>0</v>
      </c>
      <c r="F830" s="1">
        <v>0</v>
      </c>
      <c r="G830" s="1">
        <v>195</v>
      </c>
      <c r="H830" s="1">
        <v>0</v>
      </c>
      <c r="I830" s="1">
        <v>0</v>
      </c>
      <c r="J830" s="1">
        <f t="shared" si="46"/>
        <v>278</v>
      </c>
      <c r="K830" s="1">
        <v>0</v>
      </c>
      <c r="L830" s="1">
        <v>0</v>
      </c>
      <c r="M830" s="1">
        <v>0</v>
      </c>
      <c r="N830" s="1">
        <f t="shared" si="47"/>
        <v>0</v>
      </c>
      <c r="O830" s="14">
        <v>18</v>
      </c>
      <c r="P830" s="17">
        <f t="shared" si="45"/>
        <v>278</v>
      </c>
      <c r="Q830" s="1">
        <v>0</v>
      </c>
      <c r="R830" s="1">
        <v>0</v>
      </c>
      <c r="S830" s="20">
        <v>40725</v>
      </c>
      <c r="T830" s="1">
        <v>296</v>
      </c>
      <c r="U830" s="9">
        <v>278</v>
      </c>
      <c r="V830" s="9" t="s">
        <v>21</v>
      </c>
    </row>
    <row r="831" spans="1:22" x14ac:dyDescent="0.25">
      <c r="A831" s="10" t="s">
        <v>37</v>
      </c>
      <c r="B831" t="b">
        <v>0</v>
      </c>
      <c r="C831" t="b">
        <v>0</v>
      </c>
      <c r="D831" s="1">
        <v>0</v>
      </c>
      <c r="E831" s="1">
        <v>0</v>
      </c>
      <c r="F831" s="1">
        <v>0</v>
      </c>
      <c r="G831" s="1">
        <v>285</v>
      </c>
      <c r="H831" s="1">
        <v>0</v>
      </c>
      <c r="I831" s="1">
        <v>0</v>
      </c>
      <c r="J831" s="1">
        <f t="shared" si="46"/>
        <v>285</v>
      </c>
      <c r="K831" s="1">
        <v>0</v>
      </c>
      <c r="L831" s="1">
        <v>0</v>
      </c>
      <c r="M831" s="1">
        <v>0</v>
      </c>
      <c r="N831" s="1">
        <f t="shared" si="47"/>
        <v>0</v>
      </c>
      <c r="O831" s="14">
        <v>16</v>
      </c>
      <c r="P831" s="17">
        <f t="shared" si="45"/>
        <v>285</v>
      </c>
      <c r="Q831" s="1">
        <v>0</v>
      </c>
      <c r="R831" s="1">
        <v>0</v>
      </c>
      <c r="S831" s="20">
        <v>40756</v>
      </c>
      <c r="T831" s="1">
        <v>301</v>
      </c>
      <c r="U831" s="9">
        <v>285</v>
      </c>
      <c r="V831" s="9" t="s">
        <v>21</v>
      </c>
    </row>
    <row r="832" spans="1:22" x14ac:dyDescent="0.25">
      <c r="A832" s="10" t="s">
        <v>37</v>
      </c>
      <c r="B832" t="b">
        <v>0</v>
      </c>
      <c r="C832" t="b">
        <v>0</v>
      </c>
      <c r="D832" s="1">
        <v>8</v>
      </c>
      <c r="E832" s="1">
        <v>0</v>
      </c>
      <c r="F832" s="1">
        <v>0</v>
      </c>
      <c r="G832" s="1">
        <v>208</v>
      </c>
      <c r="H832" s="1">
        <v>0</v>
      </c>
      <c r="I832" s="1">
        <v>0</v>
      </c>
      <c r="J832" s="1">
        <f t="shared" si="46"/>
        <v>216</v>
      </c>
      <c r="K832" s="1">
        <v>0</v>
      </c>
      <c r="L832" s="1">
        <v>0</v>
      </c>
      <c r="M832" s="1">
        <v>0</v>
      </c>
      <c r="N832" s="1">
        <f t="shared" si="47"/>
        <v>0</v>
      </c>
      <c r="O832" s="14">
        <v>0</v>
      </c>
      <c r="P832" s="17">
        <f t="shared" si="45"/>
        <v>216</v>
      </c>
      <c r="Q832" s="1">
        <v>0</v>
      </c>
      <c r="R832" s="1">
        <v>0</v>
      </c>
      <c r="S832" s="20">
        <v>40787</v>
      </c>
      <c r="T832" s="1">
        <v>216</v>
      </c>
      <c r="U832" s="9">
        <v>216</v>
      </c>
      <c r="V832" s="9" t="s">
        <v>21</v>
      </c>
    </row>
    <row r="833" spans="1:22" x14ac:dyDescent="0.25">
      <c r="A833" s="10" t="s">
        <v>37</v>
      </c>
      <c r="B833" t="b">
        <v>0</v>
      </c>
      <c r="C833" t="b">
        <v>0</v>
      </c>
      <c r="D833" s="1">
        <v>0</v>
      </c>
      <c r="E833" s="1">
        <v>0</v>
      </c>
      <c r="F833" s="1">
        <v>0</v>
      </c>
      <c r="G833" s="1">
        <v>238</v>
      </c>
      <c r="H833" s="1">
        <v>0</v>
      </c>
      <c r="I833" s="1">
        <v>0</v>
      </c>
      <c r="J833" s="1">
        <f t="shared" si="46"/>
        <v>238</v>
      </c>
      <c r="K833" s="1">
        <v>0</v>
      </c>
      <c r="L833" s="1">
        <v>0</v>
      </c>
      <c r="M833" s="1">
        <v>0</v>
      </c>
      <c r="N833" s="1">
        <f t="shared" si="47"/>
        <v>0</v>
      </c>
      <c r="O833" s="14">
        <v>0</v>
      </c>
      <c r="P833" s="17">
        <f t="shared" si="45"/>
        <v>238</v>
      </c>
      <c r="Q833" s="1">
        <v>0</v>
      </c>
      <c r="R833" s="1">
        <v>0</v>
      </c>
      <c r="S833" s="20">
        <v>40817</v>
      </c>
      <c r="T833" s="1">
        <v>238</v>
      </c>
      <c r="U833" s="9">
        <v>238</v>
      </c>
      <c r="V833" s="9" t="s">
        <v>21</v>
      </c>
    </row>
    <row r="834" spans="1:22" x14ac:dyDescent="0.25">
      <c r="A834" s="10" t="s">
        <v>37</v>
      </c>
      <c r="B834" t="b">
        <v>0</v>
      </c>
      <c r="C834" t="b">
        <v>0</v>
      </c>
      <c r="D834" s="1">
        <v>0</v>
      </c>
      <c r="E834" s="1">
        <v>0</v>
      </c>
      <c r="F834" s="1">
        <v>0</v>
      </c>
      <c r="G834" s="1">
        <v>78</v>
      </c>
      <c r="H834" s="1">
        <v>0</v>
      </c>
      <c r="I834" s="1">
        <v>0</v>
      </c>
      <c r="J834" s="1">
        <f t="shared" si="46"/>
        <v>78</v>
      </c>
      <c r="K834" s="1">
        <v>0</v>
      </c>
      <c r="L834" s="1">
        <v>0</v>
      </c>
      <c r="M834" s="1">
        <v>0</v>
      </c>
      <c r="N834" s="1">
        <f t="shared" si="47"/>
        <v>0</v>
      </c>
      <c r="O834" s="14">
        <v>0</v>
      </c>
      <c r="P834" s="17">
        <f t="shared" si="45"/>
        <v>78</v>
      </c>
      <c r="Q834" s="1">
        <v>0</v>
      </c>
      <c r="R834" s="1">
        <v>0</v>
      </c>
      <c r="S834" s="20">
        <v>40848</v>
      </c>
      <c r="T834" s="1">
        <v>78</v>
      </c>
      <c r="U834" s="9">
        <v>78</v>
      </c>
      <c r="V834" s="9" t="s">
        <v>21</v>
      </c>
    </row>
    <row r="835" spans="1:22" x14ac:dyDescent="0.25">
      <c r="A835" s="10" t="s">
        <v>37</v>
      </c>
      <c r="B835" t="b">
        <v>0</v>
      </c>
      <c r="C835" t="b">
        <v>0</v>
      </c>
      <c r="D835" s="1">
        <v>0</v>
      </c>
      <c r="E835" s="1">
        <v>0</v>
      </c>
      <c r="F835" s="1">
        <v>0</v>
      </c>
      <c r="G835" s="1">
        <v>55</v>
      </c>
      <c r="H835" s="1">
        <v>0</v>
      </c>
      <c r="I835" s="1">
        <v>0</v>
      </c>
      <c r="J835" s="1">
        <f t="shared" si="46"/>
        <v>55</v>
      </c>
      <c r="K835" s="1">
        <v>0</v>
      </c>
      <c r="L835" s="1">
        <v>0</v>
      </c>
      <c r="M835" s="1">
        <v>0</v>
      </c>
      <c r="N835" s="1">
        <f t="shared" si="47"/>
        <v>0</v>
      </c>
      <c r="O835" s="14">
        <v>0</v>
      </c>
      <c r="P835" s="17">
        <f t="shared" si="45"/>
        <v>55</v>
      </c>
      <c r="Q835" s="1">
        <v>0</v>
      </c>
      <c r="R835" s="1">
        <v>0</v>
      </c>
      <c r="S835" s="20">
        <v>40878</v>
      </c>
      <c r="T835" s="1">
        <v>55</v>
      </c>
      <c r="U835" s="9">
        <v>55</v>
      </c>
      <c r="V835" s="9" t="s">
        <v>21</v>
      </c>
    </row>
    <row r="836" spans="1:22" x14ac:dyDescent="0.25">
      <c r="A836" s="10" t="s">
        <v>37</v>
      </c>
      <c r="B836" t="b">
        <v>0</v>
      </c>
      <c r="C836" t="b">
        <v>0</v>
      </c>
      <c r="D836" s="1">
        <v>0</v>
      </c>
      <c r="E836" s="1">
        <v>0</v>
      </c>
      <c r="F836" s="1">
        <v>0</v>
      </c>
      <c r="G836" s="1">
        <v>418</v>
      </c>
      <c r="H836" s="1">
        <v>0</v>
      </c>
      <c r="I836" s="1">
        <v>0</v>
      </c>
      <c r="J836" s="1">
        <f t="shared" si="46"/>
        <v>418</v>
      </c>
      <c r="K836" s="1">
        <v>0</v>
      </c>
      <c r="L836" s="1">
        <v>0</v>
      </c>
      <c r="M836" s="1">
        <v>0</v>
      </c>
      <c r="N836" s="1">
        <f t="shared" si="47"/>
        <v>0</v>
      </c>
      <c r="O836" s="14">
        <v>0</v>
      </c>
      <c r="P836" s="17">
        <f t="shared" si="45"/>
        <v>418</v>
      </c>
      <c r="Q836" s="1">
        <v>0</v>
      </c>
      <c r="R836" s="1">
        <v>0</v>
      </c>
      <c r="S836" s="20">
        <v>40909</v>
      </c>
      <c r="T836" s="1">
        <v>418</v>
      </c>
      <c r="U836" s="9">
        <v>418</v>
      </c>
      <c r="V836" s="9" t="s">
        <v>21</v>
      </c>
    </row>
    <row r="837" spans="1:22" x14ac:dyDescent="0.25">
      <c r="A837" s="10" t="s">
        <v>37</v>
      </c>
      <c r="B837" t="b">
        <v>0</v>
      </c>
      <c r="C837" t="b">
        <v>0</v>
      </c>
      <c r="D837" s="1">
        <v>0</v>
      </c>
      <c r="E837" s="1">
        <v>0</v>
      </c>
      <c r="F837" s="1">
        <v>0</v>
      </c>
      <c r="G837" s="1">
        <v>564</v>
      </c>
      <c r="H837" s="1">
        <v>0</v>
      </c>
      <c r="I837" s="1">
        <v>0</v>
      </c>
      <c r="J837" s="1">
        <f t="shared" si="46"/>
        <v>564</v>
      </c>
      <c r="K837" s="1">
        <v>0</v>
      </c>
      <c r="L837" s="1">
        <v>0</v>
      </c>
      <c r="M837" s="1">
        <v>0</v>
      </c>
      <c r="N837" s="1">
        <f t="shared" si="47"/>
        <v>0</v>
      </c>
      <c r="O837" s="14">
        <v>3</v>
      </c>
      <c r="P837" s="17">
        <f t="shared" si="45"/>
        <v>564</v>
      </c>
      <c r="Q837" s="1">
        <v>0</v>
      </c>
      <c r="R837" s="1">
        <v>0</v>
      </c>
      <c r="S837" s="20">
        <v>40940</v>
      </c>
      <c r="T837" s="1">
        <v>567</v>
      </c>
      <c r="U837" s="9">
        <v>564</v>
      </c>
      <c r="V837" s="9" t="s">
        <v>21</v>
      </c>
    </row>
    <row r="838" spans="1:22" x14ac:dyDescent="0.25">
      <c r="A838" s="10" t="s">
        <v>37</v>
      </c>
      <c r="B838" t="b">
        <v>0</v>
      </c>
      <c r="C838" t="b">
        <v>0</v>
      </c>
      <c r="D838" s="1">
        <v>0</v>
      </c>
      <c r="E838" s="1">
        <v>0</v>
      </c>
      <c r="F838" s="1">
        <v>0</v>
      </c>
      <c r="G838" s="1">
        <v>816</v>
      </c>
      <c r="H838" s="1">
        <v>0</v>
      </c>
      <c r="I838" s="1">
        <v>0</v>
      </c>
      <c r="J838" s="1">
        <f t="shared" si="46"/>
        <v>816</v>
      </c>
      <c r="K838" s="1">
        <v>0</v>
      </c>
      <c r="L838" s="1">
        <v>0</v>
      </c>
      <c r="M838" s="1">
        <v>0</v>
      </c>
      <c r="N838" s="1">
        <f t="shared" si="47"/>
        <v>0</v>
      </c>
      <c r="O838" s="14">
        <v>0</v>
      </c>
      <c r="P838" s="17">
        <f t="shared" ref="P838:P901" si="48">J838</f>
        <v>816</v>
      </c>
      <c r="Q838" s="1">
        <v>0</v>
      </c>
      <c r="R838" s="1">
        <v>0</v>
      </c>
      <c r="S838" s="20">
        <v>40969</v>
      </c>
      <c r="T838" s="1">
        <v>816</v>
      </c>
      <c r="U838" s="9">
        <v>816</v>
      </c>
      <c r="V838" s="9" t="s">
        <v>21</v>
      </c>
    </row>
    <row r="839" spans="1:22" x14ac:dyDescent="0.25">
      <c r="A839" s="10" t="s">
        <v>37</v>
      </c>
      <c r="B839" t="b">
        <v>0</v>
      </c>
      <c r="C839" t="b">
        <v>0</v>
      </c>
      <c r="D839" s="1">
        <v>0</v>
      </c>
      <c r="E839" s="1">
        <v>0</v>
      </c>
      <c r="F839" s="1">
        <v>0</v>
      </c>
      <c r="G839" s="1">
        <v>738</v>
      </c>
      <c r="H839" s="1">
        <v>0</v>
      </c>
      <c r="I839" s="1">
        <v>0</v>
      </c>
      <c r="J839" s="1">
        <f t="shared" ref="J839:J902" si="49">D839+E839+F839+G839+H839+I839</f>
        <v>738</v>
      </c>
      <c r="K839" s="1">
        <v>0</v>
      </c>
      <c r="L839" s="1">
        <v>0</v>
      </c>
      <c r="M839" s="1">
        <v>0</v>
      </c>
      <c r="N839" s="1">
        <f t="shared" si="47"/>
        <v>0</v>
      </c>
      <c r="O839" s="14">
        <v>0</v>
      </c>
      <c r="P839" s="17">
        <f t="shared" si="48"/>
        <v>738</v>
      </c>
      <c r="Q839" s="1">
        <v>0</v>
      </c>
      <c r="R839" s="1">
        <v>0</v>
      </c>
      <c r="S839" s="20">
        <v>41000</v>
      </c>
      <c r="T839" s="1">
        <v>738</v>
      </c>
      <c r="U839" s="9">
        <v>738</v>
      </c>
      <c r="V839" s="9" t="s">
        <v>21</v>
      </c>
    </row>
    <row r="840" spans="1:22" x14ac:dyDescent="0.25">
      <c r="A840" s="10" t="s">
        <v>37</v>
      </c>
      <c r="B840" t="b">
        <v>0</v>
      </c>
      <c r="C840" t="b">
        <v>0</v>
      </c>
      <c r="D840" s="1">
        <v>0</v>
      </c>
      <c r="E840" s="1">
        <v>0</v>
      </c>
      <c r="F840" s="1">
        <v>0</v>
      </c>
      <c r="G840" s="1">
        <v>1368</v>
      </c>
      <c r="H840" s="1">
        <v>0</v>
      </c>
      <c r="I840" s="1">
        <v>0</v>
      </c>
      <c r="J840" s="1">
        <f t="shared" si="49"/>
        <v>1368</v>
      </c>
      <c r="K840" s="1">
        <v>0</v>
      </c>
      <c r="L840" s="1">
        <v>0</v>
      </c>
      <c r="M840" s="1">
        <v>0</v>
      </c>
      <c r="N840" s="1">
        <f t="shared" si="47"/>
        <v>0</v>
      </c>
      <c r="O840" s="14">
        <v>0</v>
      </c>
      <c r="P840" s="17">
        <f t="shared" si="48"/>
        <v>1368</v>
      </c>
      <c r="Q840" s="1">
        <v>0</v>
      </c>
      <c r="R840" s="1">
        <v>0</v>
      </c>
      <c r="S840" s="20">
        <v>41030</v>
      </c>
      <c r="T840" s="1">
        <v>1368</v>
      </c>
      <c r="U840" s="9">
        <v>1368</v>
      </c>
      <c r="V840" s="9" t="s">
        <v>21</v>
      </c>
    </row>
    <row r="841" spans="1:22" x14ac:dyDescent="0.25">
      <c r="A841" s="10" t="s">
        <v>37</v>
      </c>
      <c r="B841" t="b">
        <v>0</v>
      </c>
      <c r="C841" t="b">
        <v>0</v>
      </c>
      <c r="D841" s="1">
        <v>0</v>
      </c>
      <c r="E841" s="1">
        <v>0</v>
      </c>
      <c r="F841" s="1">
        <v>0</v>
      </c>
      <c r="G841" s="1">
        <v>1266</v>
      </c>
      <c r="H841" s="1">
        <v>0</v>
      </c>
      <c r="I841" s="1">
        <v>0</v>
      </c>
      <c r="J841" s="1">
        <f t="shared" si="49"/>
        <v>1266</v>
      </c>
      <c r="K841" s="1">
        <v>0</v>
      </c>
      <c r="L841" s="1">
        <v>0</v>
      </c>
      <c r="M841" s="1">
        <v>0</v>
      </c>
      <c r="N841" s="1">
        <f t="shared" si="47"/>
        <v>0</v>
      </c>
      <c r="O841" s="14">
        <v>0</v>
      </c>
      <c r="P841" s="17">
        <f t="shared" si="48"/>
        <v>1266</v>
      </c>
      <c r="Q841" s="1">
        <v>0</v>
      </c>
      <c r="R841" s="1">
        <v>0</v>
      </c>
      <c r="S841" s="20">
        <v>41061</v>
      </c>
      <c r="T841" s="1">
        <v>1266</v>
      </c>
      <c r="U841" s="9">
        <v>1266</v>
      </c>
      <c r="V841" s="9" t="s">
        <v>21</v>
      </c>
    </row>
    <row r="842" spans="1:22" x14ac:dyDescent="0.25">
      <c r="A842" s="10" t="s">
        <v>37</v>
      </c>
      <c r="B842" t="b">
        <v>0</v>
      </c>
      <c r="C842" t="b">
        <v>0</v>
      </c>
      <c r="D842" s="1">
        <v>0</v>
      </c>
      <c r="E842" s="1">
        <v>0</v>
      </c>
      <c r="F842" s="1">
        <v>0</v>
      </c>
      <c r="G842" s="1">
        <v>954</v>
      </c>
      <c r="H842" s="1">
        <v>0</v>
      </c>
      <c r="I842" s="1">
        <v>0</v>
      </c>
      <c r="J842" s="1">
        <f t="shared" si="49"/>
        <v>954</v>
      </c>
      <c r="K842" s="1">
        <v>0</v>
      </c>
      <c r="L842" s="1">
        <v>0</v>
      </c>
      <c r="M842" s="1">
        <v>0</v>
      </c>
      <c r="N842" s="1">
        <f t="shared" si="47"/>
        <v>0</v>
      </c>
      <c r="O842" s="14">
        <v>54</v>
      </c>
      <c r="P842" s="17">
        <f t="shared" si="48"/>
        <v>954</v>
      </c>
      <c r="Q842" s="1">
        <v>0</v>
      </c>
      <c r="R842" s="1">
        <v>0</v>
      </c>
      <c r="S842" s="20">
        <v>41091</v>
      </c>
      <c r="T842" s="1">
        <v>1008</v>
      </c>
      <c r="U842" s="9">
        <v>954</v>
      </c>
      <c r="V842" s="9" t="s">
        <v>21</v>
      </c>
    </row>
    <row r="843" spans="1:22" x14ac:dyDescent="0.25">
      <c r="A843" s="10" t="s">
        <v>37</v>
      </c>
      <c r="B843" t="b">
        <v>0</v>
      </c>
      <c r="C843" t="b">
        <v>0</v>
      </c>
      <c r="D843" s="1">
        <v>0</v>
      </c>
      <c r="E843" s="1">
        <v>0</v>
      </c>
      <c r="F843" s="1">
        <v>0</v>
      </c>
      <c r="G843" s="1">
        <v>670</v>
      </c>
      <c r="H843" s="1">
        <v>0</v>
      </c>
      <c r="I843" s="1">
        <v>0</v>
      </c>
      <c r="J843" s="1">
        <f t="shared" si="49"/>
        <v>670</v>
      </c>
      <c r="K843" s="1">
        <v>0</v>
      </c>
      <c r="L843" s="1">
        <v>0</v>
      </c>
      <c r="M843" s="1">
        <v>0</v>
      </c>
      <c r="N843" s="1">
        <f t="shared" si="47"/>
        <v>0</v>
      </c>
      <c r="O843" s="14">
        <v>35</v>
      </c>
      <c r="P843" s="17">
        <f t="shared" si="48"/>
        <v>670</v>
      </c>
      <c r="Q843" s="1">
        <v>0</v>
      </c>
      <c r="R843" s="1">
        <v>0</v>
      </c>
      <c r="S843" s="20">
        <v>41122</v>
      </c>
      <c r="T843" s="1">
        <v>705</v>
      </c>
      <c r="U843" s="9">
        <v>670</v>
      </c>
      <c r="V843" s="9" t="s">
        <v>21</v>
      </c>
    </row>
    <row r="844" spans="1:22" x14ac:dyDescent="0.25">
      <c r="A844" s="10" t="s">
        <v>37</v>
      </c>
      <c r="B844" t="b">
        <v>0</v>
      </c>
      <c r="C844" t="b">
        <v>0</v>
      </c>
      <c r="D844" s="1">
        <v>83</v>
      </c>
      <c r="E844" s="1">
        <v>0</v>
      </c>
      <c r="F844" s="1">
        <v>0</v>
      </c>
      <c r="G844" s="1">
        <v>616</v>
      </c>
      <c r="H844" s="1">
        <v>0</v>
      </c>
      <c r="I844" s="1">
        <v>0</v>
      </c>
      <c r="J844" s="1">
        <f t="shared" si="49"/>
        <v>699</v>
      </c>
      <c r="K844" s="1">
        <v>0</v>
      </c>
      <c r="L844" s="1">
        <v>0</v>
      </c>
      <c r="M844" s="1">
        <v>0</v>
      </c>
      <c r="N844" s="1">
        <f t="shared" si="47"/>
        <v>0</v>
      </c>
      <c r="O844" s="14">
        <v>12</v>
      </c>
      <c r="P844" s="17">
        <f t="shared" si="48"/>
        <v>699</v>
      </c>
      <c r="Q844" s="1">
        <v>0</v>
      </c>
      <c r="R844" s="1">
        <v>0</v>
      </c>
      <c r="S844" s="20">
        <v>41153</v>
      </c>
      <c r="T844" s="1">
        <v>711</v>
      </c>
      <c r="U844" s="9">
        <v>699</v>
      </c>
      <c r="V844" s="9" t="s">
        <v>21</v>
      </c>
    </row>
    <row r="845" spans="1:22" x14ac:dyDescent="0.25">
      <c r="A845" s="10" t="s">
        <v>37</v>
      </c>
      <c r="B845" t="b">
        <v>0</v>
      </c>
      <c r="C845" t="b">
        <v>0</v>
      </c>
      <c r="D845" s="1">
        <v>48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f t="shared" si="49"/>
        <v>48</v>
      </c>
      <c r="K845" s="1">
        <v>0</v>
      </c>
      <c r="L845" s="1">
        <v>0</v>
      </c>
      <c r="M845" s="1">
        <v>0</v>
      </c>
      <c r="N845" s="1">
        <f t="shared" si="47"/>
        <v>0</v>
      </c>
      <c r="O845" s="14">
        <v>1</v>
      </c>
      <c r="P845" s="17">
        <f t="shared" si="48"/>
        <v>48</v>
      </c>
      <c r="Q845" s="1">
        <v>0</v>
      </c>
      <c r="R845" s="1">
        <v>0</v>
      </c>
      <c r="S845" s="20">
        <v>41183</v>
      </c>
      <c r="T845" s="1">
        <v>49</v>
      </c>
      <c r="U845" s="9">
        <v>48</v>
      </c>
      <c r="V845" s="9" t="s">
        <v>21</v>
      </c>
    </row>
    <row r="846" spans="1:22" x14ac:dyDescent="0.25">
      <c r="A846" s="10" t="s">
        <v>37</v>
      </c>
      <c r="B846" t="b">
        <v>0</v>
      </c>
      <c r="C846" t="b">
        <v>0</v>
      </c>
      <c r="D846" s="1">
        <v>93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f t="shared" si="49"/>
        <v>93</v>
      </c>
      <c r="K846" s="1">
        <v>0</v>
      </c>
      <c r="L846" s="1">
        <v>0</v>
      </c>
      <c r="M846" s="1">
        <v>0</v>
      </c>
      <c r="N846" s="1">
        <f t="shared" si="47"/>
        <v>0</v>
      </c>
      <c r="O846" s="14">
        <v>0</v>
      </c>
      <c r="P846" s="17">
        <f t="shared" si="48"/>
        <v>93</v>
      </c>
      <c r="Q846" s="1">
        <v>0</v>
      </c>
      <c r="R846" s="1">
        <v>0</v>
      </c>
      <c r="S846" s="20">
        <v>41214</v>
      </c>
      <c r="T846" s="1">
        <v>93</v>
      </c>
      <c r="U846" s="9">
        <v>93</v>
      </c>
      <c r="V846" s="9" t="s">
        <v>21</v>
      </c>
    </row>
    <row r="847" spans="1:22" x14ac:dyDescent="0.25">
      <c r="A847" s="10" t="s">
        <v>37</v>
      </c>
      <c r="B847" t="b">
        <v>0</v>
      </c>
      <c r="C847" t="b">
        <v>0</v>
      </c>
      <c r="D847" s="1">
        <v>18</v>
      </c>
      <c r="E847" s="1">
        <v>0</v>
      </c>
      <c r="F847" s="1">
        <v>0</v>
      </c>
      <c r="G847" s="1">
        <v>505</v>
      </c>
      <c r="H847" s="1">
        <v>0</v>
      </c>
      <c r="I847" s="1">
        <v>0</v>
      </c>
      <c r="J847" s="1">
        <f t="shared" si="49"/>
        <v>523</v>
      </c>
      <c r="K847" s="1">
        <v>0</v>
      </c>
      <c r="L847" s="1">
        <v>0</v>
      </c>
      <c r="M847" s="1">
        <v>0</v>
      </c>
      <c r="N847" s="1">
        <f t="shared" si="47"/>
        <v>0</v>
      </c>
      <c r="O847" s="14">
        <v>0</v>
      </c>
      <c r="P847" s="17">
        <f t="shared" si="48"/>
        <v>523</v>
      </c>
      <c r="Q847" s="1">
        <v>0</v>
      </c>
      <c r="R847" s="1">
        <v>0</v>
      </c>
      <c r="S847" s="20">
        <v>41244</v>
      </c>
      <c r="T847" s="1">
        <v>523</v>
      </c>
      <c r="U847" s="9">
        <v>523</v>
      </c>
      <c r="V847" s="9" t="s">
        <v>21</v>
      </c>
    </row>
    <row r="848" spans="1:22" x14ac:dyDescent="0.25">
      <c r="A848" s="10" t="s">
        <v>37</v>
      </c>
      <c r="B848" t="b">
        <v>0</v>
      </c>
      <c r="C848" t="b">
        <v>0</v>
      </c>
      <c r="D848" s="1">
        <v>55</v>
      </c>
      <c r="E848" s="1">
        <v>0</v>
      </c>
      <c r="F848" s="1">
        <v>0</v>
      </c>
      <c r="G848" s="1">
        <v>433</v>
      </c>
      <c r="H848" s="1">
        <v>0</v>
      </c>
      <c r="I848" s="1">
        <v>0</v>
      </c>
      <c r="J848" s="1">
        <f t="shared" si="49"/>
        <v>488</v>
      </c>
      <c r="K848" s="1">
        <v>0</v>
      </c>
      <c r="L848" s="1">
        <v>0</v>
      </c>
      <c r="M848" s="1">
        <v>0</v>
      </c>
      <c r="N848" s="1">
        <f t="shared" si="47"/>
        <v>0</v>
      </c>
      <c r="O848" s="14">
        <v>0</v>
      </c>
      <c r="P848" s="17">
        <f t="shared" si="48"/>
        <v>488</v>
      </c>
      <c r="Q848" s="1">
        <v>0</v>
      </c>
      <c r="R848" s="1">
        <v>0</v>
      </c>
      <c r="S848" s="20">
        <v>41275</v>
      </c>
      <c r="T848" s="1">
        <v>488</v>
      </c>
      <c r="U848" s="9">
        <v>488</v>
      </c>
      <c r="V848" s="9" t="s">
        <v>40</v>
      </c>
    </row>
    <row r="849" spans="1:22" x14ac:dyDescent="0.25">
      <c r="A849" s="10" t="s">
        <v>37</v>
      </c>
      <c r="B849" t="b">
        <v>0</v>
      </c>
      <c r="C849" t="b">
        <v>0</v>
      </c>
      <c r="D849" s="1">
        <v>128</v>
      </c>
      <c r="E849" s="1">
        <v>0</v>
      </c>
      <c r="F849" s="1">
        <v>0</v>
      </c>
      <c r="G849" s="1">
        <v>163</v>
      </c>
      <c r="H849" s="1">
        <v>0</v>
      </c>
      <c r="I849" s="1">
        <v>0</v>
      </c>
      <c r="J849" s="1">
        <f t="shared" si="49"/>
        <v>291</v>
      </c>
      <c r="K849" s="1">
        <v>0</v>
      </c>
      <c r="L849" s="1">
        <v>0</v>
      </c>
      <c r="M849" s="1">
        <v>0</v>
      </c>
      <c r="N849" s="1">
        <f t="shared" si="47"/>
        <v>0</v>
      </c>
      <c r="O849" s="14">
        <v>4</v>
      </c>
      <c r="P849" s="17">
        <f t="shared" si="48"/>
        <v>291</v>
      </c>
      <c r="Q849" s="1">
        <v>0</v>
      </c>
      <c r="R849" s="1">
        <v>0</v>
      </c>
      <c r="S849" s="20">
        <v>41306</v>
      </c>
      <c r="T849" s="1">
        <v>295</v>
      </c>
      <c r="U849" s="9">
        <v>291</v>
      </c>
      <c r="V849" s="9" t="s">
        <v>40</v>
      </c>
    </row>
    <row r="850" spans="1:22" x14ac:dyDescent="0.25">
      <c r="A850" s="10" t="s">
        <v>37</v>
      </c>
      <c r="B850" t="b">
        <v>0</v>
      </c>
      <c r="C850" t="b">
        <v>0</v>
      </c>
      <c r="D850" s="1">
        <v>141</v>
      </c>
      <c r="E850" s="1">
        <v>0</v>
      </c>
      <c r="F850" s="1">
        <v>0</v>
      </c>
      <c r="G850" s="1">
        <v>412</v>
      </c>
      <c r="H850" s="1">
        <v>0</v>
      </c>
      <c r="I850" s="1">
        <v>0</v>
      </c>
      <c r="J850" s="1">
        <f t="shared" si="49"/>
        <v>553</v>
      </c>
      <c r="K850" s="1">
        <v>0</v>
      </c>
      <c r="L850" s="1">
        <v>0</v>
      </c>
      <c r="M850" s="1">
        <v>0</v>
      </c>
      <c r="N850" s="1">
        <f t="shared" si="47"/>
        <v>0</v>
      </c>
      <c r="O850" s="14">
        <v>0</v>
      </c>
      <c r="P850" s="17">
        <f t="shared" si="48"/>
        <v>553</v>
      </c>
      <c r="Q850" s="1">
        <v>5</v>
      </c>
      <c r="R850" s="1">
        <v>0</v>
      </c>
      <c r="S850" s="20">
        <v>41334</v>
      </c>
      <c r="T850" s="1">
        <v>558</v>
      </c>
      <c r="U850" s="9">
        <v>553</v>
      </c>
      <c r="V850" s="9" t="s">
        <v>40</v>
      </c>
    </row>
    <row r="851" spans="1:22" x14ac:dyDescent="0.25">
      <c r="A851" s="10" t="s">
        <v>37</v>
      </c>
      <c r="B851" t="b">
        <v>0</v>
      </c>
      <c r="C851" t="b">
        <v>0</v>
      </c>
      <c r="D851" s="1">
        <v>147</v>
      </c>
      <c r="E851" s="1">
        <v>0</v>
      </c>
      <c r="F851" s="1">
        <v>0</v>
      </c>
      <c r="G851" s="1">
        <v>371</v>
      </c>
      <c r="H851" s="1">
        <v>0</v>
      </c>
      <c r="I851" s="1">
        <v>0</v>
      </c>
      <c r="J851" s="1">
        <f t="shared" si="49"/>
        <v>518</v>
      </c>
      <c r="K851" s="1">
        <v>0</v>
      </c>
      <c r="L851" s="1">
        <v>0</v>
      </c>
      <c r="M851" s="1">
        <v>0</v>
      </c>
      <c r="N851" s="1">
        <f t="shared" si="47"/>
        <v>0</v>
      </c>
      <c r="O851" s="14">
        <v>0</v>
      </c>
      <c r="P851" s="17">
        <f t="shared" si="48"/>
        <v>518</v>
      </c>
      <c r="Q851" s="1">
        <v>0</v>
      </c>
      <c r="R851" s="1">
        <v>0</v>
      </c>
      <c r="S851" s="20">
        <v>41365</v>
      </c>
      <c r="T851" s="1">
        <v>518</v>
      </c>
      <c r="U851" s="9">
        <v>518</v>
      </c>
      <c r="V851" s="9" t="s">
        <v>40</v>
      </c>
    </row>
    <row r="852" spans="1:22" x14ac:dyDescent="0.25">
      <c r="A852" s="10" t="s">
        <v>37</v>
      </c>
      <c r="B852" t="b">
        <v>0</v>
      </c>
      <c r="C852" t="b">
        <v>0</v>
      </c>
      <c r="D852" s="1">
        <v>552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f t="shared" si="49"/>
        <v>552</v>
      </c>
      <c r="K852" s="1">
        <v>0</v>
      </c>
      <c r="L852" s="1">
        <v>0</v>
      </c>
      <c r="M852" s="1">
        <v>0</v>
      </c>
      <c r="N852" s="1">
        <f t="shared" si="47"/>
        <v>0</v>
      </c>
      <c r="O852" s="14">
        <v>10</v>
      </c>
      <c r="P852" s="17">
        <f t="shared" si="48"/>
        <v>552</v>
      </c>
      <c r="Q852" s="1">
        <v>0</v>
      </c>
      <c r="R852" s="1">
        <v>0</v>
      </c>
      <c r="S852" s="20">
        <v>41395</v>
      </c>
      <c r="T852" s="1">
        <v>562</v>
      </c>
      <c r="U852" s="9">
        <v>552</v>
      </c>
      <c r="V852" s="9" t="s">
        <v>40</v>
      </c>
    </row>
    <row r="853" spans="1:22" x14ac:dyDescent="0.25">
      <c r="A853" s="10" t="s">
        <v>37</v>
      </c>
      <c r="B853" t="b">
        <v>0</v>
      </c>
      <c r="C853" t="b">
        <v>0</v>
      </c>
      <c r="D853" s="1">
        <v>657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f t="shared" si="49"/>
        <v>657</v>
      </c>
      <c r="K853" s="1">
        <v>0</v>
      </c>
      <c r="L853" s="1">
        <v>0</v>
      </c>
      <c r="M853" s="1">
        <v>0</v>
      </c>
      <c r="N853" s="1">
        <f t="shared" si="47"/>
        <v>0</v>
      </c>
      <c r="O853" s="14">
        <v>19</v>
      </c>
      <c r="P853" s="17">
        <f t="shared" si="48"/>
        <v>657</v>
      </c>
      <c r="Q853" s="1">
        <v>0</v>
      </c>
      <c r="R853" s="1">
        <v>0</v>
      </c>
      <c r="S853" s="20">
        <v>41426</v>
      </c>
      <c r="T853" s="1">
        <v>676</v>
      </c>
      <c r="U853" s="9">
        <v>657</v>
      </c>
      <c r="V853" s="9" t="s">
        <v>40</v>
      </c>
    </row>
    <row r="854" spans="1:22" x14ac:dyDescent="0.25">
      <c r="A854" s="10" t="s">
        <v>37</v>
      </c>
      <c r="B854" t="b">
        <v>0</v>
      </c>
      <c r="C854" t="b">
        <v>0</v>
      </c>
      <c r="D854" s="1">
        <v>237</v>
      </c>
      <c r="E854" s="1">
        <v>0</v>
      </c>
      <c r="F854" s="1">
        <v>0</v>
      </c>
      <c r="G854" s="1">
        <v>649</v>
      </c>
      <c r="H854" s="1">
        <v>0</v>
      </c>
      <c r="I854" s="1">
        <v>0</v>
      </c>
      <c r="J854" s="1">
        <f t="shared" si="49"/>
        <v>886</v>
      </c>
      <c r="K854" s="1">
        <v>0</v>
      </c>
      <c r="L854" s="1">
        <v>0</v>
      </c>
      <c r="M854" s="1">
        <v>0</v>
      </c>
      <c r="N854" s="1">
        <f t="shared" si="47"/>
        <v>0</v>
      </c>
      <c r="O854" s="14">
        <v>9</v>
      </c>
      <c r="P854" s="17">
        <f t="shared" si="48"/>
        <v>886</v>
      </c>
      <c r="Q854" s="1">
        <v>0</v>
      </c>
      <c r="R854" s="1">
        <v>0</v>
      </c>
      <c r="S854" s="20">
        <v>41456</v>
      </c>
      <c r="T854" s="1">
        <v>895</v>
      </c>
      <c r="U854" s="9">
        <v>886</v>
      </c>
      <c r="V854" s="9" t="s">
        <v>40</v>
      </c>
    </row>
    <row r="855" spans="1:22" x14ac:dyDescent="0.25">
      <c r="A855" s="10" t="s">
        <v>37</v>
      </c>
      <c r="B855" t="b">
        <v>0</v>
      </c>
      <c r="C855" t="b">
        <v>0</v>
      </c>
      <c r="D855" s="1">
        <v>144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f t="shared" si="49"/>
        <v>144</v>
      </c>
      <c r="K855" s="1">
        <v>0</v>
      </c>
      <c r="L855" s="1">
        <v>0</v>
      </c>
      <c r="M855" s="1">
        <v>0</v>
      </c>
      <c r="N855" s="1">
        <f t="shared" si="47"/>
        <v>0</v>
      </c>
      <c r="O855" s="14">
        <v>0</v>
      </c>
      <c r="P855" s="17">
        <f t="shared" si="48"/>
        <v>144</v>
      </c>
      <c r="Q855" s="1">
        <v>0</v>
      </c>
      <c r="R855" s="1">
        <v>0</v>
      </c>
      <c r="S855" s="20">
        <v>41487</v>
      </c>
      <c r="T855" s="1">
        <v>144</v>
      </c>
      <c r="U855" s="9">
        <v>144</v>
      </c>
      <c r="V855" s="9" t="s">
        <v>40</v>
      </c>
    </row>
    <row r="856" spans="1:22" x14ac:dyDescent="0.25">
      <c r="A856" s="10" t="s">
        <v>37</v>
      </c>
      <c r="B856" t="b">
        <v>0</v>
      </c>
      <c r="C856" t="b">
        <v>0</v>
      </c>
      <c r="D856" s="1">
        <v>48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f t="shared" si="49"/>
        <v>48</v>
      </c>
      <c r="K856" s="1">
        <v>0</v>
      </c>
      <c r="L856" s="1">
        <v>0</v>
      </c>
      <c r="M856" s="1">
        <v>0</v>
      </c>
      <c r="N856" s="1">
        <f t="shared" si="47"/>
        <v>0</v>
      </c>
      <c r="O856" s="14">
        <v>0</v>
      </c>
      <c r="P856" s="17">
        <f t="shared" si="48"/>
        <v>48</v>
      </c>
      <c r="Q856" s="1">
        <v>0</v>
      </c>
      <c r="R856" s="1">
        <v>0</v>
      </c>
      <c r="S856" s="20">
        <v>41518</v>
      </c>
      <c r="T856" s="1">
        <v>48</v>
      </c>
      <c r="U856" s="9">
        <v>48</v>
      </c>
      <c r="V856" s="9" t="s">
        <v>40</v>
      </c>
    </row>
    <row r="857" spans="1:22" x14ac:dyDescent="0.25">
      <c r="A857" s="10" t="s">
        <v>37</v>
      </c>
      <c r="B857" t="b">
        <v>0</v>
      </c>
      <c r="C857" t="b">
        <v>0</v>
      </c>
      <c r="D857" s="1">
        <v>165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f t="shared" si="49"/>
        <v>165</v>
      </c>
      <c r="K857" s="1">
        <v>0</v>
      </c>
      <c r="L857" s="1">
        <v>0</v>
      </c>
      <c r="M857" s="1">
        <v>0</v>
      </c>
      <c r="N857" s="1">
        <f t="shared" si="47"/>
        <v>0</v>
      </c>
      <c r="O857" s="14">
        <v>0</v>
      </c>
      <c r="P857" s="17">
        <f t="shared" si="48"/>
        <v>165</v>
      </c>
      <c r="Q857" s="1">
        <v>0</v>
      </c>
      <c r="R857" s="1">
        <v>0</v>
      </c>
      <c r="S857" s="20">
        <v>41548</v>
      </c>
      <c r="T857" s="1">
        <v>165</v>
      </c>
      <c r="U857" s="9">
        <v>165</v>
      </c>
      <c r="V857" s="9" t="s">
        <v>40</v>
      </c>
    </row>
    <row r="858" spans="1:22" x14ac:dyDescent="0.25">
      <c r="A858" s="10" t="s">
        <v>37</v>
      </c>
      <c r="B858" t="b">
        <v>0</v>
      </c>
      <c r="C858" t="b">
        <v>0</v>
      </c>
      <c r="D858" s="1">
        <v>108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f t="shared" si="49"/>
        <v>108</v>
      </c>
      <c r="K858" s="1">
        <v>0</v>
      </c>
      <c r="L858" s="1">
        <v>0</v>
      </c>
      <c r="M858" s="1">
        <v>0</v>
      </c>
      <c r="N858" s="1">
        <f t="shared" si="47"/>
        <v>0</v>
      </c>
      <c r="O858" s="14">
        <v>0</v>
      </c>
      <c r="P858" s="17">
        <f t="shared" si="48"/>
        <v>108</v>
      </c>
      <c r="Q858" s="1">
        <v>0</v>
      </c>
      <c r="R858" s="1">
        <v>0</v>
      </c>
      <c r="S858" s="20">
        <v>41579</v>
      </c>
      <c r="T858" s="1">
        <v>108</v>
      </c>
      <c r="U858" s="9">
        <v>108</v>
      </c>
      <c r="V858" s="9" t="s">
        <v>40</v>
      </c>
    </row>
    <row r="859" spans="1:22" x14ac:dyDescent="0.25">
      <c r="A859" s="10" t="s">
        <v>37</v>
      </c>
      <c r="B859" t="b">
        <v>0</v>
      </c>
      <c r="C859" t="b">
        <v>0</v>
      </c>
      <c r="D859" s="1">
        <v>21</v>
      </c>
      <c r="E859" s="1">
        <v>0</v>
      </c>
      <c r="F859" s="1">
        <v>0</v>
      </c>
      <c r="G859" s="1">
        <v>586</v>
      </c>
      <c r="H859" s="1">
        <v>0</v>
      </c>
      <c r="I859" s="1">
        <v>0</v>
      </c>
      <c r="J859" s="1">
        <f t="shared" si="49"/>
        <v>607</v>
      </c>
      <c r="K859" s="1">
        <v>0</v>
      </c>
      <c r="L859" s="1">
        <v>0</v>
      </c>
      <c r="M859" s="1">
        <v>0</v>
      </c>
      <c r="N859" s="1">
        <f t="shared" si="47"/>
        <v>0</v>
      </c>
      <c r="O859" s="14">
        <v>0</v>
      </c>
      <c r="P859" s="17">
        <f t="shared" si="48"/>
        <v>607</v>
      </c>
      <c r="Q859" s="1">
        <v>0</v>
      </c>
      <c r="R859" s="1">
        <v>0</v>
      </c>
      <c r="S859" s="20">
        <v>41609</v>
      </c>
      <c r="T859" s="1">
        <v>607</v>
      </c>
      <c r="U859" s="9">
        <v>607</v>
      </c>
      <c r="V859" s="9" t="s">
        <v>40</v>
      </c>
    </row>
    <row r="860" spans="1:22" x14ac:dyDescent="0.25">
      <c r="A860" s="10" t="s">
        <v>37</v>
      </c>
      <c r="B860" t="b">
        <v>0</v>
      </c>
      <c r="C860" t="b">
        <v>0</v>
      </c>
      <c r="D860" s="1">
        <v>138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f t="shared" si="49"/>
        <v>138</v>
      </c>
      <c r="K860" s="1">
        <v>0</v>
      </c>
      <c r="L860" s="1">
        <v>0</v>
      </c>
      <c r="M860" s="1">
        <v>0</v>
      </c>
      <c r="N860" s="1">
        <f t="shared" si="47"/>
        <v>0</v>
      </c>
      <c r="O860" s="14">
        <v>0</v>
      </c>
      <c r="P860" s="17">
        <f t="shared" si="48"/>
        <v>138</v>
      </c>
      <c r="Q860" s="1">
        <v>0</v>
      </c>
      <c r="R860" s="1">
        <v>0</v>
      </c>
      <c r="S860" s="20">
        <v>41640</v>
      </c>
      <c r="T860" s="1">
        <v>138</v>
      </c>
      <c r="U860" s="9">
        <v>138</v>
      </c>
      <c r="V860" s="9" t="s">
        <v>39</v>
      </c>
    </row>
    <row r="861" spans="1:22" x14ac:dyDescent="0.25">
      <c r="A861" s="10" t="s">
        <v>37</v>
      </c>
      <c r="B861" t="b">
        <v>0</v>
      </c>
      <c r="C861" t="b">
        <v>0</v>
      </c>
      <c r="D861" s="1">
        <v>102</v>
      </c>
      <c r="E861" s="1">
        <v>0</v>
      </c>
      <c r="F861" s="1">
        <v>0</v>
      </c>
      <c r="G861" s="1">
        <v>116</v>
      </c>
      <c r="H861" s="1">
        <v>0</v>
      </c>
      <c r="I861" s="1">
        <v>0</v>
      </c>
      <c r="J861" s="1">
        <f t="shared" si="49"/>
        <v>218</v>
      </c>
      <c r="K861" s="1">
        <v>0</v>
      </c>
      <c r="L861" s="1">
        <v>0</v>
      </c>
      <c r="M861" s="1">
        <v>0</v>
      </c>
      <c r="N861" s="1">
        <f t="shared" si="47"/>
        <v>0</v>
      </c>
      <c r="O861" s="14">
        <v>1</v>
      </c>
      <c r="P861" s="17">
        <f t="shared" si="48"/>
        <v>218</v>
      </c>
      <c r="Q861" s="1">
        <v>0</v>
      </c>
      <c r="R861" s="1">
        <v>0</v>
      </c>
      <c r="S861" s="20">
        <v>41671</v>
      </c>
      <c r="T861" s="1">
        <v>219</v>
      </c>
      <c r="U861" s="9">
        <v>218</v>
      </c>
      <c r="V861" s="9" t="s">
        <v>39</v>
      </c>
    </row>
    <row r="862" spans="1:22" x14ac:dyDescent="0.25">
      <c r="A862" s="10" t="s">
        <v>37</v>
      </c>
      <c r="B862" t="b">
        <v>0</v>
      </c>
      <c r="C862" t="b">
        <v>0</v>
      </c>
      <c r="D862" s="1">
        <v>0</v>
      </c>
      <c r="E862" s="1">
        <v>0</v>
      </c>
      <c r="F862" s="1">
        <v>0</v>
      </c>
      <c r="G862" s="1">
        <v>247</v>
      </c>
      <c r="H862" s="1">
        <v>0</v>
      </c>
      <c r="I862" s="1">
        <v>0</v>
      </c>
      <c r="J862" s="1">
        <f t="shared" si="49"/>
        <v>247</v>
      </c>
      <c r="K862" s="1">
        <v>0</v>
      </c>
      <c r="L862" s="1">
        <v>0</v>
      </c>
      <c r="M862" s="1">
        <v>0</v>
      </c>
      <c r="N862" s="1">
        <f t="shared" si="47"/>
        <v>0</v>
      </c>
      <c r="O862" s="14">
        <v>0</v>
      </c>
      <c r="P862" s="17">
        <f t="shared" si="48"/>
        <v>247</v>
      </c>
      <c r="Q862" s="1">
        <v>0</v>
      </c>
      <c r="R862" s="1">
        <v>0</v>
      </c>
      <c r="S862" s="20">
        <v>41699</v>
      </c>
      <c r="T862" s="1">
        <v>247</v>
      </c>
      <c r="U862" s="9">
        <v>247</v>
      </c>
      <c r="V862" s="9" t="s">
        <v>39</v>
      </c>
    </row>
    <row r="863" spans="1:22" x14ac:dyDescent="0.25">
      <c r="A863" s="10" t="s">
        <v>37</v>
      </c>
      <c r="B863" t="b">
        <v>0</v>
      </c>
      <c r="C863" t="b">
        <v>0</v>
      </c>
      <c r="D863" s="1">
        <v>105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f t="shared" si="49"/>
        <v>105</v>
      </c>
      <c r="K863" s="1">
        <v>0</v>
      </c>
      <c r="L863" s="1">
        <v>0</v>
      </c>
      <c r="M863" s="1">
        <v>0</v>
      </c>
      <c r="N863" s="1">
        <f t="shared" si="47"/>
        <v>0</v>
      </c>
      <c r="O863" s="14">
        <v>0</v>
      </c>
      <c r="P863" s="17">
        <f t="shared" si="48"/>
        <v>105</v>
      </c>
      <c r="Q863" s="1">
        <v>0</v>
      </c>
      <c r="R863" s="1">
        <v>0</v>
      </c>
      <c r="S863" s="20">
        <v>41730</v>
      </c>
      <c r="T863" s="1">
        <v>105</v>
      </c>
      <c r="U863" s="9">
        <v>105</v>
      </c>
      <c r="V863" s="9" t="s">
        <v>39</v>
      </c>
    </row>
    <row r="864" spans="1:22" x14ac:dyDescent="0.25">
      <c r="A864" s="10" t="s">
        <v>37</v>
      </c>
      <c r="B864" t="b">
        <v>0</v>
      </c>
      <c r="C864" t="b">
        <v>0</v>
      </c>
      <c r="D864" s="1">
        <v>384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f t="shared" si="49"/>
        <v>384</v>
      </c>
      <c r="K864" s="1">
        <v>0</v>
      </c>
      <c r="L864" s="1">
        <v>0</v>
      </c>
      <c r="M864" s="1">
        <v>0</v>
      </c>
      <c r="N864" s="1">
        <f t="shared" si="47"/>
        <v>0</v>
      </c>
      <c r="O864" s="14">
        <v>3</v>
      </c>
      <c r="P864" s="17">
        <f t="shared" si="48"/>
        <v>384</v>
      </c>
      <c r="Q864" s="1">
        <v>0</v>
      </c>
      <c r="R864" s="1">
        <v>0</v>
      </c>
      <c r="S864" s="20">
        <v>41760</v>
      </c>
      <c r="T864" s="1">
        <v>387</v>
      </c>
      <c r="U864" s="9">
        <v>384</v>
      </c>
      <c r="V864" s="9" t="s">
        <v>39</v>
      </c>
    </row>
    <row r="865" spans="1:22" x14ac:dyDescent="0.25">
      <c r="A865" s="10" t="s">
        <v>37</v>
      </c>
      <c r="B865" t="b">
        <v>0</v>
      </c>
      <c r="C865" t="b">
        <v>0</v>
      </c>
      <c r="D865" s="1">
        <v>555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f t="shared" si="49"/>
        <v>555</v>
      </c>
      <c r="K865" s="1">
        <v>0</v>
      </c>
      <c r="L865" s="1">
        <v>0</v>
      </c>
      <c r="M865" s="1">
        <v>0</v>
      </c>
      <c r="N865" s="1">
        <f t="shared" si="47"/>
        <v>0</v>
      </c>
      <c r="O865" s="14">
        <v>14</v>
      </c>
      <c r="P865" s="17">
        <f t="shared" si="48"/>
        <v>555</v>
      </c>
      <c r="Q865" s="1">
        <v>0</v>
      </c>
      <c r="R865" s="1">
        <v>0</v>
      </c>
      <c r="S865" s="20">
        <v>41791</v>
      </c>
      <c r="T865" s="1">
        <v>569</v>
      </c>
      <c r="U865" s="9">
        <v>555</v>
      </c>
      <c r="V865" s="9" t="s">
        <v>39</v>
      </c>
    </row>
    <row r="866" spans="1:22" x14ac:dyDescent="0.25">
      <c r="A866" s="10" t="s">
        <v>37</v>
      </c>
      <c r="B866" t="b">
        <v>0</v>
      </c>
      <c r="C866" t="b">
        <v>0</v>
      </c>
      <c r="D866" s="1">
        <v>738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f t="shared" si="49"/>
        <v>738</v>
      </c>
      <c r="K866" s="1">
        <v>0</v>
      </c>
      <c r="L866" s="1">
        <v>0</v>
      </c>
      <c r="M866" s="1">
        <v>0</v>
      </c>
      <c r="N866" s="1">
        <f t="shared" ref="N866:N929" si="50">K866+L866+M866</f>
        <v>0</v>
      </c>
      <c r="O866" s="14">
        <v>30</v>
      </c>
      <c r="P866" s="17">
        <f t="shared" si="48"/>
        <v>738</v>
      </c>
      <c r="Q866" s="1">
        <v>0</v>
      </c>
      <c r="R866" s="1">
        <v>0</v>
      </c>
      <c r="S866" s="20">
        <v>41821</v>
      </c>
      <c r="T866" s="1">
        <v>768</v>
      </c>
      <c r="U866" s="9">
        <v>738</v>
      </c>
      <c r="V866" s="9" t="s">
        <v>39</v>
      </c>
    </row>
    <row r="867" spans="1:22" x14ac:dyDescent="0.25">
      <c r="A867" s="10" t="s">
        <v>37</v>
      </c>
      <c r="B867" t="b">
        <v>0</v>
      </c>
      <c r="C867" t="b">
        <v>0</v>
      </c>
      <c r="D867" s="1">
        <v>372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f t="shared" si="49"/>
        <v>372</v>
      </c>
      <c r="K867" s="1">
        <v>0</v>
      </c>
      <c r="L867" s="1">
        <v>0</v>
      </c>
      <c r="M867" s="1">
        <v>0</v>
      </c>
      <c r="N867" s="1">
        <f t="shared" si="50"/>
        <v>0</v>
      </c>
      <c r="O867" s="14">
        <v>3</v>
      </c>
      <c r="P867" s="17">
        <f t="shared" si="48"/>
        <v>372</v>
      </c>
      <c r="Q867" s="1">
        <v>0</v>
      </c>
      <c r="R867" s="1">
        <v>0</v>
      </c>
      <c r="S867" s="20">
        <v>41852</v>
      </c>
      <c r="T867" s="1">
        <v>375</v>
      </c>
      <c r="U867" s="9">
        <v>372</v>
      </c>
      <c r="V867" s="9" t="s">
        <v>39</v>
      </c>
    </row>
    <row r="868" spans="1:22" x14ac:dyDescent="0.25">
      <c r="A868" s="10" t="s">
        <v>37</v>
      </c>
      <c r="B868" t="b">
        <v>0</v>
      </c>
      <c r="C868" t="b">
        <v>0</v>
      </c>
      <c r="D868" s="1">
        <v>171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f t="shared" si="49"/>
        <v>171</v>
      </c>
      <c r="K868" s="1">
        <v>0</v>
      </c>
      <c r="L868" s="1">
        <v>0</v>
      </c>
      <c r="M868" s="1">
        <v>0</v>
      </c>
      <c r="N868" s="1">
        <f t="shared" si="50"/>
        <v>0</v>
      </c>
      <c r="O868" s="14">
        <v>0</v>
      </c>
      <c r="P868" s="17">
        <f t="shared" si="48"/>
        <v>171</v>
      </c>
      <c r="Q868" s="1">
        <v>0</v>
      </c>
      <c r="R868" s="1">
        <v>0</v>
      </c>
      <c r="S868" s="20">
        <v>41883</v>
      </c>
      <c r="T868" s="1">
        <v>171</v>
      </c>
      <c r="U868" s="9">
        <v>171</v>
      </c>
      <c r="V868" s="9" t="s">
        <v>39</v>
      </c>
    </row>
    <row r="869" spans="1:22" x14ac:dyDescent="0.25">
      <c r="A869" s="10" t="s">
        <v>37</v>
      </c>
      <c r="B869" t="b">
        <v>0</v>
      </c>
      <c r="C869" t="b">
        <v>0</v>
      </c>
      <c r="D869" s="1">
        <v>171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f t="shared" si="49"/>
        <v>171</v>
      </c>
      <c r="K869" s="1">
        <v>0</v>
      </c>
      <c r="L869" s="1">
        <v>0</v>
      </c>
      <c r="M869" s="1">
        <v>0</v>
      </c>
      <c r="N869" s="1">
        <f t="shared" si="50"/>
        <v>0</v>
      </c>
      <c r="O869" s="14">
        <v>0</v>
      </c>
      <c r="P869" s="17">
        <f t="shared" si="48"/>
        <v>171</v>
      </c>
      <c r="Q869" s="1">
        <v>0</v>
      </c>
      <c r="R869" s="1">
        <v>0</v>
      </c>
      <c r="S869" s="20">
        <v>41913</v>
      </c>
      <c r="T869" s="1">
        <v>171</v>
      </c>
      <c r="U869" s="9">
        <v>171</v>
      </c>
      <c r="V869" s="9" t="s">
        <v>39</v>
      </c>
    </row>
    <row r="870" spans="1:22" x14ac:dyDescent="0.25">
      <c r="A870" s="10" t="s">
        <v>37</v>
      </c>
      <c r="B870" t="b">
        <v>0</v>
      </c>
      <c r="C870" t="b">
        <v>0</v>
      </c>
      <c r="D870" s="1">
        <v>0</v>
      </c>
      <c r="E870" s="1">
        <v>0</v>
      </c>
      <c r="F870" s="1">
        <v>0</v>
      </c>
      <c r="G870" s="1">
        <v>99</v>
      </c>
      <c r="H870" s="1">
        <v>0</v>
      </c>
      <c r="I870" s="1">
        <v>0</v>
      </c>
      <c r="J870" s="1">
        <f t="shared" si="49"/>
        <v>99</v>
      </c>
      <c r="K870" s="1">
        <v>0</v>
      </c>
      <c r="L870" s="1">
        <v>0</v>
      </c>
      <c r="M870" s="1">
        <v>0</v>
      </c>
      <c r="N870" s="1">
        <f t="shared" si="50"/>
        <v>0</v>
      </c>
      <c r="O870" s="14">
        <v>0</v>
      </c>
      <c r="P870" s="17">
        <f t="shared" si="48"/>
        <v>99</v>
      </c>
      <c r="Q870" s="1">
        <v>0</v>
      </c>
      <c r="R870" s="1">
        <v>0</v>
      </c>
      <c r="S870" s="20">
        <v>41944</v>
      </c>
      <c r="T870" s="1">
        <v>99</v>
      </c>
      <c r="U870" s="9">
        <v>99</v>
      </c>
      <c r="V870" s="9" t="s">
        <v>39</v>
      </c>
    </row>
    <row r="871" spans="1:22" x14ac:dyDescent="0.25">
      <c r="A871" s="10" t="s">
        <v>37</v>
      </c>
      <c r="B871" t="b">
        <v>0</v>
      </c>
      <c r="C871" t="b">
        <v>0</v>
      </c>
      <c r="D871" s="1">
        <v>260</v>
      </c>
      <c r="E871" s="1">
        <v>0</v>
      </c>
      <c r="F871" s="1">
        <v>0</v>
      </c>
      <c r="G871" s="1">
        <v>2</v>
      </c>
      <c r="H871" s="1">
        <v>0</v>
      </c>
      <c r="I871" s="1">
        <v>0</v>
      </c>
      <c r="J871" s="1">
        <f t="shared" si="49"/>
        <v>262</v>
      </c>
      <c r="K871" s="1">
        <v>90</v>
      </c>
      <c r="L871" s="1">
        <v>0</v>
      </c>
      <c r="M871" s="1">
        <v>0</v>
      </c>
      <c r="N871" s="1">
        <f t="shared" si="50"/>
        <v>90</v>
      </c>
      <c r="O871" s="14">
        <v>0</v>
      </c>
      <c r="P871" s="17">
        <f t="shared" si="48"/>
        <v>262</v>
      </c>
      <c r="Q871" s="1">
        <v>0</v>
      </c>
      <c r="R871" s="1">
        <v>0</v>
      </c>
      <c r="S871" s="20">
        <v>41974</v>
      </c>
      <c r="T871" s="1">
        <v>352</v>
      </c>
      <c r="U871" s="9">
        <v>262</v>
      </c>
      <c r="V871" s="9" t="s">
        <v>39</v>
      </c>
    </row>
    <row r="872" spans="1:22" x14ac:dyDescent="0.25">
      <c r="A872" s="10" t="s">
        <v>37</v>
      </c>
      <c r="B872" t="b">
        <v>0</v>
      </c>
      <c r="C872" t="b">
        <v>0</v>
      </c>
      <c r="D872" s="1">
        <v>135</v>
      </c>
      <c r="E872" s="1">
        <v>0</v>
      </c>
      <c r="F872" s="1">
        <v>0</v>
      </c>
      <c r="G872" s="1">
        <v>6</v>
      </c>
      <c r="H872" s="1">
        <v>0</v>
      </c>
      <c r="I872" s="1">
        <v>0</v>
      </c>
      <c r="J872" s="1">
        <f t="shared" si="49"/>
        <v>141</v>
      </c>
      <c r="K872" s="1">
        <v>0</v>
      </c>
      <c r="L872" s="1">
        <v>0</v>
      </c>
      <c r="M872" s="1">
        <v>0</v>
      </c>
      <c r="N872" s="1">
        <f t="shared" si="50"/>
        <v>0</v>
      </c>
      <c r="O872" s="14">
        <v>9</v>
      </c>
      <c r="P872" s="17">
        <f t="shared" si="48"/>
        <v>141</v>
      </c>
      <c r="Q872" s="1">
        <v>1</v>
      </c>
      <c r="R872" s="1">
        <v>0</v>
      </c>
      <c r="S872" s="20">
        <v>42005</v>
      </c>
      <c r="T872" s="1">
        <v>151</v>
      </c>
      <c r="U872" s="9">
        <v>141</v>
      </c>
      <c r="V872" s="9" t="s">
        <v>39</v>
      </c>
    </row>
    <row r="873" spans="1:22" x14ac:dyDescent="0.25">
      <c r="A873" s="10" t="s">
        <v>37</v>
      </c>
      <c r="B873" t="b">
        <v>0</v>
      </c>
      <c r="C873" t="b">
        <v>0</v>
      </c>
      <c r="D873" s="1">
        <v>207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f t="shared" si="49"/>
        <v>207</v>
      </c>
      <c r="K873" s="1">
        <v>0</v>
      </c>
      <c r="L873" s="1">
        <v>0</v>
      </c>
      <c r="M873" s="1">
        <v>0</v>
      </c>
      <c r="N873" s="1">
        <f t="shared" si="50"/>
        <v>0</v>
      </c>
      <c r="O873" s="14">
        <v>7</v>
      </c>
      <c r="P873" s="17">
        <f t="shared" si="48"/>
        <v>207</v>
      </c>
      <c r="Q873" s="1">
        <v>0</v>
      </c>
      <c r="R873" s="1">
        <v>0</v>
      </c>
      <c r="S873" s="20">
        <v>42036</v>
      </c>
      <c r="T873" s="1">
        <v>214</v>
      </c>
      <c r="U873" s="9">
        <v>207</v>
      </c>
      <c r="V873" s="9" t="s">
        <v>39</v>
      </c>
    </row>
    <row r="874" spans="1:22" x14ac:dyDescent="0.25">
      <c r="A874" s="10" t="s">
        <v>37</v>
      </c>
      <c r="B874" t="b">
        <v>0</v>
      </c>
      <c r="C874" t="b">
        <v>0</v>
      </c>
      <c r="D874" s="1">
        <v>324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f t="shared" si="49"/>
        <v>324</v>
      </c>
      <c r="K874" s="1">
        <v>0</v>
      </c>
      <c r="L874" s="1">
        <v>0</v>
      </c>
      <c r="M874" s="1">
        <v>0</v>
      </c>
      <c r="N874" s="1">
        <f t="shared" si="50"/>
        <v>0</v>
      </c>
      <c r="O874" s="14">
        <v>19</v>
      </c>
      <c r="P874" s="17">
        <f t="shared" si="48"/>
        <v>324</v>
      </c>
      <c r="Q874" s="1">
        <v>0</v>
      </c>
      <c r="R874" s="1">
        <v>0</v>
      </c>
      <c r="S874" s="20">
        <v>42064</v>
      </c>
      <c r="T874" s="1">
        <v>343</v>
      </c>
      <c r="U874" s="9">
        <v>324</v>
      </c>
      <c r="V874" s="9" t="s">
        <v>39</v>
      </c>
    </row>
    <row r="875" spans="1:22" x14ac:dyDescent="0.25">
      <c r="A875" s="10" t="s">
        <v>37</v>
      </c>
      <c r="B875" t="b">
        <v>0</v>
      </c>
      <c r="C875" t="b">
        <v>0</v>
      </c>
      <c r="D875" s="1">
        <v>369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f t="shared" si="49"/>
        <v>369</v>
      </c>
      <c r="K875" s="1">
        <v>0</v>
      </c>
      <c r="L875" s="1">
        <v>0</v>
      </c>
      <c r="M875" s="1">
        <v>0</v>
      </c>
      <c r="N875" s="1">
        <f t="shared" si="50"/>
        <v>0</v>
      </c>
      <c r="O875" s="14">
        <v>24</v>
      </c>
      <c r="P875" s="17">
        <f t="shared" si="48"/>
        <v>369</v>
      </c>
      <c r="Q875" s="1">
        <v>0</v>
      </c>
      <c r="R875" s="1">
        <v>0</v>
      </c>
      <c r="S875" s="20">
        <v>42095</v>
      </c>
      <c r="T875" s="1">
        <v>393</v>
      </c>
      <c r="U875" s="9">
        <v>369</v>
      </c>
      <c r="V875" s="9" t="s">
        <v>39</v>
      </c>
    </row>
    <row r="876" spans="1:22" x14ac:dyDescent="0.25">
      <c r="A876" s="10" t="s">
        <v>37</v>
      </c>
      <c r="B876" t="b">
        <v>0</v>
      </c>
      <c r="C876" t="b">
        <v>0</v>
      </c>
      <c r="D876" s="1">
        <v>198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f t="shared" si="49"/>
        <v>198</v>
      </c>
      <c r="K876" s="1">
        <v>0</v>
      </c>
      <c r="L876" s="1">
        <v>0</v>
      </c>
      <c r="M876" s="1">
        <v>0</v>
      </c>
      <c r="N876" s="1">
        <f t="shared" si="50"/>
        <v>0</v>
      </c>
      <c r="O876" s="14">
        <v>7</v>
      </c>
      <c r="P876" s="17">
        <f t="shared" si="48"/>
        <v>198</v>
      </c>
      <c r="Q876" s="1">
        <v>0</v>
      </c>
      <c r="R876" s="1">
        <v>0</v>
      </c>
      <c r="S876" s="20">
        <v>42125</v>
      </c>
      <c r="T876" s="1">
        <v>205</v>
      </c>
      <c r="U876" s="9">
        <v>198</v>
      </c>
      <c r="V876" s="9" t="s">
        <v>39</v>
      </c>
    </row>
    <row r="877" spans="1:22" x14ac:dyDescent="0.25">
      <c r="A877" s="10" t="s">
        <v>37</v>
      </c>
      <c r="B877" t="b">
        <v>0</v>
      </c>
      <c r="C877" t="b">
        <v>0</v>
      </c>
      <c r="D877" s="1">
        <v>201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f t="shared" si="49"/>
        <v>201</v>
      </c>
      <c r="K877" s="1">
        <v>0</v>
      </c>
      <c r="L877" s="1">
        <v>0</v>
      </c>
      <c r="M877" s="1">
        <v>0</v>
      </c>
      <c r="N877" s="1">
        <f t="shared" si="50"/>
        <v>0</v>
      </c>
      <c r="O877" s="14">
        <v>15</v>
      </c>
      <c r="P877" s="17">
        <f t="shared" si="48"/>
        <v>201</v>
      </c>
      <c r="Q877" s="1">
        <v>0</v>
      </c>
      <c r="R877" s="1">
        <v>0</v>
      </c>
      <c r="S877" s="20">
        <v>42156</v>
      </c>
      <c r="T877" s="1">
        <v>216</v>
      </c>
      <c r="U877" s="9">
        <v>201</v>
      </c>
      <c r="V877" s="9" t="s">
        <v>39</v>
      </c>
    </row>
    <row r="878" spans="1:22" x14ac:dyDescent="0.25">
      <c r="A878" s="10" t="s">
        <v>37</v>
      </c>
      <c r="B878" t="b">
        <v>0</v>
      </c>
      <c r="C878" t="b">
        <v>0</v>
      </c>
      <c r="D878" s="1">
        <v>618</v>
      </c>
      <c r="E878" s="1">
        <v>1</v>
      </c>
      <c r="F878" s="1">
        <v>0</v>
      </c>
      <c r="G878" s="1">
        <v>0</v>
      </c>
      <c r="H878" s="1">
        <v>0</v>
      </c>
      <c r="I878" s="1">
        <v>0</v>
      </c>
      <c r="J878" s="1">
        <f t="shared" si="49"/>
        <v>619</v>
      </c>
      <c r="K878" s="1">
        <v>0</v>
      </c>
      <c r="L878" s="1">
        <v>0</v>
      </c>
      <c r="M878" s="1">
        <v>0</v>
      </c>
      <c r="N878" s="1">
        <f t="shared" si="50"/>
        <v>0</v>
      </c>
      <c r="O878" s="14">
        <v>27</v>
      </c>
      <c r="P878" s="17">
        <f t="shared" si="48"/>
        <v>619</v>
      </c>
      <c r="Q878" s="1">
        <v>0</v>
      </c>
      <c r="R878" s="1">
        <v>0</v>
      </c>
      <c r="S878" s="20">
        <v>42186</v>
      </c>
      <c r="T878" s="1">
        <v>646</v>
      </c>
      <c r="U878" s="9">
        <v>619</v>
      </c>
      <c r="V878" s="9" t="s">
        <v>39</v>
      </c>
    </row>
    <row r="879" spans="1:22" x14ac:dyDescent="0.25">
      <c r="A879" s="10" t="s">
        <v>37</v>
      </c>
      <c r="B879" t="b">
        <v>0</v>
      </c>
      <c r="C879" t="b">
        <v>0</v>
      </c>
      <c r="D879" s="1">
        <v>255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f t="shared" si="49"/>
        <v>255</v>
      </c>
      <c r="K879" s="1">
        <v>0</v>
      </c>
      <c r="L879" s="1">
        <v>0</v>
      </c>
      <c r="M879" s="1">
        <v>0</v>
      </c>
      <c r="N879" s="1">
        <f t="shared" si="50"/>
        <v>0</v>
      </c>
      <c r="O879" s="14">
        <v>10</v>
      </c>
      <c r="P879" s="17">
        <f t="shared" si="48"/>
        <v>255</v>
      </c>
      <c r="Q879" s="1">
        <v>0</v>
      </c>
      <c r="R879" s="1">
        <v>0</v>
      </c>
      <c r="S879" s="20">
        <v>42217</v>
      </c>
      <c r="T879" s="1">
        <v>265</v>
      </c>
      <c r="U879" s="9">
        <v>255</v>
      </c>
      <c r="V879" s="9" t="s">
        <v>39</v>
      </c>
    </row>
    <row r="880" spans="1:22" x14ac:dyDescent="0.25">
      <c r="A880" s="10" t="s">
        <v>37</v>
      </c>
      <c r="B880" t="b">
        <v>0</v>
      </c>
      <c r="C880" t="b">
        <v>0</v>
      </c>
      <c r="D880" s="1">
        <v>57</v>
      </c>
      <c r="E880" s="1">
        <v>0</v>
      </c>
      <c r="F880" s="1">
        <v>0</v>
      </c>
      <c r="G880" s="1">
        <v>125</v>
      </c>
      <c r="H880" s="1">
        <v>0</v>
      </c>
      <c r="I880" s="1">
        <v>0</v>
      </c>
      <c r="J880" s="1">
        <f t="shared" si="49"/>
        <v>182</v>
      </c>
      <c r="K880" s="1">
        <v>0</v>
      </c>
      <c r="L880" s="1">
        <v>0</v>
      </c>
      <c r="M880" s="1">
        <v>0</v>
      </c>
      <c r="N880" s="1">
        <f t="shared" si="50"/>
        <v>0</v>
      </c>
      <c r="O880" s="14">
        <v>0</v>
      </c>
      <c r="P880" s="17">
        <f t="shared" si="48"/>
        <v>182</v>
      </c>
      <c r="Q880" s="1">
        <v>0</v>
      </c>
      <c r="R880" s="1">
        <v>0</v>
      </c>
      <c r="S880" s="20">
        <v>42248</v>
      </c>
      <c r="T880" s="1">
        <v>182</v>
      </c>
      <c r="U880" s="9">
        <v>182</v>
      </c>
      <c r="V880" s="9" t="s">
        <v>39</v>
      </c>
    </row>
    <row r="881" spans="1:22" x14ac:dyDescent="0.25">
      <c r="A881" s="10" t="s">
        <v>37</v>
      </c>
      <c r="B881" t="b">
        <v>0</v>
      </c>
      <c r="C881" t="b">
        <v>0</v>
      </c>
      <c r="D881" s="1">
        <v>0</v>
      </c>
      <c r="E881" s="1">
        <v>0</v>
      </c>
      <c r="F881" s="1">
        <v>0</v>
      </c>
      <c r="G881" s="1">
        <v>165</v>
      </c>
      <c r="H881" s="1">
        <v>0</v>
      </c>
      <c r="I881" s="1">
        <v>0</v>
      </c>
      <c r="J881" s="1">
        <f t="shared" si="49"/>
        <v>165</v>
      </c>
      <c r="K881" s="1">
        <v>0</v>
      </c>
      <c r="L881" s="1">
        <v>0</v>
      </c>
      <c r="M881" s="1">
        <v>0</v>
      </c>
      <c r="N881" s="1">
        <f t="shared" si="50"/>
        <v>0</v>
      </c>
      <c r="O881" s="14">
        <v>0</v>
      </c>
      <c r="P881" s="17">
        <f t="shared" si="48"/>
        <v>165</v>
      </c>
      <c r="Q881" s="1">
        <v>0</v>
      </c>
      <c r="R881" s="1">
        <v>0</v>
      </c>
      <c r="S881" s="20">
        <v>42278</v>
      </c>
      <c r="T881" s="1">
        <v>165</v>
      </c>
      <c r="U881" s="9">
        <v>165</v>
      </c>
      <c r="V881" s="9" t="s">
        <v>39</v>
      </c>
    </row>
    <row r="882" spans="1:22" x14ac:dyDescent="0.25">
      <c r="A882" s="10" t="s">
        <v>37</v>
      </c>
      <c r="B882" t="b">
        <v>0</v>
      </c>
      <c r="C882" t="b">
        <v>0</v>
      </c>
      <c r="D882" s="1">
        <v>0</v>
      </c>
      <c r="E882" s="1">
        <v>0</v>
      </c>
      <c r="F882" s="1">
        <v>0</v>
      </c>
      <c r="G882" s="1">
        <v>84</v>
      </c>
      <c r="H882" s="1">
        <v>0</v>
      </c>
      <c r="I882" s="1">
        <v>0</v>
      </c>
      <c r="J882" s="1">
        <f t="shared" si="49"/>
        <v>84</v>
      </c>
      <c r="K882" s="1">
        <v>0</v>
      </c>
      <c r="L882" s="1">
        <v>0</v>
      </c>
      <c r="M882" s="1">
        <v>0</v>
      </c>
      <c r="N882" s="1">
        <f t="shared" si="50"/>
        <v>0</v>
      </c>
      <c r="O882" s="14">
        <v>0</v>
      </c>
      <c r="P882" s="17">
        <f t="shared" si="48"/>
        <v>84</v>
      </c>
      <c r="Q882" s="1">
        <v>0</v>
      </c>
      <c r="R882" s="1">
        <v>0</v>
      </c>
      <c r="S882" s="20">
        <v>42309</v>
      </c>
      <c r="T882" s="1">
        <v>84</v>
      </c>
      <c r="U882" s="9">
        <v>84</v>
      </c>
      <c r="V882" s="9" t="s">
        <v>39</v>
      </c>
    </row>
    <row r="883" spans="1:22" x14ac:dyDescent="0.25">
      <c r="A883" s="10" t="s">
        <v>37</v>
      </c>
      <c r="B883" t="b">
        <v>0</v>
      </c>
      <c r="C883" t="b">
        <v>0</v>
      </c>
      <c r="D883" s="1">
        <v>6</v>
      </c>
      <c r="E883" s="1">
        <v>0</v>
      </c>
      <c r="F883" s="1">
        <v>0</v>
      </c>
      <c r="G883" s="1">
        <v>46</v>
      </c>
      <c r="H883" s="1">
        <v>0</v>
      </c>
      <c r="I883" s="1">
        <v>0</v>
      </c>
      <c r="J883" s="1">
        <f t="shared" si="49"/>
        <v>52</v>
      </c>
      <c r="K883" s="1">
        <v>0</v>
      </c>
      <c r="L883" s="1">
        <v>0</v>
      </c>
      <c r="M883" s="1">
        <v>0</v>
      </c>
      <c r="N883" s="1">
        <f t="shared" si="50"/>
        <v>0</v>
      </c>
      <c r="O883" s="14">
        <v>0</v>
      </c>
      <c r="P883" s="17">
        <f t="shared" si="48"/>
        <v>52</v>
      </c>
      <c r="Q883" s="1">
        <v>0</v>
      </c>
      <c r="R883" s="1">
        <v>0</v>
      </c>
      <c r="S883" s="20">
        <v>42339</v>
      </c>
      <c r="T883" s="1">
        <v>52</v>
      </c>
      <c r="U883" s="9">
        <v>52</v>
      </c>
      <c r="V883" s="9" t="s">
        <v>39</v>
      </c>
    </row>
    <row r="884" spans="1:22" x14ac:dyDescent="0.25">
      <c r="A884" s="10" t="s">
        <v>37</v>
      </c>
      <c r="B884" t="b">
        <v>0</v>
      </c>
      <c r="C884" t="b">
        <v>0</v>
      </c>
      <c r="D884" s="1">
        <v>21</v>
      </c>
      <c r="E884" s="1">
        <v>0</v>
      </c>
      <c r="F884" s="1">
        <v>0</v>
      </c>
      <c r="G884" s="1">
        <v>49</v>
      </c>
      <c r="H884" s="1">
        <v>0</v>
      </c>
      <c r="I884" s="1">
        <v>0</v>
      </c>
      <c r="J884" s="1">
        <f t="shared" si="49"/>
        <v>70</v>
      </c>
      <c r="K884" s="1">
        <v>0</v>
      </c>
      <c r="L884" s="1">
        <v>0</v>
      </c>
      <c r="M884" s="1">
        <v>0</v>
      </c>
      <c r="N884" s="1">
        <f t="shared" si="50"/>
        <v>0</v>
      </c>
      <c r="O884" s="14">
        <v>0</v>
      </c>
      <c r="P884" s="17">
        <f t="shared" si="48"/>
        <v>70</v>
      </c>
      <c r="Q884" s="1">
        <v>0</v>
      </c>
      <c r="R884" s="1">
        <v>0</v>
      </c>
      <c r="S884" s="20">
        <v>42370</v>
      </c>
      <c r="T884" s="1">
        <v>70</v>
      </c>
      <c r="U884" s="9">
        <v>70</v>
      </c>
      <c r="V884" s="9" t="s">
        <v>46</v>
      </c>
    </row>
    <row r="885" spans="1:22" x14ac:dyDescent="0.25">
      <c r="A885" s="10" t="s">
        <v>37</v>
      </c>
      <c r="B885" t="b">
        <v>0</v>
      </c>
      <c r="C885" t="b">
        <v>0</v>
      </c>
      <c r="D885" s="1">
        <v>12</v>
      </c>
      <c r="E885" s="1">
        <v>0</v>
      </c>
      <c r="F885" s="1">
        <v>0</v>
      </c>
      <c r="G885" s="1">
        <v>32</v>
      </c>
      <c r="H885" s="1">
        <v>0</v>
      </c>
      <c r="I885" s="1">
        <v>0</v>
      </c>
      <c r="J885" s="1">
        <f t="shared" si="49"/>
        <v>44</v>
      </c>
      <c r="K885" s="1">
        <v>0</v>
      </c>
      <c r="L885" s="1">
        <v>0</v>
      </c>
      <c r="M885" s="1">
        <v>0</v>
      </c>
      <c r="N885" s="1">
        <f t="shared" si="50"/>
        <v>0</v>
      </c>
      <c r="O885" s="14">
        <v>0</v>
      </c>
      <c r="P885" s="17">
        <f t="shared" si="48"/>
        <v>44</v>
      </c>
      <c r="Q885" s="1">
        <v>0</v>
      </c>
      <c r="R885" s="1">
        <v>0</v>
      </c>
      <c r="S885" s="20">
        <v>42401</v>
      </c>
      <c r="T885" s="1">
        <v>44</v>
      </c>
      <c r="U885" s="9">
        <v>44</v>
      </c>
      <c r="V885" s="9" t="s">
        <v>46</v>
      </c>
    </row>
    <row r="886" spans="1:22" x14ac:dyDescent="0.25">
      <c r="A886" s="10" t="s">
        <v>37</v>
      </c>
      <c r="B886" t="b">
        <v>0</v>
      </c>
      <c r="C886" t="b">
        <v>0</v>
      </c>
      <c r="D886" s="1">
        <v>15</v>
      </c>
      <c r="E886" s="1">
        <v>0</v>
      </c>
      <c r="F886" s="1">
        <v>0</v>
      </c>
      <c r="G886" s="1">
        <v>41</v>
      </c>
      <c r="H886" s="1">
        <v>0</v>
      </c>
      <c r="I886" s="1">
        <v>0</v>
      </c>
      <c r="J886" s="1">
        <f t="shared" si="49"/>
        <v>56</v>
      </c>
      <c r="K886" s="1">
        <v>0</v>
      </c>
      <c r="L886" s="1">
        <v>0</v>
      </c>
      <c r="M886" s="1">
        <v>0</v>
      </c>
      <c r="N886" s="1">
        <f t="shared" si="50"/>
        <v>0</v>
      </c>
      <c r="O886" s="14">
        <v>0</v>
      </c>
      <c r="P886" s="17">
        <f t="shared" si="48"/>
        <v>56</v>
      </c>
      <c r="Q886" s="1">
        <v>0</v>
      </c>
      <c r="R886" s="1">
        <v>0</v>
      </c>
      <c r="S886" s="20">
        <v>42430</v>
      </c>
      <c r="T886" s="1">
        <v>56</v>
      </c>
      <c r="U886" s="9">
        <v>56</v>
      </c>
      <c r="V886" s="9" t="s">
        <v>46</v>
      </c>
    </row>
    <row r="887" spans="1:22" x14ac:dyDescent="0.25">
      <c r="A887" s="10" t="s">
        <v>37</v>
      </c>
      <c r="B887" t="b">
        <v>0</v>
      </c>
      <c r="C887" t="b">
        <v>0</v>
      </c>
      <c r="D887" s="1">
        <v>33</v>
      </c>
      <c r="E887" s="1">
        <v>0</v>
      </c>
      <c r="F887" s="1">
        <v>0</v>
      </c>
      <c r="G887" s="1">
        <v>90</v>
      </c>
      <c r="H887" s="1">
        <v>0</v>
      </c>
      <c r="I887" s="1">
        <v>0</v>
      </c>
      <c r="J887" s="1">
        <f t="shared" si="49"/>
        <v>123</v>
      </c>
      <c r="K887" s="1">
        <v>0</v>
      </c>
      <c r="L887" s="1">
        <v>0</v>
      </c>
      <c r="M887" s="1">
        <v>0</v>
      </c>
      <c r="N887" s="1">
        <f t="shared" si="50"/>
        <v>0</v>
      </c>
      <c r="O887" s="14">
        <v>0</v>
      </c>
      <c r="P887" s="17">
        <f t="shared" si="48"/>
        <v>123</v>
      </c>
      <c r="Q887" s="1">
        <v>0</v>
      </c>
      <c r="R887" s="1">
        <v>0</v>
      </c>
      <c r="S887" s="20">
        <v>42461</v>
      </c>
      <c r="T887" s="1">
        <v>123</v>
      </c>
      <c r="U887" s="9">
        <v>123</v>
      </c>
      <c r="V887" s="9" t="s">
        <v>46</v>
      </c>
    </row>
    <row r="888" spans="1:22" x14ac:dyDescent="0.25">
      <c r="A888" s="10" t="s">
        <v>37</v>
      </c>
      <c r="B888" t="b">
        <v>0</v>
      </c>
      <c r="C888" t="b">
        <v>0</v>
      </c>
      <c r="D888" s="1">
        <v>30</v>
      </c>
      <c r="E888" s="1">
        <v>0</v>
      </c>
      <c r="F888" s="1">
        <v>0</v>
      </c>
      <c r="G888" s="1">
        <v>61</v>
      </c>
      <c r="H888" s="1">
        <v>0</v>
      </c>
      <c r="I888" s="1">
        <v>0</v>
      </c>
      <c r="J888" s="1">
        <f t="shared" si="49"/>
        <v>91</v>
      </c>
      <c r="K888" s="1">
        <v>0</v>
      </c>
      <c r="L888" s="1">
        <v>0</v>
      </c>
      <c r="M888" s="1">
        <v>0</v>
      </c>
      <c r="N888" s="1">
        <f t="shared" si="50"/>
        <v>0</v>
      </c>
      <c r="O888" s="14">
        <v>0</v>
      </c>
      <c r="P888" s="17">
        <f t="shared" si="48"/>
        <v>91</v>
      </c>
      <c r="Q888" s="1">
        <v>0</v>
      </c>
      <c r="R888" s="1">
        <v>0</v>
      </c>
      <c r="S888" s="20">
        <v>42491</v>
      </c>
      <c r="T888" s="1">
        <v>91</v>
      </c>
      <c r="U888" s="9">
        <v>91</v>
      </c>
      <c r="V888" s="9" t="s">
        <v>46</v>
      </c>
    </row>
    <row r="889" spans="1:22" x14ac:dyDescent="0.25">
      <c r="A889" s="10" t="s">
        <v>37</v>
      </c>
      <c r="B889" t="b">
        <v>0</v>
      </c>
      <c r="C889" t="b">
        <v>0</v>
      </c>
      <c r="D889" s="1">
        <v>201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f t="shared" si="49"/>
        <v>201</v>
      </c>
      <c r="K889" s="1">
        <v>0</v>
      </c>
      <c r="L889" s="1">
        <v>0</v>
      </c>
      <c r="M889" s="1">
        <v>0</v>
      </c>
      <c r="N889" s="1">
        <f t="shared" si="50"/>
        <v>0</v>
      </c>
      <c r="O889" s="14">
        <v>15</v>
      </c>
      <c r="P889" s="17">
        <f t="shared" si="48"/>
        <v>201</v>
      </c>
      <c r="Q889" s="1">
        <v>0</v>
      </c>
      <c r="R889" s="1">
        <v>0</v>
      </c>
      <c r="S889" s="20">
        <v>42522</v>
      </c>
      <c r="T889" s="1">
        <v>216</v>
      </c>
      <c r="U889" s="9">
        <v>201</v>
      </c>
      <c r="V889" s="9" t="s">
        <v>46</v>
      </c>
    </row>
    <row r="890" spans="1:22" x14ac:dyDescent="0.25">
      <c r="A890" s="10" t="s">
        <v>37</v>
      </c>
      <c r="B890" t="b">
        <v>0</v>
      </c>
      <c r="C890" t="b">
        <v>0</v>
      </c>
      <c r="D890" s="1">
        <v>288</v>
      </c>
      <c r="E890" s="1">
        <v>0</v>
      </c>
      <c r="F890" s="1">
        <v>0</v>
      </c>
      <c r="G890" s="1">
        <v>185</v>
      </c>
      <c r="H890" s="1">
        <v>0</v>
      </c>
      <c r="I890" s="1">
        <v>0</v>
      </c>
      <c r="J890" s="1">
        <f t="shared" si="49"/>
        <v>473</v>
      </c>
      <c r="K890" s="1">
        <v>0</v>
      </c>
      <c r="L890" s="1">
        <v>0</v>
      </c>
      <c r="M890" s="1">
        <v>0</v>
      </c>
      <c r="N890" s="1">
        <f t="shared" si="50"/>
        <v>0</v>
      </c>
      <c r="O890" s="14">
        <v>31</v>
      </c>
      <c r="P890" s="17">
        <f t="shared" si="48"/>
        <v>473</v>
      </c>
      <c r="Q890" s="1">
        <v>0</v>
      </c>
      <c r="R890" s="1">
        <v>0</v>
      </c>
      <c r="S890" s="20">
        <v>42552</v>
      </c>
      <c r="T890" s="1">
        <v>504</v>
      </c>
      <c r="U890" s="9">
        <v>473</v>
      </c>
      <c r="V890" s="9" t="s">
        <v>46</v>
      </c>
    </row>
    <row r="891" spans="1:22" x14ac:dyDescent="0.25">
      <c r="A891" s="10" t="s">
        <v>37</v>
      </c>
      <c r="B891" t="b">
        <v>0</v>
      </c>
      <c r="C891" t="b">
        <v>0</v>
      </c>
      <c r="D891" s="1">
        <v>244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f t="shared" si="49"/>
        <v>244</v>
      </c>
      <c r="K891" s="1">
        <v>0</v>
      </c>
      <c r="L891" s="1">
        <v>0</v>
      </c>
      <c r="M891" s="1">
        <v>0</v>
      </c>
      <c r="N891" s="1">
        <f t="shared" si="50"/>
        <v>0</v>
      </c>
      <c r="O891" s="14">
        <v>12</v>
      </c>
      <c r="P891" s="17">
        <f t="shared" si="48"/>
        <v>244</v>
      </c>
      <c r="Q891" s="1">
        <v>0</v>
      </c>
      <c r="R891" s="1">
        <v>0</v>
      </c>
      <c r="S891" s="20">
        <v>42583</v>
      </c>
      <c r="T891" s="1">
        <v>256</v>
      </c>
      <c r="U891" s="9">
        <v>244</v>
      </c>
      <c r="V891" s="9" t="s">
        <v>46</v>
      </c>
    </row>
    <row r="892" spans="1:22" x14ac:dyDescent="0.25">
      <c r="A892" s="10" t="s">
        <v>37</v>
      </c>
      <c r="B892" t="b">
        <v>0</v>
      </c>
      <c r="C892" t="b">
        <v>0</v>
      </c>
      <c r="D892" s="1">
        <v>89</v>
      </c>
      <c r="E892" s="1">
        <v>0</v>
      </c>
      <c r="F892" s="1">
        <v>0</v>
      </c>
      <c r="G892" s="1">
        <v>120</v>
      </c>
      <c r="H892" s="1">
        <v>0</v>
      </c>
      <c r="I892" s="1">
        <v>0</v>
      </c>
      <c r="J892" s="1">
        <f t="shared" si="49"/>
        <v>209</v>
      </c>
      <c r="K892" s="1">
        <v>0</v>
      </c>
      <c r="L892" s="1">
        <v>0</v>
      </c>
      <c r="M892" s="1">
        <v>0</v>
      </c>
      <c r="N892" s="1">
        <f t="shared" si="50"/>
        <v>0</v>
      </c>
      <c r="O892" s="14">
        <v>0</v>
      </c>
      <c r="P892" s="17">
        <f t="shared" si="48"/>
        <v>209</v>
      </c>
      <c r="Q892" s="1">
        <v>0</v>
      </c>
      <c r="R892" s="1">
        <v>0</v>
      </c>
      <c r="S892" s="20">
        <v>42614</v>
      </c>
      <c r="T892" s="1">
        <v>209</v>
      </c>
      <c r="U892" s="9">
        <v>209</v>
      </c>
      <c r="V892" s="9" t="s">
        <v>46</v>
      </c>
    </row>
    <row r="893" spans="1:22" x14ac:dyDescent="0.25">
      <c r="A893" s="10" t="s">
        <v>37</v>
      </c>
      <c r="B893" t="b">
        <v>0</v>
      </c>
      <c r="C893" t="b">
        <v>0</v>
      </c>
      <c r="D893" s="1">
        <v>60</v>
      </c>
      <c r="E893" s="1">
        <v>0</v>
      </c>
      <c r="F893" s="1">
        <v>0</v>
      </c>
      <c r="G893" s="1">
        <v>140</v>
      </c>
      <c r="H893" s="1">
        <v>0</v>
      </c>
      <c r="I893" s="1">
        <v>0</v>
      </c>
      <c r="J893" s="1">
        <f t="shared" si="49"/>
        <v>200</v>
      </c>
      <c r="K893" s="1">
        <v>0</v>
      </c>
      <c r="L893" s="1">
        <v>0</v>
      </c>
      <c r="M893" s="1">
        <v>0</v>
      </c>
      <c r="N893" s="1">
        <f t="shared" si="50"/>
        <v>0</v>
      </c>
      <c r="O893" s="14">
        <v>0</v>
      </c>
      <c r="P893" s="17">
        <f t="shared" si="48"/>
        <v>200</v>
      </c>
      <c r="Q893" s="1">
        <v>0</v>
      </c>
      <c r="R893" s="1">
        <v>0</v>
      </c>
      <c r="S893" s="20">
        <v>42644</v>
      </c>
      <c r="T893" s="1">
        <v>200</v>
      </c>
      <c r="U893" s="9">
        <v>200</v>
      </c>
      <c r="V893" s="9" t="s">
        <v>46</v>
      </c>
    </row>
    <row r="894" spans="1:22" x14ac:dyDescent="0.25">
      <c r="A894" s="10" t="s">
        <v>37</v>
      </c>
      <c r="B894" t="b">
        <v>0</v>
      </c>
      <c r="C894" t="b">
        <v>0</v>
      </c>
      <c r="D894" s="1">
        <v>40</v>
      </c>
      <c r="E894" s="1">
        <v>0</v>
      </c>
      <c r="F894" s="1">
        <v>0</v>
      </c>
      <c r="G894" s="1">
        <v>76</v>
      </c>
      <c r="H894" s="1">
        <v>0</v>
      </c>
      <c r="I894" s="1">
        <v>0</v>
      </c>
      <c r="J894" s="1">
        <f t="shared" si="49"/>
        <v>116</v>
      </c>
      <c r="K894" s="1">
        <v>0</v>
      </c>
      <c r="L894" s="1">
        <v>0</v>
      </c>
      <c r="M894" s="1">
        <v>0</v>
      </c>
      <c r="N894" s="1">
        <f t="shared" si="50"/>
        <v>0</v>
      </c>
      <c r="O894" s="14">
        <v>0</v>
      </c>
      <c r="P894" s="17">
        <f t="shared" si="48"/>
        <v>116</v>
      </c>
      <c r="Q894" s="1">
        <v>0</v>
      </c>
      <c r="R894" s="1">
        <v>0</v>
      </c>
      <c r="S894" s="20">
        <v>42675</v>
      </c>
      <c r="T894" s="1">
        <v>116</v>
      </c>
      <c r="U894" s="9">
        <v>116</v>
      </c>
      <c r="V894" s="9" t="s">
        <v>46</v>
      </c>
    </row>
    <row r="895" spans="1:22" x14ac:dyDescent="0.25">
      <c r="A895" s="10" t="s">
        <v>37</v>
      </c>
      <c r="B895" t="b">
        <v>0</v>
      </c>
      <c r="C895" t="b">
        <v>0</v>
      </c>
      <c r="D895" s="1">
        <v>21</v>
      </c>
      <c r="E895" s="1">
        <v>0</v>
      </c>
      <c r="F895" s="1">
        <v>0</v>
      </c>
      <c r="G895" s="1">
        <v>501</v>
      </c>
      <c r="H895" s="1">
        <v>0</v>
      </c>
      <c r="I895" s="1">
        <v>0</v>
      </c>
      <c r="J895" s="1">
        <f t="shared" si="49"/>
        <v>522</v>
      </c>
      <c r="K895" s="1">
        <v>0</v>
      </c>
      <c r="L895" s="1">
        <v>0</v>
      </c>
      <c r="M895" s="1">
        <v>0</v>
      </c>
      <c r="N895" s="1">
        <f t="shared" si="50"/>
        <v>0</v>
      </c>
      <c r="O895" s="14">
        <v>0</v>
      </c>
      <c r="P895" s="17">
        <f t="shared" si="48"/>
        <v>522</v>
      </c>
      <c r="Q895" s="1">
        <v>0</v>
      </c>
      <c r="R895" s="1">
        <v>0</v>
      </c>
      <c r="S895" s="20">
        <v>42705</v>
      </c>
      <c r="T895" s="1">
        <v>522</v>
      </c>
      <c r="U895" s="9">
        <v>522</v>
      </c>
      <c r="V895" s="9" t="s">
        <v>46</v>
      </c>
    </row>
    <row r="896" spans="1:22" x14ac:dyDescent="0.25">
      <c r="A896" s="10" t="s">
        <v>37</v>
      </c>
      <c r="B896" t="b">
        <v>0</v>
      </c>
      <c r="C896" t="b">
        <v>0</v>
      </c>
      <c r="D896" s="1">
        <v>0</v>
      </c>
      <c r="E896" s="1">
        <v>0</v>
      </c>
      <c r="F896" s="1">
        <v>0</v>
      </c>
      <c r="G896" s="1">
        <v>38</v>
      </c>
      <c r="H896" s="1">
        <v>0</v>
      </c>
      <c r="I896" s="1">
        <v>0</v>
      </c>
      <c r="J896" s="1">
        <f t="shared" si="49"/>
        <v>38</v>
      </c>
      <c r="K896" s="1">
        <v>0</v>
      </c>
      <c r="L896" s="1">
        <v>0</v>
      </c>
      <c r="M896" s="1">
        <v>0</v>
      </c>
      <c r="N896" s="1">
        <f t="shared" si="50"/>
        <v>0</v>
      </c>
      <c r="O896" s="14">
        <v>0</v>
      </c>
      <c r="P896" s="17">
        <f t="shared" si="48"/>
        <v>38</v>
      </c>
      <c r="Q896" s="1">
        <v>0</v>
      </c>
      <c r="R896" s="1">
        <v>0</v>
      </c>
      <c r="S896" s="20">
        <v>42736</v>
      </c>
      <c r="T896" s="1">
        <v>38</v>
      </c>
      <c r="U896" s="9">
        <v>38</v>
      </c>
      <c r="V896" s="9" t="s">
        <v>21</v>
      </c>
    </row>
    <row r="897" spans="1:22" x14ac:dyDescent="0.25">
      <c r="A897" s="10" t="s">
        <v>37</v>
      </c>
      <c r="B897" t="b">
        <v>0</v>
      </c>
      <c r="C897" t="b">
        <v>0</v>
      </c>
      <c r="D897" s="1">
        <v>0</v>
      </c>
      <c r="E897" s="1">
        <v>0</v>
      </c>
      <c r="F897" s="1">
        <v>0</v>
      </c>
      <c r="G897" s="1">
        <v>32</v>
      </c>
      <c r="H897" s="1">
        <v>0</v>
      </c>
      <c r="I897" s="1">
        <v>0</v>
      </c>
      <c r="J897" s="1">
        <f t="shared" si="49"/>
        <v>32</v>
      </c>
      <c r="K897" s="1">
        <v>0</v>
      </c>
      <c r="L897" s="1">
        <v>0</v>
      </c>
      <c r="M897" s="1">
        <v>0</v>
      </c>
      <c r="N897" s="1">
        <f t="shared" si="50"/>
        <v>0</v>
      </c>
      <c r="O897" s="14">
        <v>0</v>
      </c>
      <c r="P897" s="17">
        <f t="shared" si="48"/>
        <v>32</v>
      </c>
      <c r="Q897" s="1">
        <v>0</v>
      </c>
      <c r="R897" s="1">
        <v>0</v>
      </c>
      <c r="S897" s="20">
        <v>42767</v>
      </c>
      <c r="T897" s="1">
        <v>32</v>
      </c>
      <c r="U897" s="9">
        <v>32</v>
      </c>
      <c r="V897" s="9" t="s">
        <v>21</v>
      </c>
    </row>
    <row r="898" spans="1:22" x14ac:dyDescent="0.25">
      <c r="A898" s="10" t="s">
        <v>37</v>
      </c>
      <c r="B898" t="b">
        <v>0</v>
      </c>
      <c r="C898" t="b">
        <v>0</v>
      </c>
      <c r="D898" s="1">
        <v>0</v>
      </c>
      <c r="E898" s="1">
        <v>0</v>
      </c>
      <c r="F898" s="1">
        <v>0</v>
      </c>
      <c r="G898" s="1">
        <v>49</v>
      </c>
      <c r="H898" s="1">
        <v>0</v>
      </c>
      <c r="I898" s="1">
        <v>0</v>
      </c>
      <c r="J898" s="1">
        <f t="shared" si="49"/>
        <v>49</v>
      </c>
      <c r="K898" s="1">
        <v>0</v>
      </c>
      <c r="L898" s="1">
        <v>0</v>
      </c>
      <c r="M898" s="1">
        <v>0</v>
      </c>
      <c r="N898" s="1">
        <f t="shared" si="50"/>
        <v>0</v>
      </c>
      <c r="O898" s="14">
        <v>0</v>
      </c>
      <c r="P898" s="17">
        <f t="shared" si="48"/>
        <v>49</v>
      </c>
      <c r="Q898" s="1">
        <v>0</v>
      </c>
      <c r="R898" s="1">
        <v>0</v>
      </c>
      <c r="S898" s="20">
        <v>42795</v>
      </c>
      <c r="T898" s="1">
        <v>49</v>
      </c>
      <c r="U898" s="9">
        <v>49</v>
      </c>
      <c r="V898" s="9" t="s">
        <v>21</v>
      </c>
    </row>
    <row r="899" spans="1:22" x14ac:dyDescent="0.25">
      <c r="A899" s="10" t="s">
        <v>37</v>
      </c>
      <c r="B899" t="b">
        <v>0</v>
      </c>
      <c r="C899" t="b">
        <v>0</v>
      </c>
      <c r="D899" s="1">
        <v>0</v>
      </c>
      <c r="E899" s="1">
        <v>0</v>
      </c>
      <c r="F899" s="1">
        <v>0</v>
      </c>
      <c r="G899" s="1">
        <v>90</v>
      </c>
      <c r="H899" s="1">
        <v>0</v>
      </c>
      <c r="I899" s="1">
        <v>0</v>
      </c>
      <c r="J899" s="1">
        <f t="shared" si="49"/>
        <v>90</v>
      </c>
      <c r="K899" s="1">
        <v>0</v>
      </c>
      <c r="L899" s="1">
        <v>0</v>
      </c>
      <c r="M899" s="1">
        <v>0</v>
      </c>
      <c r="N899" s="1">
        <f t="shared" si="50"/>
        <v>0</v>
      </c>
      <c r="O899" s="14">
        <v>0</v>
      </c>
      <c r="P899" s="17">
        <f t="shared" si="48"/>
        <v>90</v>
      </c>
      <c r="Q899" s="1">
        <v>0</v>
      </c>
      <c r="R899" s="1">
        <v>0</v>
      </c>
      <c r="S899" s="20">
        <v>42826</v>
      </c>
      <c r="T899" s="1">
        <v>90</v>
      </c>
      <c r="U899" s="9">
        <v>90</v>
      </c>
      <c r="V899" s="9" t="s">
        <v>21</v>
      </c>
    </row>
    <row r="900" spans="1:22" x14ac:dyDescent="0.25">
      <c r="A900" s="10" t="s">
        <v>37</v>
      </c>
      <c r="B900" t="b">
        <v>0</v>
      </c>
      <c r="C900" t="b">
        <v>0</v>
      </c>
      <c r="D900" s="1">
        <v>0</v>
      </c>
      <c r="E900" s="1">
        <v>0</v>
      </c>
      <c r="F900" s="1">
        <v>0</v>
      </c>
      <c r="G900" s="1">
        <v>197</v>
      </c>
      <c r="H900" s="1">
        <v>0</v>
      </c>
      <c r="I900" s="1">
        <v>0</v>
      </c>
      <c r="J900" s="1">
        <f t="shared" si="49"/>
        <v>197</v>
      </c>
      <c r="K900" s="1">
        <v>0</v>
      </c>
      <c r="L900" s="1">
        <v>0</v>
      </c>
      <c r="M900" s="1">
        <v>0</v>
      </c>
      <c r="N900" s="1">
        <f t="shared" si="50"/>
        <v>0</v>
      </c>
      <c r="O900" s="14">
        <v>0</v>
      </c>
      <c r="P900" s="17">
        <f t="shared" si="48"/>
        <v>197</v>
      </c>
      <c r="Q900" s="1">
        <v>0</v>
      </c>
      <c r="R900" s="1">
        <v>0</v>
      </c>
      <c r="S900" s="20">
        <v>42856</v>
      </c>
      <c r="T900" s="1">
        <v>197</v>
      </c>
      <c r="U900" s="9">
        <v>197</v>
      </c>
      <c r="V900" s="9" t="s">
        <v>21</v>
      </c>
    </row>
    <row r="901" spans="1:22" x14ac:dyDescent="0.25">
      <c r="A901" s="10" t="s">
        <v>37</v>
      </c>
      <c r="B901" t="b">
        <v>0</v>
      </c>
      <c r="C901" t="b">
        <v>0</v>
      </c>
      <c r="D901" s="1">
        <v>0</v>
      </c>
      <c r="E901" s="1">
        <v>0</v>
      </c>
      <c r="F901" s="1">
        <v>0</v>
      </c>
      <c r="G901" s="1">
        <v>93</v>
      </c>
      <c r="H901" s="1">
        <v>0</v>
      </c>
      <c r="I901" s="1">
        <v>0</v>
      </c>
      <c r="J901" s="1">
        <f t="shared" si="49"/>
        <v>93</v>
      </c>
      <c r="K901" s="1">
        <v>0</v>
      </c>
      <c r="L901" s="1">
        <v>0</v>
      </c>
      <c r="M901" s="1">
        <v>0</v>
      </c>
      <c r="N901" s="1">
        <f t="shared" si="50"/>
        <v>0</v>
      </c>
      <c r="O901" s="14">
        <v>5</v>
      </c>
      <c r="P901" s="17">
        <f t="shared" si="48"/>
        <v>93</v>
      </c>
      <c r="Q901" s="1">
        <v>0</v>
      </c>
      <c r="R901" s="1">
        <v>0</v>
      </c>
      <c r="S901" s="20">
        <v>42887</v>
      </c>
      <c r="T901" s="1">
        <v>98</v>
      </c>
      <c r="U901" s="9">
        <v>93</v>
      </c>
      <c r="V901" s="9" t="s">
        <v>21</v>
      </c>
    </row>
    <row r="902" spans="1:22" x14ac:dyDescent="0.25">
      <c r="A902" s="10" t="s">
        <v>37</v>
      </c>
      <c r="B902" t="b">
        <v>0</v>
      </c>
      <c r="C902" t="b">
        <v>0</v>
      </c>
      <c r="D902" s="1">
        <v>291</v>
      </c>
      <c r="E902" s="1">
        <v>0</v>
      </c>
      <c r="F902" s="1">
        <v>0</v>
      </c>
      <c r="G902" s="1">
        <v>194</v>
      </c>
      <c r="H902" s="1">
        <v>0</v>
      </c>
      <c r="I902" s="1">
        <v>0</v>
      </c>
      <c r="J902" s="1">
        <f t="shared" si="49"/>
        <v>485</v>
      </c>
      <c r="K902" s="1">
        <v>0</v>
      </c>
      <c r="L902" s="1">
        <v>0</v>
      </c>
      <c r="M902" s="1">
        <v>0</v>
      </c>
      <c r="N902" s="1">
        <f t="shared" si="50"/>
        <v>0</v>
      </c>
      <c r="O902" s="14">
        <v>49</v>
      </c>
      <c r="P902" s="17">
        <f t="shared" ref="P902:P945" si="51">J902</f>
        <v>485</v>
      </c>
      <c r="Q902" s="1">
        <v>0</v>
      </c>
      <c r="R902" s="1">
        <v>0</v>
      </c>
      <c r="S902" s="20">
        <v>42917</v>
      </c>
      <c r="T902" s="1">
        <v>534</v>
      </c>
      <c r="U902" s="9">
        <v>485</v>
      </c>
      <c r="V902" s="9" t="s">
        <v>21</v>
      </c>
    </row>
    <row r="903" spans="1:22" x14ac:dyDescent="0.25">
      <c r="A903" s="10" t="s">
        <v>37</v>
      </c>
      <c r="B903" t="b">
        <v>0</v>
      </c>
      <c r="C903" t="b">
        <v>0</v>
      </c>
      <c r="D903" s="1">
        <v>264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f t="shared" ref="J903:J945" si="52">D903+E903+F903+G903+H903+I903</f>
        <v>264</v>
      </c>
      <c r="K903" s="1">
        <v>0</v>
      </c>
      <c r="L903" s="1">
        <v>0</v>
      </c>
      <c r="M903" s="1">
        <v>0</v>
      </c>
      <c r="N903" s="1">
        <f t="shared" si="50"/>
        <v>0</v>
      </c>
      <c r="O903" s="14">
        <v>0</v>
      </c>
      <c r="P903" s="17">
        <f t="shared" si="51"/>
        <v>264</v>
      </c>
      <c r="Q903" s="1">
        <v>0</v>
      </c>
      <c r="R903" s="1">
        <v>0</v>
      </c>
      <c r="S903" s="20">
        <v>42948</v>
      </c>
      <c r="T903" s="1">
        <v>264</v>
      </c>
      <c r="U903" s="9">
        <v>264</v>
      </c>
      <c r="V903" s="9" t="s">
        <v>21</v>
      </c>
    </row>
    <row r="904" spans="1:22" x14ac:dyDescent="0.25">
      <c r="A904" s="10" t="s">
        <v>37</v>
      </c>
      <c r="B904" t="b">
        <v>0</v>
      </c>
      <c r="C904" t="b">
        <v>0</v>
      </c>
      <c r="D904" s="1">
        <v>94</v>
      </c>
      <c r="E904" s="1">
        <v>0</v>
      </c>
      <c r="F904" s="1">
        <v>0</v>
      </c>
      <c r="G904" s="1">
        <v>110</v>
      </c>
      <c r="H904" s="1">
        <v>0</v>
      </c>
      <c r="I904" s="1">
        <v>0</v>
      </c>
      <c r="J904" s="1">
        <f t="shared" si="52"/>
        <v>204</v>
      </c>
      <c r="K904" s="1">
        <v>0</v>
      </c>
      <c r="L904" s="1">
        <v>0</v>
      </c>
      <c r="M904" s="1">
        <v>0</v>
      </c>
      <c r="N904" s="1">
        <f t="shared" si="50"/>
        <v>0</v>
      </c>
      <c r="O904" s="14">
        <v>0</v>
      </c>
      <c r="P904" s="17">
        <f t="shared" si="51"/>
        <v>204</v>
      </c>
      <c r="Q904" s="1">
        <v>0</v>
      </c>
      <c r="R904" s="1">
        <v>0</v>
      </c>
      <c r="S904" s="20">
        <v>42979</v>
      </c>
      <c r="T904" s="1">
        <v>204</v>
      </c>
      <c r="U904" s="9">
        <v>204</v>
      </c>
      <c r="V904" s="9" t="s">
        <v>21</v>
      </c>
    </row>
    <row r="905" spans="1:22" x14ac:dyDescent="0.25">
      <c r="A905" s="10" t="s">
        <v>37</v>
      </c>
      <c r="B905" t="b">
        <v>0</v>
      </c>
      <c r="C905" t="b">
        <v>0</v>
      </c>
      <c r="D905" s="1">
        <v>65</v>
      </c>
      <c r="E905" s="1">
        <v>0</v>
      </c>
      <c r="F905" s="1">
        <v>0</v>
      </c>
      <c r="G905" s="1">
        <v>149</v>
      </c>
      <c r="H905" s="1">
        <v>0</v>
      </c>
      <c r="I905" s="1">
        <v>0</v>
      </c>
      <c r="J905" s="1">
        <f t="shared" si="52"/>
        <v>214</v>
      </c>
      <c r="K905" s="1">
        <v>0</v>
      </c>
      <c r="L905" s="1">
        <v>0</v>
      </c>
      <c r="M905" s="1">
        <v>0</v>
      </c>
      <c r="N905" s="1">
        <f t="shared" si="50"/>
        <v>0</v>
      </c>
      <c r="O905" s="14">
        <v>0</v>
      </c>
      <c r="P905" s="17">
        <f t="shared" si="51"/>
        <v>214</v>
      </c>
      <c r="Q905" s="1">
        <v>0</v>
      </c>
      <c r="R905" s="1">
        <v>0</v>
      </c>
      <c r="S905" s="20">
        <v>43009</v>
      </c>
      <c r="T905" s="1">
        <v>214</v>
      </c>
      <c r="U905" s="9">
        <v>214</v>
      </c>
      <c r="V905" s="9" t="s">
        <v>21</v>
      </c>
    </row>
    <row r="906" spans="1:22" x14ac:dyDescent="0.25">
      <c r="A906" s="10" t="s">
        <v>37</v>
      </c>
      <c r="B906" t="b">
        <v>0</v>
      </c>
      <c r="C906" t="b">
        <v>0</v>
      </c>
      <c r="D906" s="1">
        <v>46</v>
      </c>
      <c r="E906" s="1">
        <v>0</v>
      </c>
      <c r="F906" s="1">
        <v>0</v>
      </c>
      <c r="G906" s="1">
        <v>85</v>
      </c>
      <c r="H906" s="1">
        <v>0</v>
      </c>
      <c r="I906" s="1">
        <v>0</v>
      </c>
      <c r="J906" s="1">
        <f t="shared" si="52"/>
        <v>131</v>
      </c>
      <c r="K906" s="1">
        <v>0</v>
      </c>
      <c r="L906" s="1">
        <v>0</v>
      </c>
      <c r="M906" s="1">
        <v>0</v>
      </c>
      <c r="N906" s="1">
        <f t="shared" si="50"/>
        <v>0</v>
      </c>
      <c r="O906" s="14">
        <v>0</v>
      </c>
      <c r="P906" s="17">
        <f t="shared" si="51"/>
        <v>131</v>
      </c>
      <c r="Q906" s="1">
        <v>0</v>
      </c>
      <c r="R906" s="1">
        <v>0</v>
      </c>
      <c r="S906" s="20">
        <v>43040</v>
      </c>
      <c r="T906" s="1">
        <v>131</v>
      </c>
      <c r="U906" s="9">
        <v>131</v>
      </c>
      <c r="V906" s="9" t="s">
        <v>21</v>
      </c>
    </row>
    <row r="907" spans="1:22" x14ac:dyDescent="0.25">
      <c r="A907" s="10" t="s">
        <v>37</v>
      </c>
      <c r="B907" t="b">
        <v>0</v>
      </c>
      <c r="C907" t="b">
        <v>0</v>
      </c>
      <c r="D907" s="1">
        <v>27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f t="shared" si="52"/>
        <v>27</v>
      </c>
      <c r="K907" s="1">
        <v>0</v>
      </c>
      <c r="L907" s="1">
        <v>0</v>
      </c>
      <c r="M907" s="1">
        <v>0</v>
      </c>
      <c r="N907" s="1">
        <f t="shared" si="50"/>
        <v>0</v>
      </c>
      <c r="O907" s="14">
        <v>0</v>
      </c>
      <c r="P907" s="17">
        <f t="shared" si="51"/>
        <v>27</v>
      </c>
      <c r="Q907" s="1">
        <v>0</v>
      </c>
      <c r="R907" s="1">
        <v>0</v>
      </c>
      <c r="S907" s="20">
        <v>43070</v>
      </c>
      <c r="T907" s="1">
        <v>27</v>
      </c>
      <c r="U907" s="9">
        <v>27</v>
      </c>
      <c r="V907" s="9" t="s">
        <v>21</v>
      </c>
    </row>
    <row r="908" spans="1:22" x14ac:dyDescent="0.25">
      <c r="A908" s="10" t="s">
        <v>37</v>
      </c>
      <c r="B908" t="b">
        <v>0</v>
      </c>
      <c r="C908" t="b">
        <v>0</v>
      </c>
      <c r="D908" s="1">
        <v>48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f t="shared" si="52"/>
        <v>48</v>
      </c>
      <c r="K908" s="1">
        <v>0</v>
      </c>
      <c r="L908" s="1">
        <v>0</v>
      </c>
      <c r="M908" s="1">
        <v>0</v>
      </c>
      <c r="N908" s="1">
        <f t="shared" si="50"/>
        <v>0</v>
      </c>
      <c r="O908" s="14">
        <v>0</v>
      </c>
      <c r="P908" s="17">
        <f t="shared" si="51"/>
        <v>48</v>
      </c>
      <c r="Q908" s="1">
        <v>0</v>
      </c>
      <c r="R908" s="1">
        <v>0</v>
      </c>
      <c r="S908" s="20">
        <v>43101</v>
      </c>
      <c r="T908" s="1">
        <v>48</v>
      </c>
      <c r="U908" s="9">
        <v>48</v>
      </c>
      <c r="V908" s="9" t="s">
        <v>21</v>
      </c>
    </row>
    <row r="909" spans="1:22" x14ac:dyDescent="0.25">
      <c r="A909" s="10" t="s">
        <v>37</v>
      </c>
      <c r="B909" t="b">
        <v>0</v>
      </c>
      <c r="C909" t="b">
        <v>0</v>
      </c>
      <c r="D909" s="1">
        <v>66</v>
      </c>
      <c r="E909" s="1">
        <v>0</v>
      </c>
      <c r="F909" s="1">
        <v>0</v>
      </c>
      <c r="G909" s="1">
        <v>81</v>
      </c>
      <c r="H909" s="1">
        <v>0</v>
      </c>
      <c r="I909" s="1">
        <v>0</v>
      </c>
      <c r="J909" s="1">
        <f t="shared" si="52"/>
        <v>147</v>
      </c>
      <c r="K909" s="1">
        <v>0</v>
      </c>
      <c r="L909" s="1">
        <v>0</v>
      </c>
      <c r="M909" s="1">
        <v>0</v>
      </c>
      <c r="N909" s="1">
        <f t="shared" si="50"/>
        <v>0</v>
      </c>
      <c r="O909" s="14">
        <v>2</v>
      </c>
      <c r="P909" s="17">
        <f t="shared" si="51"/>
        <v>147</v>
      </c>
      <c r="Q909" s="1">
        <v>0</v>
      </c>
      <c r="R909" s="1">
        <v>0</v>
      </c>
      <c r="S909" s="20">
        <v>43132</v>
      </c>
      <c r="T909" s="1">
        <v>149</v>
      </c>
      <c r="U909" s="9">
        <v>147</v>
      </c>
      <c r="V909" s="9" t="s">
        <v>21</v>
      </c>
    </row>
    <row r="910" spans="1:22" x14ac:dyDescent="0.25">
      <c r="A910" s="10" t="s">
        <v>37</v>
      </c>
      <c r="B910" t="b">
        <v>0</v>
      </c>
      <c r="C910" t="b">
        <v>0</v>
      </c>
      <c r="D910" s="1">
        <v>18</v>
      </c>
      <c r="E910" s="1">
        <v>0</v>
      </c>
      <c r="F910" s="1">
        <v>0</v>
      </c>
      <c r="G910" s="1">
        <v>183</v>
      </c>
      <c r="H910" s="1">
        <v>0</v>
      </c>
      <c r="I910" s="1">
        <v>0</v>
      </c>
      <c r="J910" s="1">
        <f t="shared" si="52"/>
        <v>201</v>
      </c>
      <c r="K910" s="1">
        <v>0</v>
      </c>
      <c r="L910" s="1">
        <v>0</v>
      </c>
      <c r="M910" s="1">
        <v>0</v>
      </c>
      <c r="N910" s="1">
        <f t="shared" si="50"/>
        <v>0</v>
      </c>
      <c r="O910" s="14">
        <v>4</v>
      </c>
      <c r="P910" s="17">
        <f t="shared" si="51"/>
        <v>201</v>
      </c>
      <c r="Q910" s="1">
        <v>0</v>
      </c>
      <c r="R910" s="1">
        <v>0</v>
      </c>
      <c r="S910" s="20">
        <v>43160</v>
      </c>
      <c r="T910" s="1">
        <v>205</v>
      </c>
      <c r="U910" s="9">
        <v>201</v>
      </c>
      <c r="V910" s="9" t="s">
        <v>21</v>
      </c>
    </row>
    <row r="911" spans="1:22" x14ac:dyDescent="0.25">
      <c r="A911" s="10" t="s">
        <v>37</v>
      </c>
      <c r="B911" t="b">
        <v>0</v>
      </c>
      <c r="C911" t="b">
        <v>0</v>
      </c>
      <c r="D911" s="1">
        <v>198</v>
      </c>
      <c r="E911" s="1">
        <v>0</v>
      </c>
      <c r="F911" s="1">
        <v>0</v>
      </c>
      <c r="G911" s="1">
        <v>84</v>
      </c>
      <c r="H911" s="1">
        <v>0</v>
      </c>
      <c r="I911" s="1">
        <v>0</v>
      </c>
      <c r="J911" s="1">
        <f t="shared" si="52"/>
        <v>282</v>
      </c>
      <c r="K911" s="1">
        <v>0</v>
      </c>
      <c r="L911" s="1">
        <v>0</v>
      </c>
      <c r="M911" s="1">
        <v>0</v>
      </c>
      <c r="N911" s="1">
        <f t="shared" si="50"/>
        <v>0</v>
      </c>
      <c r="O911" s="14">
        <v>0</v>
      </c>
      <c r="P911" s="17">
        <f t="shared" si="51"/>
        <v>282</v>
      </c>
      <c r="Q911" s="1">
        <v>0</v>
      </c>
      <c r="R911" s="1">
        <v>0</v>
      </c>
      <c r="S911" s="20">
        <v>43191</v>
      </c>
      <c r="T911" s="1">
        <v>282</v>
      </c>
      <c r="U911" s="9">
        <v>282</v>
      </c>
      <c r="V911" s="9" t="s">
        <v>21</v>
      </c>
    </row>
    <row r="912" spans="1:22" x14ac:dyDescent="0.25">
      <c r="A912" s="10" t="s">
        <v>37</v>
      </c>
      <c r="B912" t="b">
        <v>0</v>
      </c>
      <c r="C912" t="b">
        <v>0</v>
      </c>
      <c r="D912" s="1">
        <v>216</v>
      </c>
      <c r="E912" s="1">
        <v>0</v>
      </c>
      <c r="F912" s="1">
        <v>0</v>
      </c>
      <c r="G912" s="1">
        <v>200</v>
      </c>
      <c r="H912" s="1">
        <v>0</v>
      </c>
      <c r="I912" s="1">
        <v>0</v>
      </c>
      <c r="J912" s="1">
        <f t="shared" si="52"/>
        <v>416</v>
      </c>
      <c r="K912" s="1">
        <v>0</v>
      </c>
      <c r="L912" s="1">
        <v>0</v>
      </c>
      <c r="M912" s="1">
        <v>0</v>
      </c>
      <c r="N912" s="1">
        <f t="shared" si="50"/>
        <v>0</v>
      </c>
      <c r="O912" s="14">
        <v>0</v>
      </c>
      <c r="P912" s="17">
        <f t="shared" si="51"/>
        <v>416</v>
      </c>
      <c r="Q912" s="1">
        <v>0</v>
      </c>
      <c r="R912" s="1">
        <v>0</v>
      </c>
      <c r="S912" s="20">
        <v>43221</v>
      </c>
      <c r="T912" s="1">
        <v>416</v>
      </c>
      <c r="U912" s="9">
        <v>416</v>
      </c>
      <c r="V912" s="9" t="s">
        <v>21</v>
      </c>
    </row>
    <row r="913" spans="1:22" x14ac:dyDescent="0.25">
      <c r="A913" s="10" t="s">
        <v>37</v>
      </c>
      <c r="B913" t="b">
        <v>0</v>
      </c>
      <c r="C913" t="b">
        <v>0</v>
      </c>
      <c r="D913" s="1">
        <v>180</v>
      </c>
      <c r="E913" s="1">
        <v>0</v>
      </c>
      <c r="F913" s="1">
        <v>0</v>
      </c>
      <c r="G913" s="1">
        <v>215</v>
      </c>
      <c r="H913" s="1">
        <v>0</v>
      </c>
      <c r="I913" s="1">
        <v>0</v>
      </c>
      <c r="J913" s="1">
        <f t="shared" si="52"/>
        <v>395</v>
      </c>
      <c r="K913" s="1">
        <v>0</v>
      </c>
      <c r="L913" s="1">
        <v>0</v>
      </c>
      <c r="M913" s="1">
        <v>0</v>
      </c>
      <c r="N913" s="1">
        <f t="shared" si="50"/>
        <v>0</v>
      </c>
      <c r="O913" s="14">
        <v>0</v>
      </c>
      <c r="P913" s="17">
        <f t="shared" si="51"/>
        <v>395</v>
      </c>
      <c r="Q913" s="1">
        <v>0</v>
      </c>
      <c r="R913" s="1">
        <v>0</v>
      </c>
      <c r="S913" s="20">
        <v>43252</v>
      </c>
      <c r="T913" s="1">
        <v>395</v>
      </c>
      <c r="U913" s="9">
        <v>395</v>
      </c>
      <c r="V913" s="9" t="s">
        <v>21</v>
      </c>
    </row>
    <row r="914" spans="1:22" x14ac:dyDescent="0.25">
      <c r="A914" s="10" t="s">
        <v>37</v>
      </c>
      <c r="B914" t="b">
        <v>0</v>
      </c>
      <c r="C914" t="b">
        <v>0</v>
      </c>
      <c r="D914" s="1">
        <v>0</v>
      </c>
      <c r="E914" s="1">
        <v>0</v>
      </c>
      <c r="F914" s="1">
        <v>0</v>
      </c>
      <c r="G914" s="1">
        <v>264</v>
      </c>
      <c r="H914" s="1">
        <v>0</v>
      </c>
      <c r="I914" s="1">
        <v>0</v>
      </c>
      <c r="J914" s="1">
        <f t="shared" si="52"/>
        <v>264</v>
      </c>
      <c r="K914" s="1">
        <v>0</v>
      </c>
      <c r="L914" s="1">
        <v>0</v>
      </c>
      <c r="M914" s="1">
        <v>0</v>
      </c>
      <c r="N914" s="1">
        <f t="shared" si="50"/>
        <v>0</v>
      </c>
      <c r="O914" s="14">
        <v>0</v>
      </c>
      <c r="P914" s="17">
        <f t="shared" si="51"/>
        <v>264</v>
      </c>
      <c r="Q914" s="1">
        <v>0</v>
      </c>
      <c r="R914" s="1">
        <v>0</v>
      </c>
      <c r="S914" s="20">
        <v>43282</v>
      </c>
      <c r="T914" s="1">
        <v>264</v>
      </c>
      <c r="U914" s="9">
        <v>264</v>
      </c>
      <c r="V914" s="9" t="s">
        <v>21</v>
      </c>
    </row>
    <row r="915" spans="1:22" x14ac:dyDescent="0.25">
      <c r="A915" s="10" t="s">
        <v>37</v>
      </c>
      <c r="B915" t="b">
        <v>0</v>
      </c>
      <c r="C915" t="b">
        <v>0</v>
      </c>
      <c r="D915" s="1">
        <v>0</v>
      </c>
      <c r="E915" s="1">
        <v>0</v>
      </c>
      <c r="F915" s="1">
        <v>0</v>
      </c>
      <c r="G915" s="1">
        <v>212</v>
      </c>
      <c r="H915" s="1">
        <v>0</v>
      </c>
      <c r="I915" s="1">
        <v>0</v>
      </c>
      <c r="J915" s="1">
        <f t="shared" si="52"/>
        <v>212</v>
      </c>
      <c r="K915" s="1">
        <v>0</v>
      </c>
      <c r="L915" s="1">
        <v>0</v>
      </c>
      <c r="M915" s="1">
        <v>0</v>
      </c>
      <c r="N915" s="1">
        <f t="shared" si="50"/>
        <v>0</v>
      </c>
      <c r="O915" s="14">
        <v>0</v>
      </c>
      <c r="P915" s="17">
        <f t="shared" si="51"/>
        <v>212</v>
      </c>
      <c r="Q915" s="1">
        <v>0</v>
      </c>
      <c r="R915" s="1">
        <v>0</v>
      </c>
      <c r="S915" s="20">
        <v>43313</v>
      </c>
      <c r="T915" s="1">
        <v>212</v>
      </c>
      <c r="U915" s="9">
        <v>212</v>
      </c>
      <c r="V915" s="9" t="s">
        <v>21</v>
      </c>
    </row>
    <row r="916" spans="1:22" x14ac:dyDescent="0.25">
      <c r="A916" s="10" t="s">
        <v>37</v>
      </c>
      <c r="B916" t="b">
        <v>0</v>
      </c>
      <c r="C916" t="b">
        <v>0</v>
      </c>
      <c r="D916" s="1">
        <v>0</v>
      </c>
      <c r="E916" s="1">
        <v>0</v>
      </c>
      <c r="F916" s="1">
        <v>0</v>
      </c>
      <c r="G916" s="1">
        <v>142</v>
      </c>
      <c r="H916" s="1">
        <v>0</v>
      </c>
      <c r="I916" s="1">
        <v>0</v>
      </c>
      <c r="J916" s="1">
        <f t="shared" si="52"/>
        <v>142</v>
      </c>
      <c r="K916" s="1">
        <v>0</v>
      </c>
      <c r="L916" s="1">
        <v>0</v>
      </c>
      <c r="M916" s="1">
        <v>0</v>
      </c>
      <c r="N916" s="1">
        <f t="shared" si="50"/>
        <v>0</v>
      </c>
      <c r="O916" s="14">
        <v>0</v>
      </c>
      <c r="P916" s="17">
        <f t="shared" si="51"/>
        <v>142</v>
      </c>
      <c r="Q916" s="1">
        <v>0</v>
      </c>
      <c r="R916" s="1">
        <v>0</v>
      </c>
      <c r="S916" s="20">
        <v>43344</v>
      </c>
      <c r="T916" s="1">
        <v>142</v>
      </c>
      <c r="U916" s="9">
        <v>142</v>
      </c>
      <c r="V916" s="9" t="s">
        <v>21</v>
      </c>
    </row>
    <row r="917" spans="1:22" x14ac:dyDescent="0.25">
      <c r="A917" s="10" t="s">
        <v>37</v>
      </c>
      <c r="B917" t="b">
        <v>0</v>
      </c>
      <c r="C917" t="b">
        <v>0</v>
      </c>
      <c r="D917" s="1">
        <v>0</v>
      </c>
      <c r="E917" s="1">
        <v>0</v>
      </c>
      <c r="F917" s="1">
        <v>0</v>
      </c>
      <c r="G917" s="1">
        <v>145</v>
      </c>
      <c r="H917" s="1">
        <v>0</v>
      </c>
      <c r="I917" s="1">
        <v>0</v>
      </c>
      <c r="J917" s="1">
        <f t="shared" si="52"/>
        <v>145</v>
      </c>
      <c r="K917" s="1">
        <v>0</v>
      </c>
      <c r="L917" s="1">
        <v>0</v>
      </c>
      <c r="M917" s="1">
        <v>0</v>
      </c>
      <c r="N917" s="1">
        <f t="shared" si="50"/>
        <v>0</v>
      </c>
      <c r="O917" s="14">
        <v>0</v>
      </c>
      <c r="P917" s="17">
        <f t="shared" si="51"/>
        <v>145</v>
      </c>
      <c r="Q917" s="1">
        <v>0</v>
      </c>
      <c r="R917" s="1">
        <v>0</v>
      </c>
      <c r="S917" s="20">
        <v>43374</v>
      </c>
      <c r="T917" s="1">
        <v>145</v>
      </c>
      <c r="U917" s="9">
        <v>145</v>
      </c>
      <c r="V917" s="9" t="s">
        <v>21</v>
      </c>
    </row>
    <row r="918" spans="1:22" x14ac:dyDescent="0.25">
      <c r="A918" s="10" t="s">
        <v>37</v>
      </c>
      <c r="B918" t="b">
        <v>0</v>
      </c>
      <c r="C918" t="b">
        <v>0</v>
      </c>
      <c r="D918" s="1">
        <v>0</v>
      </c>
      <c r="E918" s="1">
        <v>0</v>
      </c>
      <c r="F918" s="1">
        <v>0</v>
      </c>
      <c r="G918" s="1">
        <v>87</v>
      </c>
      <c r="H918" s="1">
        <v>0</v>
      </c>
      <c r="I918" s="1">
        <v>0</v>
      </c>
      <c r="J918" s="1">
        <f t="shared" si="52"/>
        <v>87</v>
      </c>
      <c r="K918" s="1">
        <v>0</v>
      </c>
      <c r="L918" s="1">
        <v>0</v>
      </c>
      <c r="M918" s="1">
        <v>0</v>
      </c>
      <c r="N918" s="1">
        <f t="shared" si="50"/>
        <v>0</v>
      </c>
      <c r="O918" s="14">
        <v>0</v>
      </c>
      <c r="P918" s="17">
        <f t="shared" si="51"/>
        <v>87</v>
      </c>
      <c r="Q918" s="1">
        <v>0</v>
      </c>
      <c r="R918" s="1">
        <v>0</v>
      </c>
      <c r="S918" s="20">
        <v>43405</v>
      </c>
      <c r="T918" s="1">
        <v>87</v>
      </c>
      <c r="U918" s="9">
        <v>87</v>
      </c>
      <c r="V918" s="9" t="s">
        <v>21</v>
      </c>
    </row>
    <row r="919" spans="1:22" x14ac:dyDescent="0.25">
      <c r="A919" s="10" t="s">
        <v>37</v>
      </c>
      <c r="B919" t="b">
        <v>0</v>
      </c>
      <c r="C919" t="b">
        <v>0</v>
      </c>
      <c r="D919" s="1">
        <v>0</v>
      </c>
      <c r="E919" s="1">
        <v>0</v>
      </c>
      <c r="F919" s="1">
        <v>0</v>
      </c>
      <c r="G919" s="1">
        <v>87</v>
      </c>
      <c r="H919" s="1">
        <v>0</v>
      </c>
      <c r="I919" s="1">
        <v>0</v>
      </c>
      <c r="J919" s="1">
        <f t="shared" si="52"/>
        <v>87</v>
      </c>
      <c r="K919" s="1">
        <v>0</v>
      </c>
      <c r="L919" s="1">
        <v>0</v>
      </c>
      <c r="M919" s="1">
        <v>0</v>
      </c>
      <c r="N919" s="1">
        <f t="shared" si="50"/>
        <v>0</v>
      </c>
      <c r="O919" s="14">
        <v>0</v>
      </c>
      <c r="P919" s="17">
        <f t="shared" si="51"/>
        <v>87</v>
      </c>
      <c r="Q919" s="1">
        <v>0</v>
      </c>
      <c r="R919" s="1">
        <v>0</v>
      </c>
      <c r="S919" s="20">
        <v>43435</v>
      </c>
      <c r="T919" s="1">
        <v>87</v>
      </c>
      <c r="U919" s="9">
        <v>87</v>
      </c>
      <c r="V919" s="9" t="s">
        <v>21</v>
      </c>
    </row>
    <row r="920" spans="1:22" x14ac:dyDescent="0.25">
      <c r="A920" s="10" t="s">
        <v>37</v>
      </c>
      <c r="B920" t="b">
        <v>0</v>
      </c>
      <c r="C920" t="b">
        <v>0</v>
      </c>
      <c r="D920" s="1">
        <v>60</v>
      </c>
      <c r="E920" s="1">
        <v>0</v>
      </c>
      <c r="F920" s="1">
        <v>0</v>
      </c>
      <c r="G920" s="1">
        <v>32</v>
      </c>
      <c r="H920" s="1">
        <v>0</v>
      </c>
      <c r="I920" s="1">
        <v>0</v>
      </c>
      <c r="J920" s="1">
        <f t="shared" si="52"/>
        <v>92</v>
      </c>
      <c r="K920" s="1">
        <v>0</v>
      </c>
      <c r="L920" s="1">
        <v>0</v>
      </c>
      <c r="M920" s="1">
        <v>0</v>
      </c>
      <c r="N920" s="1">
        <f t="shared" si="50"/>
        <v>0</v>
      </c>
      <c r="O920" s="14">
        <v>0</v>
      </c>
      <c r="P920" s="17">
        <f t="shared" si="51"/>
        <v>92</v>
      </c>
      <c r="Q920" s="1">
        <v>0</v>
      </c>
      <c r="R920" s="1">
        <v>0</v>
      </c>
      <c r="S920" s="20">
        <v>43466</v>
      </c>
      <c r="T920" s="1">
        <v>92</v>
      </c>
      <c r="U920" s="9">
        <v>92</v>
      </c>
      <c r="V920" s="9" t="s">
        <v>21</v>
      </c>
    </row>
    <row r="921" spans="1:22" x14ac:dyDescent="0.25">
      <c r="A921" s="10" t="s">
        <v>37</v>
      </c>
      <c r="B921" t="b">
        <v>0</v>
      </c>
      <c r="C921" t="b">
        <v>0</v>
      </c>
      <c r="D921" s="1">
        <v>0</v>
      </c>
      <c r="E921" s="1">
        <v>0</v>
      </c>
      <c r="F921" s="1">
        <v>0</v>
      </c>
      <c r="G921" s="1">
        <v>621</v>
      </c>
      <c r="H921" s="1">
        <v>0</v>
      </c>
      <c r="I921" s="1">
        <v>0</v>
      </c>
      <c r="J921" s="1">
        <f t="shared" si="52"/>
        <v>621</v>
      </c>
      <c r="K921" s="1">
        <v>0</v>
      </c>
      <c r="L921" s="1">
        <v>0</v>
      </c>
      <c r="M921" s="1">
        <v>0</v>
      </c>
      <c r="N921" s="1">
        <f t="shared" si="50"/>
        <v>0</v>
      </c>
      <c r="O921" s="14">
        <v>41</v>
      </c>
      <c r="P921" s="17">
        <f t="shared" si="51"/>
        <v>621</v>
      </c>
      <c r="Q921" s="1">
        <v>0</v>
      </c>
      <c r="R921" s="1">
        <v>0</v>
      </c>
      <c r="S921" s="20">
        <v>43497</v>
      </c>
      <c r="T921" s="1">
        <v>662</v>
      </c>
      <c r="U921" s="9">
        <v>621</v>
      </c>
      <c r="V921" s="9" t="s">
        <v>21</v>
      </c>
    </row>
    <row r="922" spans="1:22" x14ac:dyDescent="0.25">
      <c r="A922" s="10" t="s">
        <v>37</v>
      </c>
      <c r="B922" t="b">
        <v>0</v>
      </c>
      <c r="C922" t="b">
        <v>0</v>
      </c>
      <c r="D922" s="1">
        <v>18</v>
      </c>
      <c r="E922" s="1">
        <v>7</v>
      </c>
      <c r="F922" s="1">
        <v>0</v>
      </c>
      <c r="G922" s="1">
        <v>832</v>
      </c>
      <c r="H922" s="1">
        <v>0</v>
      </c>
      <c r="I922" s="1">
        <v>0</v>
      </c>
      <c r="J922" s="1">
        <f t="shared" si="52"/>
        <v>857</v>
      </c>
      <c r="K922" s="1">
        <v>0</v>
      </c>
      <c r="L922" s="1">
        <v>0</v>
      </c>
      <c r="M922" s="1">
        <v>0</v>
      </c>
      <c r="N922" s="1">
        <f t="shared" si="50"/>
        <v>0</v>
      </c>
      <c r="O922" s="14">
        <v>50</v>
      </c>
      <c r="P922" s="17">
        <f t="shared" si="51"/>
        <v>857</v>
      </c>
      <c r="Q922" s="1">
        <v>0</v>
      </c>
      <c r="R922" s="1">
        <v>0</v>
      </c>
      <c r="S922" s="20">
        <v>43525</v>
      </c>
      <c r="T922" s="1">
        <v>907</v>
      </c>
      <c r="U922" s="9">
        <v>857</v>
      </c>
      <c r="V922" s="9" t="s">
        <v>21</v>
      </c>
    </row>
    <row r="923" spans="1:22" x14ac:dyDescent="0.25">
      <c r="A923" s="10" t="s">
        <v>37</v>
      </c>
      <c r="B923" t="b">
        <v>0</v>
      </c>
      <c r="C923" t="b">
        <v>0</v>
      </c>
      <c r="D923" s="1">
        <v>0</v>
      </c>
      <c r="E923" s="1">
        <v>0</v>
      </c>
      <c r="F923" s="1">
        <v>0</v>
      </c>
      <c r="G923" s="1">
        <v>980</v>
      </c>
      <c r="H923" s="1">
        <v>0</v>
      </c>
      <c r="I923" s="1">
        <v>0</v>
      </c>
      <c r="J923" s="1">
        <f t="shared" si="52"/>
        <v>980</v>
      </c>
      <c r="K923" s="1">
        <v>0</v>
      </c>
      <c r="L923" s="1">
        <v>0</v>
      </c>
      <c r="M923" s="1">
        <v>0</v>
      </c>
      <c r="N923" s="1">
        <f t="shared" si="50"/>
        <v>0</v>
      </c>
      <c r="O923" s="14">
        <v>64</v>
      </c>
      <c r="P923" s="17">
        <f t="shared" si="51"/>
        <v>980</v>
      </c>
      <c r="Q923" s="1">
        <v>0</v>
      </c>
      <c r="R923" s="1">
        <v>0</v>
      </c>
      <c r="S923" s="20">
        <v>43556</v>
      </c>
      <c r="T923" s="1">
        <v>1044</v>
      </c>
      <c r="U923" s="9">
        <v>980</v>
      </c>
      <c r="V923" s="9" t="s">
        <v>21</v>
      </c>
    </row>
    <row r="924" spans="1:22" x14ac:dyDescent="0.25">
      <c r="A924" s="10" t="s">
        <v>37</v>
      </c>
      <c r="B924" t="b">
        <v>0</v>
      </c>
      <c r="C924" t="b">
        <v>0</v>
      </c>
      <c r="D924" s="1">
        <v>0</v>
      </c>
      <c r="E924" s="1">
        <v>0</v>
      </c>
      <c r="F924" s="1">
        <v>0</v>
      </c>
      <c r="G924" s="1">
        <v>1027</v>
      </c>
      <c r="H924" s="1">
        <v>0</v>
      </c>
      <c r="I924" s="1">
        <v>0</v>
      </c>
      <c r="J924" s="1">
        <f t="shared" si="52"/>
        <v>1027</v>
      </c>
      <c r="K924" s="1">
        <v>0</v>
      </c>
      <c r="L924" s="1">
        <v>0</v>
      </c>
      <c r="M924" s="1">
        <v>0</v>
      </c>
      <c r="N924" s="1">
        <f t="shared" si="50"/>
        <v>0</v>
      </c>
      <c r="O924" s="14">
        <v>73</v>
      </c>
      <c r="P924" s="17">
        <f t="shared" si="51"/>
        <v>1027</v>
      </c>
      <c r="Q924" s="1">
        <v>0</v>
      </c>
      <c r="R924" s="1">
        <v>0</v>
      </c>
      <c r="S924" s="20">
        <v>43586</v>
      </c>
      <c r="T924" s="1">
        <v>1100</v>
      </c>
      <c r="U924" s="9">
        <v>1027</v>
      </c>
      <c r="V924" s="9" t="s">
        <v>21</v>
      </c>
    </row>
    <row r="925" spans="1:22" x14ac:dyDescent="0.25">
      <c r="A925" s="10" t="s">
        <v>37</v>
      </c>
      <c r="B925" t="b">
        <v>0</v>
      </c>
      <c r="C925" t="b">
        <v>0</v>
      </c>
      <c r="D925" s="1">
        <v>0</v>
      </c>
      <c r="E925" s="1">
        <v>0</v>
      </c>
      <c r="F925" s="1">
        <v>0</v>
      </c>
      <c r="G925" s="1">
        <v>922</v>
      </c>
      <c r="H925" s="1">
        <v>0</v>
      </c>
      <c r="I925" s="1">
        <v>0</v>
      </c>
      <c r="J925" s="1">
        <f t="shared" si="52"/>
        <v>922</v>
      </c>
      <c r="K925" s="1">
        <v>0</v>
      </c>
      <c r="L925" s="1">
        <v>0</v>
      </c>
      <c r="M925" s="1">
        <v>0</v>
      </c>
      <c r="N925" s="1">
        <f t="shared" si="50"/>
        <v>0</v>
      </c>
      <c r="O925" s="14">
        <v>62</v>
      </c>
      <c r="P925" s="17">
        <f t="shared" si="51"/>
        <v>922</v>
      </c>
      <c r="Q925" s="1">
        <v>0</v>
      </c>
      <c r="R925" s="1">
        <v>0</v>
      </c>
      <c r="S925" s="20">
        <v>43617</v>
      </c>
      <c r="T925" s="1">
        <v>984</v>
      </c>
      <c r="U925" s="9">
        <v>922</v>
      </c>
      <c r="V925" s="9" t="s">
        <v>21</v>
      </c>
    </row>
    <row r="926" spans="1:22" x14ac:dyDescent="0.25">
      <c r="A926" s="10" t="s">
        <v>37</v>
      </c>
      <c r="B926" t="b">
        <v>0</v>
      </c>
      <c r="C926" t="b">
        <v>0</v>
      </c>
      <c r="D926" s="1">
        <v>0</v>
      </c>
      <c r="E926" s="1">
        <v>0</v>
      </c>
      <c r="F926" s="1">
        <v>0</v>
      </c>
      <c r="G926" s="1">
        <v>705</v>
      </c>
      <c r="H926" s="1">
        <v>0</v>
      </c>
      <c r="I926" s="1">
        <v>0</v>
      </c>
      <c r="J926" s="1">
        <f t="shared" si="52"/>
        <v>705</v>
      </c>
      <c r="K926" s="1">
        <v>0</v>
      </c>
      <c r="L926" s="1">
        <v>0</v>
      </c>
      <c r="M926" s="1">
        <v>0</v>
      </c>
      <c r="N926" s="1">
        <f t="shared" si="50"/>
        <v>0</v>
      </c>
      <c r="O926" s="14">
        <v>45</v>
      </c>
      <c r="P926" s="17">
        <f t="shared" si="51"/>
        <v>705</v>
      </c>
      <c r="Q926" s="1">
        <v>0</v>
      </c>
      <c r="R926" s="1">
        <v>0</v>
      </c>
      <c r="S926" s="20">
        <v>43647</v>
      </c>
      <c r="T926" s="1">
        <v>750</v>
      </c>
      <c r="U926" s="9">
        <v>705</v>
      </c>
      <c r="V926" s="9" t="s">
        <v>21</v>
      </c>
    </row>
    <row r="927" spans="1:22" x14ac:dyDescent="0.25">
      <c r="A927" s="10" t="s">
        <v>37</v>
      </c>
      <c r="B927" t="b">
        <v>0</v>
      </c>
      <c r="C927" t="b">
        <v>0</v>
      </c>
      <c r="D927" s="1">
        <v>0</v>
      </c>
      <c r="E927" s="1">
        <v>0</v>
      </c>
      <c r="F927" s="1">
        <v>0</v>
      </c>
      <c r="G927" s="1">
        <v>734</v>
      </c>
      <c r="H927" s="1">
        <v>0</v>
      </c>
      <c r="I927" s="1">
        <v>0</v>
      </c>
      <c r="J927" s="1">
        <f t="shared" si="52"/>
        <v>734</v>
      </c>
      <c r="K927" s="1">
        <v>0</v>
      </c>
      <c r="L927" s="1">
        <v>0</v>
      </c>
      <c r="M927" s="1">
        <v>0</v>
      </c>
      <c r="N927" s="1">
        <f t="shared" si="50"/>
        <v>0</v>
      </c>
      <c r="O927" s="14">
        <v>39</v>
      </c>
      <c r="P927" s="17">
        <f t="shared" si="51"/>
        <v>734</v>
      </c>
      <c r="Q927" s="1">
        <v>0</v>
      </c>
      <c r="R927" s="1">
        <v>0</v>
      </c>
      <c r="S927" s="20">
        <v>43678</v>
      </c>
      <c r="T927" s="1">
        <v>773</v>
      </c>
      <c r="U927" s="9">
        <v>734</v>
      </c>
      <c r="V927" s="9" t="s">
        <v>21</v>
      </c>
    </row>
    <row r="928" spans="1:22" x14ac:dyDescent="0.25">
      <c r="A928" s="10" t="s">
        <v>37</v>
      </c>
      <c r="B928" t="b">
        <v>0</v>
      </c>
      <c r="C928" t="b">
        <v>0</v>
      </c>
      <c r="D928" s="1">
        <v>0</v>
      </c>
      <c r="E928" s="1">
        <v>0</v>
      </c>
      <c r="F928" s="1">
        <v>0</v>
      </c>
      <c r="G928" s="1">
        <v>809</v>
      </c>
      <c r="H928" s="1">
        <v>0</v>
      </c>
      <c r="I928" s="1">
        <v>0</v>
      </c>
      <c r="J928" s="1">
        <f t="shared" si="52"/>
        <v>809</v>
      </c>
      <c r="K928" s="1">
        <v>0</v>
      </c>
      <c r="L928" s="1">
        <v>0</v>
      </c>
      <c r="M928" s="1">
        <v>0</v>
      </c>
      <c r="N928" s="1">
        <f t="shared" si="50"/>
        <v>0</v>
      </c>
      <c r="O928" s="14">
        <v>50</v>
      </c>
      <c r="P928" s="17">
        <f t="shared" si="51"/>
        <v>809</v>
      </c>
      <c r="Q928" s="1">
        <v>0</v>
      </c>
      <c r="R928" s="1">
        <v>0</v>
      </c>
      <c r="S928" s="20">
        <v>43709</v>
      </c>
      <c r="T928" s="1">
        <v>859</v>
      </c>
      <c r="U928" s="9">
        <v>809</v>
      </c>
      <c r="V928" s="9" t="s">
        <v>21</v>
      </c>
    </row>
    <row r="929" spans="1:22" x14ac:dyDescent="0.25">
      <c r="A929" s="10" t="s">
        <v>37</v>
      </c>
      <c r="B929" t="b">
        <v>0</v>
      </c>
      <c r="C929" t="b">
        <v>0</v>
      </c>
      <c r="D929" s="1">
        <v>0</v>
      </c>
      <c r="E929" s="1">
        <v>0</v>
      </c>
      <c r="F929" s="1">
        <v>0</v>
      </c>
      <c r="G929" s="1">
        <v>731</v>
      </c>
      <c r="H929" s="1">
        <v>0</v>
      </c>
      <c r="I929" s="1">
        <v>0</v>
      </c>
      <c r="J929" s="1">
        <f t="shared" si="52"/>
        <v>731</v>
      </c>
      <c r="K929" s="1">
        <v>0</v>
      </c>
      <c r="L929" s="1">
        <v>0</v>
      </c>
      <c r="M929" s="1">
        <v>0</v>
      </c>
      <c r="N929" s="1">
        <f t="shared" si="50"/>
        <v>0</v>
      </c>
      <c r="O929" s="14">
        <v>54</v>
      </c>
      <c r="P929" s="17">
        <f t="shared" si="51"/>
        <v>731</v>
      </c>
      <c r="Q929" s="1">
        <v>0</v>
      </c>
      <c r="R929" s="1">
        <v>0</v>
      </c>
      <c r="S929" s="20">
        <v>43739</v>
      </c>
      <c r="T929" s="1">
        <v>785</v>
      </c>
      <c r="U929" s="9">
        <v>731</v>
      </c>
      <c r="V929" s="9" t="s">
        <v>21</v>
      </c>
    </row>
    <row r="930" spans="1:22" x14ac:dyDescent="0.25">
      <c r="A930" s="10" t="s">
        <v>37</v>
      </c>
      <c r="B930" t="b">
        <v>0</v>
      </c>
      <c r="C930" t="b">
        <v>0</v>
      </c>
      <c r="D930" s="1">
        <v>0</v>
      </c>
      <c r="E930" s="1">
        <v>0</v>
      </c>
      <c r="F930" s="1">
        <v>0</v>
      </c>
      <c r="G930" s="1">
        <v>505</v>
      </c>
      <c r="H930" s="1">
        <v>0</v>
      </c>
      <c r="I930" s="1">
        <v>0</v>
      </c>
      <c r="J930" s="1">
        <f t="shared" si="52"/>
        <v>505</v>
      </c>
      <c r="K930" s="1">
        <v>0</v>
      </c>
      <c r="L930" s="1">
        <v>0</v>
      </c>
      <c r="M930" s="1">
        <v>0</v>
      </c>
      <c r="N930" s="1">
        <f t="shared" ref="N930:N945" si="53">K930+L930+M930</f>
        <v>0</v>
      </c>
      <c r="O930" s="14">
        <v>0</v>
      </c>
      <c r="P930" s="17">
        <f t="shared" si="51"/>
        <v>505</v>
      </c>
      <c r="Q930" s="1">
        <v>0</v>
      </c>
      <c r="R930" s="1">
        <v>0</v>
      </c>
      <c r="S930" s="20">
        <v>43770</v>
      </c>
      <c r="T930" s="1">
        <v>505</v>
      </c>
      <c r="U930" s="9">
        <v>505</v>
      </c>
      <c r="V930" s="9" t="s">
        <v>21</v>
      </c>
    </row>
    <row r="931" spans="1:22" x14ac:dyDescent="0.25">
      <c r="A931" s="10" t="s">
        <v>37</v>
      </c>
      <c r="B931" t="b">
        <v>0</v>
      </c>
      <c r="C931" t="b">
        <v>0</v>
      </c>
      <c r="D931" s="1">
        <v>0</v>
      </c>
      <c r="E931" s="1">
        <v>0</v>
      </c>
      <c r="F931" s="1">
        <v>0</v>
      </c>
      <c r="G931" s="1">
        <v>487</v>
      </c>
      <c r="H931" s="1">
        <v>0</v>
      </c>
      <c r="I931" s="1">
        <v>0</v>
      </c>
      <c r="J931" s="1">
        <f t="shared" si="52"/>
        <v>487</v>
      </c>
      <c r="K931" s="1">
        <v>0</v>
      </c>
      <c r="L931" s="1">
        <v>0</v>
      </c>
      <c r="M931" s="1">
        <v>0</v>
      </c>
      <c r="N931" s="1">
        <f t="shared" si="53"/>
        <v>0</v>
      </c>
      <c r="O931" s="14">
        <v>45</v>
      </c>
      <c r="P931" s="17">
        <f t="shared" si="51"/>
        <v>487</v>
      </c>
      <c r="Q931" s="1">
        <v>0</v>
      </c>
      <c r="R931" s="1">
        <v>0</v>
      </c>
      <c r="S931" s="20">
        <v>43800</v>
      </c>
      <c r="T931" s="1">
        <v>532</v>
      </c>
      <c r="U931" s="9">
        <v>487</v>
      </c>
      <c r="V931" s="9" t="s">
        <v>21</v>
      </c>
    </row>
    <row r="932" spans="1:22" x14ac:dyDescent="0.25">
      <c r="A932" s="10" t="s">
        <v>37</v>
      </c>
      <c r="B932" t="b">
        <v>0</v>
      </c>
      <c r="C932" t="b">
        <v>0</v>
      </c>
      <c r="D932" s="1">
        <v>0</v>
      </c>
      <c r="E932" s="1">
        <v>0</v>
      </c>
      <c r="F932" s="1">
        <v>0</v>
      </c>
      <c r="G932" s="1">
        <v>510</v>
      </c>
      <c r="H932" s="1">
        <v>0</v>
      </c>
      <c r="I932" s="1">
        <v>0</v>
      </c>
      <c r="J932" s="1">
        <f t="shared" si="52"/>
        <v>510</v>
      </c>
      <c r="K932" s="1">
        <v>0</v>
      </c>
      <c r="L932" s="1">
        <v>0</v>
      </c>
      <c r="M932" s="1">
        <v>0</v>
      </c>
      <c r="N932" s="1">
        <f t="shared" si="53"/>
        <v>0</v>
      </c>
      <c r="O932" s="14">
        <v>34</v>
      </c>
      <c r="P932" s="17">
        <f t="shared" si="51"/>
        <v>510</v>
      </c>
      <c r="Q932" s="1">
        <v>0</v>
      </c>
      <c r="R932" s="1">
        <v>0</v>
      </c>
      <c r="S932" s="20">
        <v>43831</v>
      </c>
      <c r="T932" s="1">
        <v>544</v>
      </c>
      <c r="U932" s="9">
        <v>510</v>
      </c>
      <c r="V932" s="9" t="s">
        <v>21</v>
      </c>
    </row>
    <row r="933" spans="1:22" x14ac:dyDescent="0.25">
      <c r="A933" s="10" t="s">
        <v>37</v>
      </c>
      <c r="B933" t="b">
        <v>0</v>
      </c>
      <c r="C933" t="b">
        <v>0</v>
      </c>
      <c r="D933" s="1">
        <v>0</v>
      </c>
      <c r="E933" s="1">
        <v>0</v>
      </c>
      <c r="F933" s="1">
        <v>0</v>
      </c>
      <c r="G933" s="1">
        <v>571</v>
      </c>
      <c r="H933" s="1">
        <v>0</v>
      </c>
      <c r="I933" s="1">
        <v>0</v>
      </c>
      <c r="J933" s="1">
        <f t="shared" si="52"/>
        <v>571</v>
      </c>
      <c r="K933" s="1">
        <v>0</v>
      </c>
      <c r="L933" s="1">
        <v>0</v>
      </c>
      <c r="M933" s="1">
        <v>0</v>
      </c>
      <c r="N933" s="1">
        <f t="shared" si="53"/>
        <v>0</v>
      </c>
      <c r="O933" s="14">
        <v>35</v>
      </c>
      <c r="P933" s="17">
        <f t="shared" si="51"/>
        <v>571</v>
      </c>
      <c r="Q933" s="1">
        <v>0</v>
      </c>
      <c r="R933" s="1">
        <v>0</v>
      </c>
      <c r="S933" s="20">
        <v>43862</v>
      </c>
      <c r="T933" s="1">
        <v>606</v>
      </c>
      <c r="U933" s="9">
        <v>571</v>
      </c>
      <c r="V933" s="9" t="s">
        <v>21</v>
      </c>
    </row>
    <row r="934" spans="1:22" x14ac:dyDescent="0.25">
      <c r="A934" s="10" t="s">
        <v>37</v>
      </c>
      <c r="B934" t="b">
        <v>0</v>
      </c>
      <c r="C934" t="b">
        <v>0</v>
      </c>
      <c r="D934" s="1">
        <v>0</v>
      </c>
      <c r="E934" s="1">
        <v>0</v>
      </c>
      <c r="F934" s="1">
        <v>0</v>
      </c>
      <c r="G934" s="1">
        <v>484</v>
      </c>
      <c r="H934" s="1">
        <v>0</v>
      </c>
      <c r="I934" s="1">
        <v>0</v>
      </c>
      <c r="J934" s="1">
        <f t="shared" si="52"/>
        <v>484</v>
      </c>
      <c r="K934" s="1">
        <v>0</v>
      </c>
      <c r="L934" s="1">
        <v>0</v>
      </c>
      <c r="M934" s="1">
        <v>0</v>
      </c>
      <c r="N934" s="1">
        <f t="shared" si="53"/>
        <v>0</v>
      </c>
      <c r="O934" s="14">
        <v>36</v>
      </c>
      <c r="P934" s="17">
        <f t="shared" si="51"/>
        <v>484</v>
      </c>
      <c r="Q934" s="1">
        <v>0</v>
      </c>
      <c r="R934" s="1">
        <v>0</v>
      </c>
      <c r="S934" s="20">
        <v>43891</v>
      </c>
      <c r="T934" s="1">
        <v>520</v>
      </c>
      <c r="U934" s="9">
        <v>484</v>
      </c>
      <c r="V934" s="9" t="s">
        <v>21</v>
      </c>
    </row>
    <row r="935" spans="1:22" x14ac:dyDescent="0.25">
      <c r="A935" s="10" t="s">
        <v>37</v>
      </c>
      <c r="B935" t="b">
        <v>0</v>
      </c>
      <c r="C935" t="b">
        <v>0</v>
      </c>
      <c r="D935" s="1">
        <v>0</v>
      </c>
      <c r="E935" s="1">
        <v>0</v>
      </c>
      <c r="F935" s="1">
        <v>0</v>
      </c>
      <c r="G935" s="1">
        <v>38</v>
      </c>
      <c r="H935" s="1">
        <v>0</v>
      </c>
      <c r="I935" s="1">
        <v>0</v>
      </c>
      <c r="J935" s="1">
        <f t="shared" si="52"/>
        <v>38</v>
      </c>
      <c r="K935" s="1">
        <v>0</v>
      </c>
      <c r="L935" s="1">
        <v>0</v>
      </c>
      <c r="M935" s="1">
        <v>0</v>
      </c>
      <c r="N935" s="1">
        <f t="shared" si="53"/>
        <v>0</v>
      </c>
      <c r="O935" s="14">
        <v>2</v>
      </c>
      <c r="P935" s="17">
        <f t="shared" si="51"/>
        <v>38</v>
      </c>
      <c r="Q935" s="1">
        <v>0</v>
      </c>
      <c r="R935" s="1">
        <v>0</v>
      </c>
      <c r="S935" s="20">
        <v>43922</v>
      </c>
      <c r="T935" s="1">
        <v>40</v>
      </c>
      <c r="U935" s="9">
        <v>38</v>
      </c>
      <c r="V935" s="9" t="s">
        <v>21</v>
      </c>
    </row>
    <row r="936" spans="1:22" x14ac:dyDescent="0.25">
      <c r="A936" s="10" t="s">
        <v>37</v>
      </c>
      <c r="B936" t="b">
        <v>1</v>
      </c>
      <c r="C936" t="b">
        <v>0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f t="shared" si="52"/>
        <v>0</v>
      </c>
      <c r="K936" s="1">
        <v>0</v>
      </c>
      <c r="L936" s="1">
        <v>0</v>
      </c>
      <c r="M936" s="1">
        <v>0</v>
      </c>
      <c r="N936" s="1">
        <f t="shared" si="53"/>
        <v>0</v>
      </c>
      <c r="O936" s="14">
        <v>0</v>
      </c>
      <c r="P936" s="17">
        <f t="shared" si="51"/>
        <v>0</v>
      </c>
      <c r="Q936" s="1">
        <v>0</v>
      </c>
      <c r="R936" s="1">
        <v>0</v>
      </c>
      <c r="S936" s="20">
        <v>43952</v>
      </c>
      <c r="T936" s="1">
        <v>0</v>
      </c>
      <c r="U936" s="9">
        <v>0</v>
      </c>
      <c r="V936" s="9" t="s">
        <v>21</v>
      </c>
    </row>
    <row r="937" spans="1:22" x14ac:dyDescent="0.25">
      <c r="A937" s="10" t="s">
        <v>37</v>
      </c>
      <c r="B937" t="b">
        <v>0</v>
      </c>
      <c r="C937" t="b">
        <v>0</v>
      </c>
      <c r="D937" s="1">
        <v>0</v>
      </c>
      <c r="E937" s="1">
        <v>0</v>
      </c>
      <c r="F937" s="1">
        <v>0</v>
      </c>
      <c r="G937" s="1">
        <v>0</v>
      </c>
      <c r="H937" s="1">
        <v>180</v>
      </c>
      <c r="I937" s="1">
        <v>0</v>
      </c>
      <c r="J937" s="1">
        <f t="shared" si="52"/>
        <v>180</v>
      </c>
      <c r="K937" s="1">
        <v>0</v>
      </c>
      <c r="L937" s="1">
        <v>0</v>
      </c>
      <c r="M937" s="1">
        <v>0</v>
      </c>
      <c r="N937" s="1">
        <f t="shared" si="53"/>
        <v>0</v>
      </c>
      <c r="O937" s="14">
        <v>0</v>
      </c>
      <c r="P937" s="17">
        <f t="shared" si="51"/>
        <v>180</v>
      </c>
      <c r="Q937" s="1">
        <v>0</v>
      </c>
      <c r="R937" s="1">
        <v>0</v>
      </c>
      <c r="S937" s="20">
        <v>43983</v>
      </c>
      <c r="T937" s="1">
        <v>180</v>
      </c>
      <c r="U937" s="9">
        <v>180</v>
      </c>
      <c r="V937" s="9" t="s">
        <v>21</v>
      </c>
    </row>
    <row r="938" spans="1:22" x14ac:dyDescent="0.25">
      <c r="A938" s="10" t="s">
        <v>37</v>
      </c>
      <c r="B938" t="b">
        <v>0</v>
      </c>
      <c r="C938" t="b">
        <v>0</v>
      </c>
      <c r="D938" s="1">
        <v>0</v>
      </c>
      <c r="E938" s="1">
        <v>0</v>
      </c>
      <c r="F938" s="1">
        <v>0</v>
      </c>
      <c r="G938" s="1">
        <v>0</v>
      </c>
      <c r="H938" s="1">
        <v>171</v>
      </c>
      <c r="I938" s="1">
        <v>0</v>
      </c>
      <c r="J938" s="1">
        <f t="shared" si="52"/>
        <v>171</v>
      </c>
      <c r="K938" s="1">
        <v>0</v>
      </c>
      <c r="L938" s="1">
        <v>0</v>
      </c>
      <c r="M938" s="1">
        <v>0</v>
      </c>
      <c r="N938" s="1">
        <f t="shared" si="53"/>
        <v>0</v>
      </c>
      <c r="O938" s="14">
        <v>0</v>
      </c>
      <c r="P938" s="17">
        <f t="shared" si="51"/>
        <v>171</v>
      </c>
      <c r="Q938" s="1">
        <v>0</v>
      </c>
      <c r="R938" s="1">
        <v>0</v>
      </c>
      <c r="S938" s="20">
        <v>44013</v>
      </c>
      <c r="T938" s="1">
        <v>171</v>
      </c>
      <c r="U938" s="9">
        <v>171</v>
      </c>
      <c r="V938" s="9" t="s">
        <v>21</v>
      </c>
    </row>
    <row r="939" spans="1:22" x14ac:dyDescent="0.25">
      <c r="A939" s="10" t="s">
        <v>37</v>
      </c>
      <c r="B939" t="b">
        <v>0</v>
      </c>
      <c r="C939" t="b">
        <v>0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f t="shared" si="52"/>
        <v>0</v>
      </c>
      <c r="K939" s="1">
        <v>0</v>
      </c>
      <c r="L939" s="1">
        <v>0</v>
      </c>
      <c r="M939" s="1">
        <v>0</v>
      </c>
      <c r="N939" s="1">
        <f t="shared" si="53"/>
        <v>0</v>
      </c>
      <c r="O939" s="14">
        <v>0</v>
      </c>
      <c r="P939" s="17">
        <f t="shared" si="51"/>
        <v>0</v>
      </c>
      <c r="Q939" s="1">
        <v>0</v>
      </c>
      <c r="R939" s="1">
        <v>0</v>
      </c>
      <c r="S939" s="20">
        <v>44013</v>
      </c>
      <c r="T939" s="1">
        <v>0</v>
      </c>
      <c r="U939" s="9">
        <v>0</v>
      </c>
      <c r="V939" s="9" t="s">
        <v>21</v>
      </c>
    </row>
    <row r="940" spans="1:22" x14ac:dyDescent="0.25">
      <c r="A940" s="10" t="s">
        <v>37</v>
      </c>
      <c r="B940" t="b">
        <v>0</v>
      </c>
      <c r="C940" t="b">
        <v>0</v>
      </c>
      <c r="D940" s="1">
        <v>0</v>
      </c>
      <c r="E940" s="1">
        <v>0</v>
      </c>
      <c r="F940" s="1">
        <v>0</v>
      </c>
      <c r="G940" s="1">
        <v>0</v>
      </c>
      <c r="H940" s="1">
        <v>114</v>
      </c>
      <c r="I940" s="1">
        <v>0</v>
      </c>
      <c r="J940" s="1">
        <f t="shared" si="52"/>
        <v>114</v>
      </c>
      <c r="K940" s="1">
        <v>0</v>
      </c>
      <c r="L940" s="1">
        <v>0</v>
      </c>
      <c r="M940" s="1">
        <v>0</v>
      </c>
      <c r="N940" s="1">
        <f t="shared" si="53"/>
        <v>0</v>
      </c>
      <c r="O940" s="14">
        <v>0</v>
      </c>
      <c r="P940" s="17">
        <f t="shared" si="51"/>
        <v>114</v>
      </c>
      <c r="Q940" s="1">
        <v>0</v>
      </c>
      <c r="R940" s="1">
        <v>0</v>
      </c>
      <c r="S940" s="20">
        <v>44044</v>
      </c>
      <c r="T940" s="1">
        <v>114</v>
      </c>
      <c r="U940" s="9">
        <v>114</v>
      </c>
      <c r="V940" s="9" t="s">
        <v>21</v>
      </c>
    </row>
    <row r="941" spans="1:22" x14ac:dyDescent="0.25">
      <c r="A941" s="10" t="s">
        <v>37</v>
      </c>
      <c r="B941" t="b">
        <v>0</v>
      </c>
      <c r="C941" t="b">
        <v>0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f t="shared" si="52"/>
        <v>0</v>
      </c>
      <c r="K941" s="1">
        <v>0</v>
      </c>
      <c r="L941" s="1">
        <v>0</v>
      </c>
      <c r="M941" s="1">
        <v>0</v>
      </c>
      <c r="N941" s="1">
        <f t="shared" si="53"/>
        <v>0</v>
      </c>
      <c r="O941" s="14">
        <v>0</v>
      </c>
      <c r="P941" s="17">
        <f t="shared" si="51"/>
        <v>0</v>
      </c>
      <c r="Q941" s="1">
        <v>0</v>
      </c>
      <c r="R941" s="1">
        <v>0</v>
      </c>
      <c r="S941" s="20">
        <v>44044</v>
      </c>
      <c r="T941" s="1">
        <v>0</v>
      </c>
      <c r="U941" s="9">
        <v>0</v>
      </c>
      <c r="V941" s="9" t="s">
        <v>21</v>
      </c>
    </row>
    <row r="942" spans="1:22" x14ac:dyDescent="0.25">
      <c r="A942" s="10" t="s">
        <v>37</v>
      </c>
      <c r="B942" t="b">
        <v>0</v>
      </c>
      <c r="C942" t="b">
        <v>0</v>
      </c>
      <c r="D942" s="1">
        <v>0</v>
      </c>
      <c r="E942" s="1">
        <v>0</v>
      </c>
      <c r="F942" s="1">
        <v>0</v>
      </c>
      <c r="G942" s="1">
        <v>0</v>
      </c>
      <c r="H942" s="1">
        <v>136</v>
      </c>
      <c r="I942" s="1">
        <v>0</v>
      </c>
      <c r="J942" s="1">
        <f t="shared" si="52"/>
        <v>136</v>
      </c>
      <c r="K942" s="1">
        <v>0</v>
      </c>
      <c r="L942" s="1">
        <v>0</v>
      </c>
      <c r="M942" s="1">
        <v>0</v>
      </c>
      <c r="N942" s="1">
        <f t="shared" si="53"/>
        <v>0</v>
      </c>
      <c r="O942" s="14">
        <v>0</v>
      </c>
      <c r="P942" s="17">
        <f t="shared" si="51"/>
        <v>136</v>
      </c>
      <c r="Q942" s="1">
        <v>0</v>
      </c>
      <c r="R942" s="1">
        <v>0</v>
      </c>
      <c r="S942" s="20">
        <v>44075</v>
      </c>
      <c r="T942" s="1">
        <v>136</v>
      </c>
      <c r="U942" s="9">
        <v>136</v>
      </c>
      <c r="V942" s="9" t="s">
        <v>21</v>
      </c>
    </row>
    <row r="943" spans="1:22" x14ac:dyDescent="0.25">
      <c r="A943" s="10" t="s">
        <v>37</v>
      </c>
      <c r="B943" t="b">
        <v>0</v>
      </c>
      <c r="C943" t="b">
        <v>0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f t="shared" si="52"/>
        <v>0</v>
      </c>
      <c r="K943" s="1">
        <v>0</v>
      </c>
      <c r="L943" s="1">
        <v>0</v>
      </c>
      <c r="M943" s="1">
        <v>0</v>
      </c>
      <c r="N943" s="1">
        <f t="shared" si="53"/>
        <v>0</v>
      </c>
      <c r="O943" s="14">
        <v>0</v>
      </c>
      <c r="P943" s="17">
        <f t="shared" si="51"/>
        <v>0</v>
      </c>
      <c r="Q943" s="1">
        <v>0</v>
      </c>
      <c r="R943" s="1">
        <v>0</v>
      </c>
      <c r="S943" s="20">
        <v>44105</v>
      </c>
      <c r="T943" s="1">
        <v>0</v>
      </c>
      <c r="U943" s="9">
        <v>0</v>
      </c>
      <c r="V943" s="9" t="s">
        <v>21</v>
      </c>
    </row>
    <row r="944" spans="1:22" x14ac:dyDescent="0.25">
      <c r="A944" s="10" t="s">
        <v>37</v>
      </c>
      <c r="B944" t="b">
        <v>0</v>
      </c>
      <c r="C944" t="b">
        <v>0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f t="shared" si="52"/>
        <v>0</v>
      </c>
      <c r="K944" s="1">
        <v>0</v>
      </c>
      <c r="L944" s="1">
        <v>0</v>
      </c>
      <c r="M944" s="1">
        <v>0</v>
      </c>
      <c r="N944" s="1">
        <f t="shared" si="53"/>
        <v>0</v>
      </c>
      <c r="O944" s="14">
        <v>0</v>
      </c>
      <c r="P944" s="17">
        <f t="shared" si="51"/>
        <v>0</v>
      </c>
      <c r="Q944" s="1">
        <v>0</v>
      </c>
      <c r="R944" s="1">
        <v>0</v>
      </c>
      <c r="S944" s="20">
        <v>44136</v>
      </c>
      <c r="T944" s="1">
        <v>0</v>
      </c>
      <c r="U944" s="9">
        <v>0</v>
      </c>
      <c r="V944" s="9" t="s">
        <v>21</v>
      </c>
    </row>
    <row r="945" spans="1:22" x14ac:dyDescent="0.25">
      <c r="A945" s="10" t="s">
        <v>37</v>
      </c>
      <c r="B945" t="b">
        <v>0</v>
      </c>
      <c r="C945" t="b">
        <v>0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f t="shared" si="52"/>
        <v>0</v>
      </c>
      <c r="K945" s="1">
        <v>0</v>
      </c>
      <c r="L945" s="1">
        <v>0</v>
      </c>
      <c r="M945" s="1">
        <v>0</v>
      </c>
      <c r="N945" s="1">
        <f t="shared" si="53"/>
        <v>0</v>
      </c>
      <c r="O945" s="14">
        <v>0</v>
      </c>
      <c r="P945" s="17">
        <f t="shared" si="51"/>
        <v>0</v>
      </c>
      <c r="Q945" s="1">
        <v>0</v>
      </c>
      <c r="R945" s="1">
        <v>0</v>
      </c>
      <c r="S945" s="20">
        <v>44166</v>
      </c>
      <c r="T945" s="1">
        <v>0</v>
      </c>
      <c r="U945" s="9">
        <v>0</v>
      </c>
      <c r="V945" s="9" t="s">
        <v>21</v>
      </c>
    </row>
    <row r="946" spans="1:22" x14ac:dyDescent="0.25">
      <c r="A946" s="10" t="s">
        <v>20</v>
      </c>
      <c r="B946" t="b">
        <v>0</v>
      </c>
      <c r="C946" t="b">
        <v>0</v>
      </c>
      <c r="D946" s="1">
        <v>2695</v>
      </c>
      <c r="E946" s="1">
        <v>0</v>
      </c>
      <c r="F946" s="1">
        <v>0</v>
      </c>
      <c r="G946" s="1">
        <v>1063</v>
      </c>
      <c r="H946" s="1">
        <v>0</v>
      </c>
      <c r="I946" s="1">
        <v>0</v>
      </c>
      <c r="J946" s="1">
        <f>D946+E946+F946+G946+H946+I946</f>
        <v>3758</v>
      </c>
      <c r="K946" s="1">
        <v>3991</v>
      </c>
      <c r="L946" s="1">
        <v>0</v>
      </c>
      <c r="M946" s="1">
        <v>552</v>
      </c>
      <c r="N946" s="1">
        <f t="shared" ref="N946:N972" si="54">K946+L946+M946</f>
        <v>4543</v>
      </c>
      <c r="O946" s="14">
        <v>0</v>
      </c>
      <c r="P946" s="17">
        <f>J946+N946</f>
        <v>8301</v>
      </c>
      <c r="Q946" s="1">
        <v>0</v>
      </c>
      <c r="R946" s="1">
        <v>0</v>
      </c>
      <c r="S946" s="20">
        <v>37073</v>
      </c>
      <c r="T946" s="1">
        <v>8301</v>
      </c>
      <c r="U946" s="9">
        <v>3758</v>
      </c>
      <c r="V946" s="9" t="s">
        <v>46</v>
      </c>
    </row>
    <row r="947" spans="1:22" x14ac:dyDescent="0.25">
      <c r="A947" s="10" t="s">
        <v>20</v>
      </c>
      <c r="B947" t="b">
        <v>0</v>
      </c>
      <c r="C947" t="b">
        <v>0</v>
      </c>
      <c r="D947" s="1">
        <v>2695</v>
      </c>
      <c r="E947" s="1">
        <v>0</v>
      </c>
      <c r="F947" s="1">
        <v>0</v>
      </c>
      <c r="G947" s="1">
        <v>1083</v>
      </c>
      <c r="H947" s="1">
        <v>0</v>
      </c>
      <c r="I947" s="1">
        <v>0</v>
      </c>
      <c r="J947" s="1">
        <f t="shared" ref="J947:J1010" si="55">D947+E947+F947+G947+H947+I947</f>
        <v>3778</v>
      </c>
      <c r="K947" s="1">
        <v>4444</v>
      </c>
      <c r="L947" s="1">
        <v>0</v>
      </c>
      <c r="M947" s="1">
        <v>360</v>
      </c>
      <c r="N947" s="1">
        <f t="shared" si="54"/>
        <v>4804</v>
      </c>
      <c r="O947" s="14">
        <v>0</v>
      </c>
      <c r="P947" s="17">
        <f t="shared" ref="P947:P1010" si="56">J947+N947</f>
        <v>8582</v>
      </c>
      <c r="Q947" s="1">
        <v>0</v>
      </c>
      <c r="R947" s="1">
        <v>0</v>
      </c>
      <c r="S947" s="20">
        <v>37104</v>
      </c>
      <c r="T947" s="1">
        <v>8582</v>
      </c>
      <c r="U947" s="9">
        <v>3778</v>
      </c>
      <c r="V947" s="9" t="s">
        <v>46</v>
      </c>
    </row>
    <row r="948" spans="1:22" x14ac:dyDescent="0.25">
      <c r="A948" s="10" t="s">
        <v>20</v>
      </c>
      <c r="B948" t="b">
        <v>0</v>
      </c>
      <c r="C948" t="b">
        <v>0</v>
      </c>
      <c r="D948" s="1">
        <v>1898</v>
      </c>
      <c r="E948" s="1">
        <v>0</v>
      </c>
      <c r="F948" s="1">
        <v>0</v>
      </c>
      <c r="G948" s="1">
        <v>432</v>
      </c>
      <c r="H948" s="1">
        <v>0</v>
      </c>
      <c r="I948" s="1">
        <v>0</v>
      </c>
      <c r="J948" s="1">
        <f t="shared" si="55"/>
        <v>2330</v>
      </c>
      <c r="K948" s="1">
        <v>2824</v>
      </c>
      <c r="L948" s="1">
        <v>0</v>
      </c>
      <c r="M948" s="1">
        <v>279</v>
      </c>
      <c r="N948" s="1">
        <f t="shared" si="54"/>
        <v>3103</v>
      </c>
      <c r="O948" s="14">
        <v>0</v>
      </c>
      <c r="P948" s="17">
        <f t="shared" si="56"/>
        <v>5433</v>
      </c>
      <c r="Q948" s="1">
        <v>0</v>
      </c>
      <c r="R948" s="1">
        <v>0</v>
      </c>
      <c r="S948" s="20">
        <v>37135</v>
      </c>
      <c r="T948" s="1">
        <v>5433</v>
      </c>
      <c r="U948" s="9">
        <v>2330</v>
      </c>
      <c r="V948" s="9" t="s">
        <v>46</v>
      </c>
    </row>
    <row r="949" spans="1:22" x14ac:dyDescent="0.25">
      <c r="A949" s="10" t="s">
        <v>20</v>
      </c>
      <c r="B949" t="b">
        <v>0</v>
      </c>
      <c r="C949" t="b">
        <v>0</v>
      </c>
      <c r="D949" s="1">
        <v>678</v>
      </c>
      <c r="E949" s="1">
        <v>0</v>
      </c>
      <c r="F949" s="1">
        <v>0</v>
      </c>
      <c r="G949" s="1">
        <v>316</v>
      </c>
      <c r="H949" s="1">
        <v>0</v>
      </c>
      <c r="I949" s="1">
        <v>0</v>
      </c>
      <c r="J949" s="1">
        <f t="shared" si="55"/>
        <v>994</v>
      </c>
      <c r="K949" s="1">
        <v>999</v>
      </c>
      <c r="L949" s="1">
        <v>0</v>
      </c>
      <c r="M949" s="1">
        <v>101</v>
      </c>
      <c r="N949" s="1">
        <f t="shared" si="54"/>
        <v>1100</v>
      </c>
      <c r="O949" s="14">
        <v>0</v>
      </c>
      <c r="P949" s="17">
        <f t="shared" si="56"/>
        <v>2094</v>
      </c>
      <c r="Q949" s="1">
        <v>0</v>
      </c>
      <c r="R949" s="1">
        <v>0</v>
      </c>
      <c r="S949" s="20">
        <v>37165</v>
      </c>
      <c r="T949" s="1">
        <v>2094</v>
      </c>
      <c r="U949" s="9">
        <v>994</v>
      </c>
      <c r="V949" s="9" t="s">
        <v>46</v>
      </c>
    </row>
    <row r="950" spans="1:22" x14ac:dyDescent="0.25">
      <c r="A950" s="10" t="s">
        <v>20</v>
      </c>
      <c r="B950" t="b">
        <v>0</v>
      </c>
      <c r="C950" t="b">
        <v>0</v>
      </c>
      <c r="D950" s="1">
        <v>263</v>
      </c>
      <c r="E950" s="1">
        <v>0</v>
      </c>
      <c r="F950" s="1">
        <v>0</v>
      </c>
      <c r="G950" s="1">
        <v>420</v>
      </c>
      <c r="H950" s="1">
        <v>0</v>
      </c>
      <c r="I950" s="1">
        <v>0</v>
      </c>
      <c r="J950" s="1">
        <f t="shared" si="55"/>
        <v>683</v>
      </c>
      <c r="K950" s="1">
        <v>590</v>
      </c>
      <c r="L950" s="1">
        <v>0</v>
      </c>
      <c r="M950" s="1">
        <v>10</v>
      </c>
      <c r="N950" s="1">
        <f t="shared" si="54"/>
        <v>600</v>
      </c>
      <c r="O950" s="14">
        <v>0</v>
      </c>
      <c r="P950" s="17">
        <f t="shared" si="56"/>
        <v>1283</v>
      </c>
      <c r="Q950" s="1">
        <v>0</v>
      </c>
      <c r="R950" s="1">
        <v>0</v>
      </c>
      <c r="S950" s="20">
        <v>37196</v>
      </c>
      <c r="T950" s="1">
        <v>1283</v>
      </c>
      <c r="U950" s="9">
        <v>683</v>
      </c>
      <c r="V950" s="9" t="s">
        <v>46</v>
      </c>
    </row>
    <row r="951" spans="1:22" x14ac:dyDescent="0.25">
      <c r="A951" s="10" t="s">
        <v>20</v>
      </c>
      <c r="B951" t="b">
        <v>0</v>
      </c>
      <c r="C951" t="b">
        <v>0</v>
      </c>
      <c r="D951" s="1">
        <v>98</v>
      </c>
      <c r="E951" s="1">
        <v>0</v>
      </c>
      <c r="F951" s="1">
        <v>0</v>
      </c>
      <c r="G951" s="1">
        <v>458</v>
      </c>
      <c r="H951" s="1">
        <v>0</v>
      </c>
      <c r="I951" s="1">
        <v>0</v>
      </c>
      <c r="J951" s="1">
        <f t="shared" si="55"/>
        <v>556</v>
      </c>
      <c r="K951" s="1">
        <v>239</v>
      </c>
      <c r="L951" s="1">
        <v>0</v>
      </c>
      <c r="M951" s="1">
        <v>0</v>
      </c>
      <c r="N951" s="1">
        <f t="shared" si="54"/>
        <v>239</v>
      </c>
      <c r="O951" s="14">
        <v>0</v>
      </c>
      <c r="P951" s="17">
        <f t="shared" si="56"/>
        <v>795</v>
      </c>
      <c r="Q951" s="1">
        <v>0</v>
      </c>
      <c r="R951" s="1">
        <v>0</v>
      </c>
      <c r="S951" s="20">
        <v>37226</v>
      </c>
      <c r="T951" s="1">
        <v>795</v>
      </c>
      <c r="U951" s="9">
        <v>556</v>
      </c>
      <c r="V951" s="9" t="s">
        <v>46</v>
      </c>
    </row>
    <row r="952" spans="1:22" x14ac:dyDescent="0.25">
      <c r="A952" s="10" t="s">
        <v>20</v>
      </c>
      <c r="B952" t="b">
        <v>0</v>
      </c>
      <c r="C952" t="b">
        <v>0</v>
      </c>
      <c r="D952" s="1">
        <v>183</v>
      </c>
      <c r="E952" s="1">
        <v>0</v>
      </c>
      <c r="F952" s="1">
        <v>0</v>
      </c>
      <c r="G952" s="1">
        <v>468</v>
      </c>
      <c r="H952" s="1">
        <v>0</v>
      </c>
      <c r="I952" s="1">
        <v>0</v>
      </c>
      <c r="J952" s="1">
        <f t="shared" si="55"/>
        <v>651</v>
      </c>
      <c r="K952" s="1">
        <v>392</v>
      </c>
      <c r="L952" s="1">
        <v>0</v>
      </c>
      <c r="M952" s="1">
        <v>0</v>
      </c>
      <c r="N952" s="1">
        <f t="shared" si="54"/>
        <v>392</v>
      </c>
      <c r="O952" s="14">
        <v>0</v>
      </c>
      <c r="P952" s="17">
        <f t="shared" si="56"/>
        <v>1043</v>
      </c>
      <c r="Q952" s="1">
        <v>0</v>
      </c>
      <c r="R952" s="1">
        <v>0</v>
      </c>
      <c r="S952" s="20">
        <v>37257</v>
      </c>
      <c r="T952" s="1">
        <v>1043</v>
      </c>
      <c r="U952" s="9">
        <v>651</v>
      </c>
      <c r="V952" s="9" t="s">
        <v>46</v>
      </c>
    </row>
    <row r="953" spans="1:22" x14ac:dyDescent="0.25">
      <c r="A953" s="10" t="s">
        <v>20</v>
      </c>
      <c r="B953" t="b">
        <v>0</v>
      </c>
      <c r="C953" t="b">
        <v>0</v>
      </c>
      <c r="D953" s="1">
        <v>298</v>
      </c>
      <c r="E953" s="1">
        <v>0</v>
      </c>
      <c r="F953" s="1">
        <v>0</v>
      </c>
      <c r="G953" s="1">
        <v>550</v>
      </c>
      <c r="H953" s="1">
        <v>0</v>
      </c>
      <c r="I953" s="1">
        <v>0</v>
      </c>
      <c r="J953" s="1">
        <f t="shared" si="55"/>
        <v>848</v>
      </c>
      <c r="K953" s="1">
        <v>383</v>
      </c>
      <c r="L953" s="1">
        <v>0</v>
      </c>
      <c r="M953" s="1">
        <v>0</v>
      </c>
      <c r="N953" s="1">
        <f t="shared" si="54"/>
        <v>383</v>
      </c>
      <c r="O953" s="14">
        <v>0</v>
      </c>
      <c r="P953" s="17">
        <f t="shared" si="56"/>
        <v>1231</v>
      </c>
      <c r="Q953" s="1">
        <v>0</v>
      </c>
      <c r="R953" s="1">
        <v>0</v>
      </c>
      <c r="S953" s="20">
        <v>37288</v>
      </c>
      <c r="T953" s="1">
        <v>1231</v>
      </c>
      <c r="U953" s="9">
        <v>848</v>
      </c>
      <c r="V953" s="9" t="s">
        <v>46</v>
      </c>
    </row>
    <row r="954" spans="1:22" x14ac:dyDescent="0.25">
      <c r="A954" s="10" t="s">
        <v>20</v>
      </c>
      <c r="B954" t="b">
        <v>0</v>
      </c>
      <c r="C954" t="b">
        <v>0</v>
      </c>
      <c r="D954" s="1">
        <v>835</v>
      </c>
      <c r="E954" s="1">
        <v>0</v>
      </c>
      <c r="F954" s="1">
        <v>0</v>
      </c>
      <c r="G954" s="1">
        <v>604</v>
      </c>
      <c r="H954" s="1">
        <v>0</v>
      </c>
      <c r="I954" s="1">
        <v>0</v>
      </c>
      <c r="J954" s="1">
        <f t="shared" si="55"/>
        <v>1439</v>
      </c>
      <c r="K954" s="1">
        <v>738</v>
      </c>
      <c r="L954" s="1">
        <v>0</v>
      </c>
      <c r="M954" s="1">
        <v>0</v>
      </c>
      <c r="N954" s="1">
        <f t="shared" si="54"/>
        <v>738</v>
      </c>
      <c r="O954" s="14">
        <v>0</v>
      </c>
      <c r="P954" s="17">
        <f t="shared" si="56"/>
        <v>2177</v>
      </c>
      <c r="Q954" s="1">
        <v>0</v>
      </c>
      <c r="R954" s="1">
        <v>0</v>
      </c>
      <c r="S954" s="20">
        <v>37316</v>
      </c>
      <c r="T954" s="1">
        <v>2177</v>
      </c>
      <c r="U954" s="9">
        <v>1439</v>
      </c>
      <c r="V954" s="9" t="s">
        <v>46</v>
      </c>
    </row>
    <row r="955" spans="1:22" x14ac:dyDescent="0.25">
      <c r="A955" s="10" t="s">
        <v>20</v>
      </c>
      <c r="B955" t="b">
        <v>0</v>
      </c>
      <c r="C955" t="b">
        <v>0</v>
      </c>
      <c r="D955" s="1">
        <v>1023</v>
      </c>
      <c r="E955" s="1">
        <v>0</v>
      </c>
      <c r="F955" s="1">
        <v>0</v>
      </c>
      <c r="G955" s="1">
        <v>380</v>
      </c>
      <c r="H955" s="1">
        <v>0</v>
      </c>
      <c r="I955" s="1">
        <v>0</v>
      </c>
      <c r="J955" s="1">
        <f t="shared" si="55"/>
        <v>1403</v>
      </c>
      <c r="K955" s="1">
        <v>1364</v>
      </c>
      <c r="L955" s="1">
        <v>0</v>
      </c>
      <c r="M955" s="1">
        <v>93</v>
      </c>
      <c r="N955" s="1">
        <f t="shared" si="54"/>
        <v>1457</v>
      </c>
      <c r="O955" s="14">
        <v>0</v>
      </c>
      <c r="P955" s="17">
        <f t="shared" si="56"/>
        <v>2860</v>
      </c>
      <c r="Q955" s="1">
        <v>0</v>
      </c>
      <c r="R955" s="1">
        <v>0</v>
      </c>
      <c r="S955" s="20">
        <v>37347</v>
      </c>
      <c r="T955" s="1">
        <v>2860</v>
      </c>
      <c r="U955" s="9">
        <v>1403</v>
      </c>
      <c r="V955" s="9" t="s">
        <v>46</v>
      </c>
    </row>
    <row r="956" spans="1:22" x14ac:dyDescent="0.25">
      <c r="A956" s="10" t="s">
        <v>20</v>
      </c>
      <c r="B956" t="b">
        <v>0</v>
      </c>
      <c r="C956" t="b">
        <v>0</v>
      </c>
      <c r="D956" s="1">
        <v>1713</v>
      </c>
      <c r="E956" s="1">
        <v>0</v>
      </c>
      <c r="F956" s="1">
        <v>0</v>
      </c>
      <c r="G956" s="1">
        <v>754</v>
      </c>
      <c r="H956" s="1">
        <v>0</v>
      </c>
      <c r="I956" s="1">
        <v>0</v>
      </c>
      <c r="J956" s="1">
        <f t="shared" si="55"/>
        <v>2467</v>
      </c>
      <c r="K956" s="1">
        <v>2270</v>
      </c>
      <c r="L956" s="1">
        <v>0</v>
      </c>
      <c r="M956" s="1">
        <v>0</v>
      </c>
      <c r="N956" s="1">
        <f t="shared" si="54"/>
        <v>2270</v>
      </c>
      <c r="O956" s="14">
        <v>0</v>
      </c>
      <c r="P956" s="17">
        <f t="shared" si="56"/>
        <v>4737</v>
      </c>
      <c r="Q956" s="1">
        <v>0</v>
      </c>
      <c r="R956" s="1">
        <v>0</v>
      </c>
      <c r="S956" s="20">
        <v>37377</v>
      </c>
      <c r="T956" s="1">
        <v>4737</v>
      </c>
      <c r="U956" s="9">
        <v>2467</v>
      </c>
      <c r="V956" s="9" t="s">
        <v>46</v>
      </c>
    </row>
    <row r="957" spans="1:22" x14ac:dyDescent="0.25">
      <c r="A957" s="10" t="s">
        <v>20</v>
      </c>
      <c r="B957" t="b">
        <v>0</v>
      </c>
      <c r="C957" t="b">
        <v>0</v>
      </c>
      <c r="D957" s="1">
        <v>3408</v>
      </c>
      <c r="E957" s="1">
        <v>0</v>
      </c>
      <c r="F957" s="1">
        <v>0</v>
      </c>
      <c r="G957" s="1">
        <v>1032</v>
      </c>
      <c r="H957" s="1">
        <v>0</v>
      </c>
      <c r="I957" s="1">
        <v>0</v>
      </c>
      <c r="J957" s="1">
        <f t="shared" si="55"/>
        <v>4440</v>
      </c>
      <c r="K957" s="1">
        <v>3709</v>
      </c>
      <c r="L957" s="1">
        <v>0</v>
      </c>
      <c r="M957" s="1">
        <v>200</v>
      </c>
      <c r="N957" s="1">
        <f t="shared" si="54"/>
        <v>3909</v>
      </c>
      <c r="O957" s="14">
        <v>0</v>
      </c>
      <c r="P957" s="17">
        <f t="shared" si="56"/>
        <v>8349</v>
      </c>
      <c r="Q957" s="1">
        <v>0</v>
      </c>
      <c r="R957" s="1">
        <v>0</v>
      </c>
      <c r="S957" s="20">
        <v>37408</v>
      </c>
      <c r="T957" s="1">
        <v>8349</v>
      </c>
      <c r="U957" s="9">
        <v>4440</v>
      </c>
      <c r="V957" s="9" t="s">
        <v>46</v>
      </c>
    </row>
    <row r="958" spans="1:22" x14ac:dyDescent="0.25">
      <c r="A958" s="10" t="s">
        <v>20</v>
      </c>
      <c r="B958" t="b">
        <v>0</v>
      </c>
      <c r="C958" t="b">
        <v>0</v>
      </c>
      <c r="D958" s="1">
        <v>2695</v>
      </c>
      <c r="E958" s="1">
        <v>0</v>
      </c>
      <c r="F958" s="1">
        <v>0</v>
      </c>
      <c r="G958" s="1">
        <v>1063</v>
      </c>
      <c r="H958" s="1">
        <v>0</v>
      </c>
      <c r="I958" s="1">
        <v>0</v>
      </c>
      <c r="J958" s="1">
        <f t="shared" si="55"/>
        <v>3758</v>
      </c>
      <c r="K958" s="1">
        <v>3824</v>
      </c>
      <c r="L958" s="1">
        <v>0</v>
      </c>
      <c r="M958" s="1">
        <v>535</v>
      </c>
      <c r="N958" s="1">
        <f t="shared" si="54"/>
        <v>4359</v>
      </c>
      <c r="O958" s="14">
        <v>0</v>
      </c>
      <c r="P958" s="17">
        <f t="shared" si="56"/>
        <v>8117</v>
      </c>
      <c r="Q958" s="1">
        <v>0</v>
      </c>
      <c r="R958" s="1">
        <v>0</v>
      </c>
      <c r="S958" s="20">
        <v>37438</v>
      </c>
      <c r="T958" s="1">
        <v>8117</v>
      </c>
      <c r="U958" s="9">
        <v>3758</v>
      </c>
      <c r="V958" s="9" t="s">
        <v>46</v>
      </c>
    </row>
    <row r="959" spans="1:22" x14ac:dyDescent="0.25">
      <c r="A959" s="10" t="s">
        <v>20</v>
      </c>
      <c r="B959" t="b">
        <v>0</v>
      </c>
      <c r="C959" t="b">
        <v>0</v>
      </c>
      <c r="D959" s="1">
        <v>2695</v>
      </c>
      <c r="E959" s="1">
        <v>0</v>
      </c>
      <c r="F959" s="1">
        <v>0</v>
      </c>
      <c r="G959" s="1">
        <v>1063</v>
      </c>
      <c r="H959" s="1">
        <v>0</v>
      </c>
      <c r="I959" s="1">
        <v>0</v>
      </c>
      <c r="J959" s="1">
        <f t="shared" si="55"/>
        <v>3758</v>
      </c>
      <c r="K959" s="1">
        <v>4123</v>
      </c>
      <c r="L959" s="1">
        <v>0</v>
      </c>
      <c r="M959" s="1">
        <v>175</v>
      </c>
      <c r="N959" s="1">
        <f t="shared" si="54"/>
        <v>4298</v>
      </c>
      <c r="O959" s="14">
        <v>0</v>
      </c>
      <c r="P959" s="17">
        <f t="shared" si="56"/>
        <v>8056</v>
      </c>
      <c r="Q959" s="1">
        <v>0</v>
      </c>
      <c r="R959" s="1">
        <v>0</v>
      </c>
      <c r="S959" s="20">
        <v>37469</v>
      </c>
      <c r="T959" s="1">
        <v>8056</v>
      </c>
      <c r="U959" s="9">
        <v>3758</v>
      </c>
      <c r="V959" s="9" t="s">
        <v>46</v>
      </c>
    </row>
    <row r="960" spans="1:22" x14ac:dyDescent="0.25">
      <c r="A960" s="10" t="s">
        <v>20</v>
      </c>
      <c r="B960" t="b">
        <v>0</v>
      </c>
      <c r="C960" t="b">
        <v>0</v>
      </c>
      <c r="D960" s="1">
        <v>1838</v>
      </c>
      <c r="E960" s="1">
        <v>0</v>
      </c>
      <c r="F960" s="1">
        <v>0</v>
      </c>
      <c r="G960" s="1">
        <v>862</v>
      </c>
      <c r="H960" s="1">
        <v>0</v>
      </c>
      <c r="I960" s="1">
        <v>0</v>
      </c>
      <c r="J960" s="1">
        <f t="shared" si="55"/>
        <v>2700</v>
      </c>
      <c r="K960" s="1">
        <v>2259</v>
      </c>
      <c r="L960" s="1">
        <v>0</v>
      </c>
      <c r="M960" s="1">
        <v>144</v>
      </c>
      <c r="N960" s="1">
        <f t="shared" si="54"/>
        <v>2403</v>
      </c>
      <c r="O960" s="14">
        <v>0</v>
      </c>
      <c r="P960" s="17">
        <f t="shared" si="56"/>
        <v>5103</v>
      </c>
      <c r="Q960" s="1">
        <v>0</v>
      </c>
      <c r="R960" s="1">
        <v>0</v>
      </c>
      <c r="S960" s="20">
        <v>37500</v>
      </c>
      <c r="T960" s="1">
        <v>5103</v>
      </c>
      <c r="U960" s="9">
        <v>2700</v>
      </c>
      <c r="V960" s="9" t="s">
        <v>46</v>
      </c>
    </row>
    <row r="961" spans="1:22" x14ac:dyDescent="0.25">
      <c r="A961" s="10" t="s">
        <v>20</v>
      </c>
      <c r="B961" t="b">
        <v>0</v>
      </c>
      <c r="C961" t="b">
        <v>0</v>
      </c>
      <c r="D961" s="1">
        <v>743</v>
      </c>
      <c r="E961" s="1">
        <v>0</v>
      </c>
      <c r="F961" s="1">
        <v>0</v>
      </c>
      <c r="G961" s="1">
        <v>890</v>
      </c>
      <c r="H961" s="1">
        <v>0</v>
      </c>
      <c r="I961" s="1">
        <v>0</v>
      </c>
      <c r="J961" s="1">
        <f t="shared" si="55"/>
        <v>1633</v>
      </c>
      <c r="K961" s="1">
        <v>1391</v>
      </c>
      <c r="L961" s="1">
        <v>0</v>
      </c>
      <c r="M961" s="1">
        <v>148</v>
      </c>
      <c r="N961" s="1">
        <f t="shared" si="54"/>
        <v>1539</v>
      </c>
      <c r="O961" s="14">
        <v>0</v>
      </c>
      <c r="P961" s="17">
        <f t="shared" si="56"/>
        <v>3172</v>
      </c>
      <c r="Q961" s="1">
        <v>0</v>
      </c>
      <c r="R961" s="1">
        <v>0</v>
      </c>
      <c r="S961" s="20">
        <v>37530</v>
      </c>
      <c r="T961" s="1">
        <v>3172</v>
      </c>
      <c r="U961" s="9">
        <v>1633</v>
      </c>
      <c r="V961" s="9" t="s">
        <v>46</v>
      </c>
    </row>
    <row r="962" spans="1:22" x14ac:dyDescent="0.25">
      <c r="A962" s="10" t="s">
        <v>20</v>
      </c>
      <c r="B962" t="b">
        <v>0</v>
      </c>
      <c r="C962" t="b">
        <v>0</v>
      </c>
      <c r="D962" s="1">
        <v>413</v>
      </c>
      <c r="E962" s="1">
        <v>0</v>
      </c>
      <c r="F962" s="1">
        <v>0</v>
      </c>
      <c r="G962" s="1">
        <v>870</v>
      </c>
      <c r="H962" s="1">
        <v>0</v>
      </c>
      <c r="I962" s="1">
        <v>0</v>
      </c>
      <c r="J962" s="1">
        <f t="shared" si="55"/>
        <v>1283</v>
      </c>
      <c r="K962" s="1">
        <v>414</v>
      </c>
      <c r="L962" s="1">
        <v>0</v>
      </c>
      <c r="M962" s="1">
        <v>0</v>
      </c>
      <c r="N962" s="1">
        <f t="shared" si="54"/>
        <v>414</v>
      </c>
      <c r="O962" s="14">
        <v>0</v>
      </c>
      <c r="P962" s="17">
        <f t="shared" si="56"/>
        <v>1697</v>
      </c>
      <c r="Q962" s="1">
        <v>0</v>
      </c>
      <c r="R962" s="1">
        <v>0</v>
      </c>
      <c r="S962" s="20">
        <v>37561</v>
      </c>
      <c r="T962" s="1">
        <v>1697</v>
      </c>
      <c r="U962" s="9">
        <v>1283</v>
      </c>
      <c r="V962" s="9" t="s">
        <v>46</v>
      </c>
    </row>
    <row r="963" spans="1:22" x14ac:dyDescent="0.25">
      <c r="A963" s="10" t="s">
        <v>20</v>
      </c>
      <c r="B963" t="b">
        <v>0</v>
      </c>
      <c r="C963" t="b">
        <v>0</v>
      </c>
      <c r="D963" s="1">
        <v>278</v>
      </c>
      <c r="E963" s="1">
        <v>0</v>
      </c>
      <c r="F963" s="1">
        <v>0</v>
      </c>
      <c r="G963" s="1">
        <v>890</v>
      </c>
      <c r="H963" s="1">
        <v>0</v>
      </c>
      <c r="I963" s="1">
        <v>0</v>
      </c>
      <c r="J963" s="1">
        <f t="shared" si="55"/>
        <v>1168</v>
      </c>
      <c r="K963" s="1">
        <v>270</v>
      </c>
      <c r="L963" s="1">
        <v>0</v>
      </c>
      <c r="M963" s="1">
        <v>0</v>
      </c>
      <c r="N963" s="1">
        <f t="shared" si="54"/>
        <v>270</v>
      </c>
      <c r="O963" s="14">
        <v>0</v>
      </c>
      <c r="P963" s="17">
        <f t="shared" si="56"/>
        <v>1438</v>
      </c>
      <c r="Q963" s="1">
        <v>0</v>
      </c>
      <c r="R963" s="1">
        <v>0</v>
      </c>
      <c r="S963" s="20">
        <v>37591</v>
      </c>
      <c r="T963" s="1">
        <v>1438</v>
      </c>
      <c r="U963" s="9">
        <v>1168</v>
      </c>
      <c r="V963" s="9" t="s">
        <v>46</v>
      </c>
    </row>
    <row r="964" spans="1:22" x14ac:dyDescent="0.25">
      <c r="A964" s="10" t="s">
        <v>20</v>
      </c>
      <c r="B964" t="b">
        <v>0</v>
      </c>
      <c r="C964" t="b">
        <v>0</v>
      </c>
      <c r="D964" s="1">
        <v>355</v>
      </c>
      <c r="E964" s="1">
        <v>0</v>
      </c>
      <c r="F964" s="1">
        <v>0</v>
      </c>
      <c r="G964" s="1">
        <v>890</v>
      </c>
      <c r="H964" s="1">
        <v>0</v>
      </c>
      <c r="I964" s="1">
        <v>0</v>
      </c>
      <c r="J964" s="1">
        <f t="shared" si="55"/>
        <v>1245</v>
      </c>
      <c r="K964" s="1">
        <v>333</v>
      </c>
      <c r="L964" s="1">
        <v>0</v>
      </c>
      <c r="M964" s="1">
        <v>24</v>
      </c>
      <c r="N964" s="1">
        <f t="shared" si="54"/>
        <v>357</v>
      </c>
      <c r="O964" s="14">
        <v>0</v>
      </c>
      <c r="P964" s="17">
        <f t="shared" si="56"/>
        <v>1602</v>
      </c>
      <c r="Q964" s="1">
        <v>0</v>
      </c>
      <c r="R964" s="1">
        <v>0</v>
      </c>
      <c r="S964" s="20">
        <v>37622</v>
      </c>
      <c r="T964" s="1">
        <v>1602</v>
      </c>
      <c r="U964" s="9">
        <v>1245</v>
      </c>
      <c r="V964" s="9" t="s">
        <v>21</v>
      </c>
    </row>
    <row r="965" spans="1:22" x14ac:dyDescent="0.25">
      <c r="A965" s="10" t="s">
        <v>20</v>
      </c>
      <c r="B965" t="b">
        <v>0</v>
      </c>
      <c r="C965" t="b">
        <v>0</v>
      </c>
      <c r="D965" s="1">
        <v>876</v>
      </c>
      <c r="E965" s="1">
        <v>0</v>
      </c>
      <c r="F965" s="1">
        <v>0</v>
      </c>
      <c r="G965" s="1">
        <v>800</v>
      </c>
      <c r="H965" s="1">
        <v>0</v>
      </c>
      <c r="I965" s="1">
        <v>0</v>
      </c>
      <c r="J965" s="1">
        <f t="shared" si="55"/>
        <v>1676</v>
      </c>
      <c r="K965" s="1">
        <v>338</v>
      </c>
      <c r="L965" s="1">
        <v>0</v>
      </c>
      <c r="M965" s="1">
        <v>0</v>
      </c>
      <c r="N965" s="1">
        <f t="shared" si="54"/>
        <v>338</v>
      </c>
      <c r="O965" s="14">
        <v>0</v>
      </c>
      <c r="P965" s="17">
        <f t="shared" si="56"/>
        <v>2014</v>
      </c>
      <c r="Q965" s="1">
        <v>0</v>
      </c>
      <c r="R965" s="1">
        <v>0</v>
      </c>
      <c r="S965" s="20">
        <v>37653</v>
      </c>
      <c r="T965" s="1">
        <v>2014</v>
      </c>
      <c r="U965" s="9">
        <v>1676</v>
      </c>
      <c r="V965" s="9" t="s">
        <v>21</v>
      </c>
    </row>
    <row r="966" spans="1:22" x14ac:dyDescent="0.25">
      <c r="A966" s="10" t="s">
        <v>20</v>
      </c>
      <c r="B966" t="b">
        <v>0</v>
      </c>
      <c r="C966" t="b">
        <v>0</v>
      </c>
      <c r="D966" s="1">
        <v>1078</v>
      </c>
      <c r="E966" s="1">
        <v>0</v>
      </c>
      <c r="F966" s="1">
        <v>0</v>
      </c>
      <c r="G966" s="1">
        <v>0</v>
      </c>
      <c r="H966" s="1">
        <v>936</v>
      </c>
      <c r="I966" s="1">
        <v>0</v>
      </c>
      <c r="J966" s="1">
        <f t="shared" si="55"/>
        <v>2014</v>
      </c>
      <c r="K966" s="1">
        <v>914</v>
      </c>
      <c r="L966" s="1">
        <v>0</v>
      </c>
      <c r="M966" s="1">
        <v>30</v>
      </c>
      <c r="N966" s="1">
        <f t="shared" si="54"/>
        <v>944</v>
      </c>
      <c r="O966" s="14">
        <v>0</v>
      </c>
      <c r="P966" s="17">
        <f t="shared" si="56"/>
        <v>2958</v>
      </c>
      <c r="Q966" s="1">
        <v>0</v>
      </c>
      <c r="R966" s="1">
        <v>0</v>
      </c>
      <c r="S966" s="20">
        <v>37681</v>
      </c>
      <c r="T966" s="1">
        <v>2958</v>
      </c>
      <c r="U966" s="9">
        <v>2014</v>
      </c>
      <c r="V966" s="9" t="s">
        <v>21</v>
      </c>
    </row>
    <row r="967" spans="1:22" x14ac:dyDescent="0.25">
      <c r="A967" s="10" t="s">
        <v>20</v>
      </c>
      <c r="B967" t="b">
        <v>0</v>
      </c>
      <c r="C967" t="b">
        <v>0</v>
      </c>
      <c r="D967" s="1">
        <v>978</v>
      </c>
      <c r="E967" s="1">
        <v>0</v>
      </c>
      <c r="F967" s="1">
        <v>0</v>
      </c>
      <c r="G967" s="1">
        <v>640</v>
      </c>
      <c r="H967" s="1">
        <v>0</v>
      </c>
      <c r="I967" s="1">
        <v>0</v>
      </c>
      <c r="J967" s="1">
        <f t="shared" si="55"/>
        <v>1618</v>
      </c>
      <c r="K967" s="1">
        <v>1148</v>
      </c>
      <c r="L967" s="1">
        <v>0</v>
      </c>
      <c r="M967" s="1">
        <v>45</v>
      </c>
      <c r="N967" s="1">
        <f t="shared" si="54"/>
        <v>1193</v>
      </c>
      <c r="O967" s="14">
        <v>0</v>
      </c>
      <c r="P967" s="17">
        <f t="shared" si="56"/>
        <v>2811</v>
      </c>
      <c r="Q967" s="1">
        <v>0</v>
      </c>
      <c r="R967" s="1">
        <v>0</v>
      </c>
      <c r="S967" s="20">
        <v>37712</v>
      </c>
      <c r="T967" s="1">
        <v>2811</v>
      </c>
      <c r="U967" s="9">
        <v>1618</v>
      </c>
      <c r="V967" s="9" t="s">
        <v>21</v>
      </c>
    </row>
    <row r="968" spans="1:22" x14ac:dyDescent="0.25">
      <c r="A968" s="10" t="s">
        <v>20</v>
      </c>
      <c r="B968" t="b">
        <v>0</v>
      </c>
      <c r="C968" t="b">
        <v>0</v>
      </c>
      <c r="D968" s="1">
        <v>2090</v>
      </c>
      <c r="E968" s="1">
        <v>0</v>
      </c>
      <c r="F968" s="1">
        <v>0</v>
      </c>
      <c r="G968" s="1">
        <v>648</v>
      </c>
      <c r="H968" s="1">
        <v>0</v>
      </c>
      <c r="I968" s="1">
        <v>0</v>
      </c>
      <c r="J968" s="1">
        <f t="shared" si="55"/>
        <v>2738</v>
      </c>
      <c r="K968" s="1">
        <v>2574</v>
      </c>
      <c r="L968" s="1">
        <v>0</v>
      </c>
      <c r="M968" s="1">
        <v>0</v>
      </c>
      <c r="N968" s="1">
        <f t="shared" si="54"/>
        <v>2574</v>
      </c>
      <c r="O968" s="14">
        <v>0</v>
      </c>
      <c r="P968" s="17">
        <f t="shared" si="56"/>
        <v>5312</v>
      </c>
      <c r="Q968" s="1">
        <v>0</v>
      </c>
      <c r="R968" s="1">
        <v>0</v>
      </c>
      <c r="S968" s="20">
        <v>37742</v>
      </c>
      <c r="T968" s="1">
        <v>5312</v>
      </c>
      <c r="U968" s="9">
        <v>2738</v>
      </c>
      <c r="V968" s="9" t="s">
        <v>21</v>
      </c>
    </row>
    <row r="969" spans="1:22" x14ac:dyDescent="0.25">
      <c r="A969" s="10" t="s">
        <v>20</v>
      </c>
      <c r="B969" t="b">
        <v>0</v>
      </c>
      <c r="C969" t="b">
        <v>0</v>
      </c>
      <c r="D969" s="1">
        <v>3240</v>
      </c>
      <c r="E969" s="1">
        <v>0</v>
      </c>
      <c r="F969" s="1">
        <v>0</v>
      </c>
      <c r="G969" s="1">
        <v>862</v>
      </c>
      <c r="H969" s="1">
        <v>0</v>
      </c>
      <c r="I969" s="1">
        <v>0</v>
      </c>
      <c r="J969" s="1">
        <f t="shared" si="55"/>
        <v>4102</v>
      </c>
      <c r="K969" s="1">
        <v>3111</v>
      </c>
      <c r="L969" s="1">
        <v>0</v>
      </c>
      <c r="M969" s="1">
        <v>0</v>
      </c>
      <c r="N969" s="1">
        <f t="shared" si="54"/>
        <v>3111</v>
      </c>
      <c r="O969" s="14">
        <v>0</v>
      </c>
      <c r="P969" s="17">
        <f t="shared" si="56"/>
        <v>7213</v>
      </c>
      <c r="Q969" s="1">
        <v>0</v>
      </c>
      <c r="R969" s="1">
        <v>0</v>
      </c>
      <c r="S969" s="20">
        <v>37773</v>
      </c>
      <c r="T969" s="1">
        <v>7213</v>
      </c>
      <c r="U969" s="9">
        <v>4102</v>
      </c>
      <c r="V969" s="9" t="s">
        <v>21</v>
      </c>
    </row>
    <row r="970" spans="1:22" x14ac:dyDescent="0.25">
      <c r="A970" s="10" t="s">
        <v>20</v>
      </c>
      <c r="B970" t="b">
        <v>0</v>
      </c>
      <c r="C970" t="b">
        <v>0</v>
      </c>
      <c r="D970" s="1">
        <v>2695</v>
      </c>
      <c r="E970" s="1">
        <v>0</v>
      </c>
      <c r="F970" s="1">
        <v>0</v>
      </c>
      <c r="G970" s="1">
        <v>1063</v>
      </c>
      <c r="H970" s="1">
        <v>0</v>
      </c>
      <c r="I970" s="1">
        <v>0</v>
      </c>
      <c r="J970" s="1">
        <f t="shared" si="55"/>
        <v>3758</v>
      </c>
      <c r="K970" s="1">
        <v>3740</v>
      </c>
      <c r="L970" s="1">
        <v>0</v>
      </c>
      <c r="M970" s="1">
        <v>0</v>
      </c>
      <c r="N970" s="1">
        <f t="shared" si="54"/>
        <v>3740</v>
      </c>
      <c r="O970" s="14">
        <v>0</v>
      </c>
      <c r="P970" s="17">
        <f t="shared" si="56"/>
        <v>7498</v>
      </c>
      <c r="Q970" s="1">
        <v>0</v>
      </c>
      <c r="R970" s="1">
        <v>0</v>
      </c>
      <c r="S970" s="20">
        <v>37803</v>
      </c>
      <c r="T970" s="1">
        <v>7498</v>
      </c>
      <c r="U970" s="9">
        <v>3758</v>
      </c>
      <c r="V970" s="9" t="s">
        <v>21</v>
      </c>
    </row>
    <row r="971" spans="1:22" x14ac:dyDescent="0.25">
      <c r="A971" s="10" t="s">
        <v>20</v>
      </c>
      <c r="B971" t="b">
        <v>0</v>
      </c>
      <c r="C971" t="b">
        <v>0</v>
      </c>
      <c r="D971" s="1">
        <v>2695</v>
      </c>
      <c r="E971" s="1">
        <v>0</v>
      </c>
      <c r="F971" s="1">
        <v>0</v>
      </c>
      <c r="G971" s="1">
        <v>1063</v>
      </c>
      <c r="H971" s="1">
        <v>0</v>
      </c>
      <c r="I971" s="1">
        <v>0</v>
      </c>
      <c r="J971" s="1">
        <f t="shared" si="55"/>
        <v>3758</v>
      </c>
      <c r="K971" s="1">
        <v>4070</v>
      </c>
      <c r="L971" s="1">
        <v>0</v>
      </c>
      <c r="M971" s="1">
        <v>0</v>
      </c>
      <c r="N971" s="1">
        <f t="shared" si="54"/>
        <v>4070</v>
      </c>
      <c r="O971" s="14">
        <v>0</v>
      </c>
      <c r="P971" s="17">
        <f t="shared" si="56"/>
        <v>7828</v>
      </c>
      <c r="Q971" s="1">
        <v>0</v>
      </c>
      <c r="R971" s="1">
        <v>0</v>
      </c>
      <c r="S971" s="20">
        <v>37834</v>
      </c>
      <c r="T971" s="1">
        <v>7828</v>
      </c>
      <c r="U971" s="9">
        <v>3758</v>
      </c>
      <c r="V971" s="9" t="s">
        <v>21</v>
      </c>
    </row>
    <row r="972" spans="1:22" x14ac:dyDescent="0.25">
      <c r="A972" s="10" t="s">
        <v>20</v>
      </c>
      <c r="B972" t="b">
        <v>0</v>
      </c>
      <c r="C972" t="b">
        <v>0</v>
      </c>
      <c r="D972" s="1">
        <v>1755</v>
      </c>
      <c r="E972" s="1">
        <v>0</v>
      </c>
      <c r="F972" s="1">
        <v>0</v>
      </c>
      <c r="G972" s="1">
        <v>62</v>
      </c>
      <c r="H972" s="1">
        <v>0</v>
      </c>
      <c r="I972" s="1">
        <v>0</v>
      </c>
      <c r="J972" s="1">
        <f t="shared" si="55"/>
        <v>1817</v>
      </c>
      <c r="K972" s="1">
        <v>1935</v>
      </c>
      <c r="L972" s="1">
        <v>0</v>
      </c>
      <c r="M972" s="1">
        <v>0</v>
      </c>
      <c r="N972" s="1">
        <f t="shared" si="54"/>
        <v>1935</v>
      </c>
      <c r="O972" s="14">
        <v>0</v>
      </c>
      <c r="P972" s="17">
        <f t="shared" si="56"/>
        <v>3752</v>
      </c>
      <c r="Q972" s="1">
        <v>0</v>
      </c>
      <c r="R972" s="1">
        <v>0</v>
      </c>
      <c r="S972" s="20">
        <v>37865</v>
      </c>
      <c r="T972" s="1">
        <v>3752</v>
      </c>
      <c r="U972" s="9">
        <v>1817</v>
      </c>
      <c r="V972" s="9" t="s">
        <v>21</v>
      </c>
    </row>
    <row r="973" spans="1:22" x14ac:dyDescent="0.25">
      <c r="A973" s="10" t="s">
        <v>20</v>
      </c>
      <c r="B973" t="b">
        <v>0</v>
      </c>
      <c r="C973" t="b">
        <v>0</v>
      </c>
      <c r="D973" s="1">
        <v>458</v>
      </c>
      <c r="E973" s="1">
        <v>0</v>
      </c>
      <c r="F973" s="1">
        <v>0</v>
      </c>
      <c r="G973" s="1">
        <v>860</v>
      </c>
      <c r="H973" s="1">
        <v>0</v>
      </c>
      <c r="I973" s="1">
        <v>0</v>
      </c>
      <c r="J973" s="1">
        <f t="shared" si="55"/>
        <v>1318</v>
      </c>
      <c r="K973" s="1">
        <v>1571</v>
      </c>
      <c r="L973" s="1">
        <v>0</v>
      </c>
      <c r="M973" s="1">
        <v>140</v>
      </c>
      <c r="N973" s="1">
        <f>K973+L973+M973</f>
        <v>1711</v>
      </c>
      <c r="O973" s="14">
        <v>0</v>
      </c>
      <c r="P973" s="17">
        <f t="shared" si="56"/>
        <v>3029</v>
      </c>
      <c r="Q973" s="1">
        <v>0</v>
      </c>
      <c r="R973" s="1">
        <v>0</v>
      </c>
      <c r="S973" s="20">
        <v>37895</v>
      </c>
      <c r="T973" s="1">
        <v>3029</v>
      </c>
      <c r="U973" s="9">
        <v>1318</v>
      </c>
      <c r="V973" s="9" t="s">
        <v>21</v>
      </c>
    </row>
    <row r="974" spans="1:22" x14ac:dyDescent="0.25">
      <c r="A974" s="10" t="s">
        <v>20</v>
      </c>
      <c r="B974" t="b">
        <v>0</v>
      </c>
      <c r="C974" t="b">
        <v>0</v>
      </c>
      <c r="D974" s="1">
        <v>360</v>
      </c>
      <c r="E974" s="1">
        <v>0</v>
      </c>
      <c r="F974" s="1">
        <v>0</v>
      </c>
      <c r="G974" s="1">
        <v>900</v>
      </c>
      <c r="H974" s="1">
        <v>0</v>
      </c>
      <c r="I974" s="1">
        <v>0</v>
      </c>
      <c r="J974" s="1">
        <f t="shared" si="55"/>
        <v>1260</v>
      </c>
      <c r="K974" s="1">
        <v>725</v>
      </c>
      <c r="L974" s="1">
        <v>0</v>
      </c>
      <c r="M974" s="1">
        <v>60</v>
      </c>
      <c r="N974" s="1">
        <f t="shared" ref="N974:N1037" si="57">K974+L974+M974</f>
        <v>785</v>
      </c>
      <c r="O974" s="14">
        <v>0</v>
      </c>
      <c r="P974" s="17">
        <f t="shared" si="56"/>
        <v>2045</v>
      </c>
      <c r="Q974" s="1">
        <v>0</v>
      </c>
      <c r="R974" s="1">
        <v>0</v>
      </c>
      <c r="S974" s="20">
        <v>37926</v>
      </c>
      <c r="T974" s="1">
        <v>2045</v>
      </c>
      <c r="U974" s="9">
        <v>1260</v>
      </c>
      <c r="V974" s="9" t="s">
        <v>21</v>
      </c>
    </row>
    <row r="975" spans="1:22" x14ac:dyDescent="0.25">
      <c r="A975" s="10" t="s">
        <v>20</v>
      </c>
      <c r="B975" t="b">
        <v>0</v>
      </c>
      <c r="C975" t="b">
        <v>0</v>
      </c>
      <c r="D975" s="1">
        <v>243</v>
      </c>
      <c r="E975" s="1">
        <v>0</v>
      </c>
      <c r="F975" s="1">
        <v>0</v>
      </c>
      <c r="G975" s="1">
        <v>890</v>
      </c>
      <c r="H975" s="1">
        <v>0</v>
      </c>
      <c r="I975" s="1">
        <v>0</v>
      </c>
      <c r="J975" s="1">
        <f t="shared" si="55"/>
        <v>1133</v>
      </c>
      <c r="K975" s="1">
        <v>621</v>
      </c>
      <c r="L975" s="1">
        <v>0</v>
      </c>
      <c r="M975" s="1">
        <v>0</v>
      </c>
      <c r="N975" s="1">
        <f t="shared" si="57"/>
        <v>621</v>
      </c>
      <c r="O975" s="14">
        <v>0</v>
      </c>
      <c r="P975" s="17">
        <f t="shared" si="56"/>
        <v>1754</v>
      </c>
      <c r="Q975" s="1">
        <v>0</v>
      </c>
      <c r="R975" s="1">
        <v>0</v>
      </c>
      <c r="S975" s="20">
        <v>37956</v>
      </c>
      <c r="T975" s="1">
        <v>1754</v>
      </c>
      <c r="U975" s="9">
        <v>1133</v>
      </c>
      <c r="V975" s="9" t="s">
        <v>21</v>
      </c>
    </row>
    <row r="976" spans="1:22" x14ac:dyDescent="0.25">
      <c r="A976" s="10" t="s">
        <v>20</v>
      </c>
      <c r="B976" t="b">
        <v>0</v>
      </c>
      <c r="C976" t="b">
        <v>0</v>
      </c>
      <c r="D976" s="1">
        <v>260</v>
      </c>
      <c r="E976" s="1">
        <v>0</v>
      </c>
      <c r="F976" s="1">
        <v>0</v>
      </c>
      <c r="G976" s="1">
        <v>950</v>
      </c>
      <c r="H976" s="1">
        <v>0</v>
      </c>
      <c r="I976" s="1">
        <v>0</v>
      </c>
      <c r="J976" s="1">
        <f t="shared" si="55"/>
        <v>1210</v>
      </c>
      <c r="K976" s="1">
        <v>702</v>
      </c>
      <c r="L976" s="1">
        <v>0</v>
      </c>
      <c r="M976" s="1">
        <v>0</v>
      </c>
      <c r="N976" s="1">
        <f t="shared" si="57"/>
        <v>702</v>
      </c>
      <c r="O976" s="14">
        <v>0</v>
      </c>
      <c r="P976" s="17">
        <f t="shared" si="56"/>
        <v>1912</v>
      </c>
      <c r="Q976" s="1">
        <v>0</v>
      </c>
      <c r="R976" s="1">
        <v>0</v>
      </c>
      <c r="S976" s="20">
        <v>37987</v>
      </c>
      <c r="T976" s="1">
        <v>1912</v>
      </c>
      <c r="U976" s="9">
        <v>1210</v>
      </c>
      <c r="V976" s="9" t="s">
        <v>41</v>
      </c>
    </row>
    <row r="977" spans="1:22" x14ac:dyDescent="0.25">
      <c r="A977" s="10" t="s">
        <v>20</v>
      </c>
      <c r="B977" t="b">
        <v>0</v>
      </c>
      <c r="C977" t="b">
        <v>0</v>
      </c>
      <c r="D977" s="1">
        <v>370</v>
      </c>
      <c r="E977" s="1">
        <v>0</v>
      </c>
      <c r="F977" s="1">
        <v>0</v>
      </c>
      <c r="G977" s="1">
        <v>880</v>
      </c>
      <c r="H977" s="1">
        <v>0</v>
      </c>
      <c r="I977" s="1">
        <v>0</v>
      </c>
      <c r="J977" s="1">
        <f t="shared" si="55"/>
        <v>1250</v>
      </c>
      <c r="K977" s="1">
        <v>887</v>
      </c>
      <c r="L977" s="1">
        <v>0</v>
      </c>
      <c r="M977" s="1">
        <v>0</v>
      </c>
      <c r="N977" s="1">
        <f t="shared" si="57"/>
        <v>887</v>
      </c>
      <c r="O977" s="14">
        <v>0</v>
      </c>
      <c r="P977" s="17">
        <f t="shared" si="56"/>
        <v>2137</v>
      </c>
      <c r="Q977" s="1">
        <v>0</v>
      </c>
      <c r="R977" s="1">
        <v>0</v>
      </c>
      <c r="S977" s="20">
        <v>38018</v>
      </c>
      <c r="T977" s="1">
        <v>2137</v>
      </c>
      <c r="U977" s="9">
        <v>1250</v>
      </c>
      <c r="V977" s="9" t="s">
        <v>41</v>
      </c>
    </row>
    <row r="978" spans="1:22" x14ac:dyDescent="0.25">
      <c r="A978" s="10" t="s">
        <v>20</v>
      </c>
      <c r="B978" t="b">
        <v>0</v>
      </c>
      <c r="C978" t="b">
        <v>0</v>
      </c>
      <c r="D978" s="1">
        <v>1038</v>
      </c>
      <c r="E978" s="1">
        <v>0</v>
      </c>
      <c r="F978" s="1">
        <v>0</v>
      </c>
      <c r="G978" s="1">
        <v>860</v>
      </c>
      <c r="H978" s="1">
        <v>0</v>
      </c>
      <c r="I978" s="1">
        <v>0</v>
      </c>
      <c r="J978" s="1">
        <f t="shared" si="55"/>
        <v>1898</v>
      </c>
      <c r="K978" s="1">
        <v>1575</v>
      </c>
      <c r="L978" s="1">
        <v>0</v>
      </c>
      <c r="M978" s="1">
        <v>30</v>
      </c>
      <c r="N978" s="1">
        <f t="shared" si="57"/>
        <v>1605</v>
      </c>
      <c r="O978" s="14">
        <v>0</v>
      </c>
      <c r="P978" s="17">
        <f t="shared" si="56"/>
        <v>3503</v>
      </c>
      <c r="Q978" s="1">
        <v>0</v>
      </c>
      <c r="R978" s="1">
        <v>0</v>
      </c>
      <c r="S978" s="20">
        <v>38047</v>
      </c>
      <c r="T978" s="1">
        <v>3503</v>
      </c>
      <c r="U978" s="9">
        <v>1898</v>
      </c>
      <c r="V978" s="9" t="s">
        <v>41</v>
      </c>
    </row>
    <row r="979" spans="1:22" x14ac:dyDescent="0.25">
      <c r="A979" s="10" t="s">
        <v>20</v>
      </c>
      <c r="B979" t="b">
        <v>0</v>
      </c>
      <c r="C979" t="b">
        <v>0</v>
      </c>
      <c r="D979" s="1">
        <v>1223</v>
      </c>
      <c r="E979" s="1">
        <v>0</v>
      </c>
      <c r="F979" s="1">
        <v>0</v>
      </c>
      <c r="G979" s="1">
        <v>840</v>
      </c>
      <c r="H979" s="1">
        <v>0</v>
      </c>
      <c r="I979" s="1">
        <v>0</v>
      </c>
      <c r="J979" s="1">
        <f t="shared" si="55"/>
        <v>2063</v>
      </c>
      <c r="K979" s="1">
        <v>2319</v>
      </c>
      <c r="L979" s="1">
        <v>0</v>
      </c>
      <c r="M979" s="1">
        <v>228</v>
      </c>
      <c r="N979" s="1">
        <f t="shared" si="57"/>
        <v>2547</v>
      </c>
      <c r="O979" s="14">
        <v>0</v>
      </c>
      <c r="P979" s="17">
        <f t="shared" si="56"/>
        <v>4610</v>
      </c>
      <c r="Q979" s="1">
        <v>0</v>
      </c>
      <c r="R979" s="1">
        <v>0</v>
      </c>
      <c r="S979" s="20">
        <v>38078</v>
      </c>
      <c r="T979" s="1">
        <v>4610</v>
      </c>
      <c r="U979" s="9">
        <v>2063</v>
      </c>
      <c r="V979" s="9" t="s">
        <v>41</v>
      </c>
    </row>
    <row r="980" spans="1:22" x14ac:dyDescent="0.25">
      <c r="A980" s="10" t="s">
        <v>20</v>
      </c>
      <c r="B980" t="b">
        <v>0</v>
      </c>
      <c r="C980" t="b">
        <v>0</v>
      </c>
      <c r="D980" s="1">
        <v>1473</v>
      </c>
      <c r="E980" s="1">
        <v>0</v>
      </c>
      <c r="F980" s="1">
        <v>0</v>
      </c>
      <c r="G980" s="1">
        <v>948</v>
      </c>
      <c r="H980" s="1">
        <v>0</v>
      </c>
      <c r="I980" s="1">
        <v>0</v>
      </c>
      <c r="J980" s="1">
        <f t="shared" si="55"/>
        <v>2421</v>
      </c>
      <c r="K980" s="1">
        <v>2297</v>
      </c>
      <c r="L980" s="1">
        <v>0</v>
      </c>
      <c r="M980" s="1">
        <v>430</v>
      </c>
      <c r="N980" s="1">
        <f t="shared" si="57"/>
        <v>2727</v>
      </c>
      <c r="O980" s="14">
        <v>0</v>
      </c>
      <c r="P980" s="17">
        <f t="shared" si="56"/>
        <v>5148</v>
      </c>
      <c r="Q980" s="1">
        <v>0</v>
      </c>
      <c r="R980" s="1">
        <v>0</v>
      </c>
      <c r="S980" s="20">
        <v>38108</v>
      </c>
      <c r="T980" s="1">
        <v>5148</v>
      </c>
      <c r="U980" s="9">
        <v>2421</v>
      </c>
      <c r="V980" s="9" t="s">
        <v>41</v>
      </c>
    </row>
    <row r="981" spans="1:22" x14ac:dyDescent="0.25">
      <c r="A981" s="10" t="s">
        <v>20</v>
      </c>
      <c r="B981" t="b">
        <v>0</v>
      </c>
      <c r="C981" t="b">
        <v>0</v>
      </c>
      <c r="D981" s="1">
        <v>2860</v>
      </c>
      <c r="E981" s="1">
        <v>0</v>
      </c>
      <c r="F981" s="1">
        <v>0</v>
      </c>
      <c r="G981" s="1">
        <v>840</v>
      </c>
      <c r="H981" s="1">
        <v>0</v>
      </c>
      <c r="I981" s="1">
        <v>0</v>
      </c>
      <c r="J981" s="1">
        <f t="shared" si="55"/>
        <v>3700</v>
      </c>
      <c r="K981" s="1">
        <v>2922</v>
      </c>
      <c r="L981" s="1">
        <v>0</v>
      </c>
      <c r="M981" s="1">
        <v>650</v>
      </c>
      <c r="N981" s="1">
        <f t="shared" si="57"/>
        <v>3572</v>
      </c>
      <c r="O981" s="14">
        <v>0</v>
      </c>
      <c r="P981" s="17">
        <f t="shared" si="56"/>
        <v>7272</v>
      </c>
      <c r="Q981" s="1">
        <v>0</v>
      </c>
      <c r="R981" s="1">
        <v>0</v>
      </c>
      <c r="S981" s="20">
        <v>38139</v>
      </c>
      <c r="T981" s="1">
        <v>7272</v>
      </c>
      <c r="U981" s="9">
        <v>3700</v>
      </c>
      <c r="V981" s="9" t="s">
        <v>41</v>
      </c>
    </row>
    <row r="982" spans="1:22" x14ac:dyDescent="0.25">
      <c r="A982" s="10" t="s">
        <v>20</v>
      </c>
      <c r="B982" t="b">
        <v>0</v>
      </c>
      <c r="C982" t="b">
        <v>0</v>
      </c>
      <c r="D982" s="1">
        <v>2695</v>
      </c>
      <c r="E982" s="1">
        <v>0</v>
      </c>
      <c r="F982" s="1">
        <v>0</v>
      </c>
      <c r="G982" s="1">
        <v>1063</v>
      </c>
      <c r="H982" s="1">
        <v>0</v>
      </c>
      <c r="I982" s="1">
        <v>0</v>
      </c>
      <c r="J982" s="1">
        <f t="shared" si="55"/>
        <v>3758</v>
      </c>
      <c r="K982" s="1">
        <v>3758</v>
      </c>
      <c r="L982" s="1">
        <v>0</v>
      </c>
      <c r="M982" s="1">
        <v>600</v>
      </c>
      <c r="N982" s="1">
        <f t="shared" si="57"/>
        <v>4358</v>
      </c>
      <c r="O982" s="14">
        <v>0</v>
      </c>
      <c r="P982" s="17">
        <f t="shared" si="56"/>
        <v>8116</v>
      </c>
      <c r="Q982" s="1">
        <v>0</v>
      </c>
      <c r="R982" s="1">
        <v>0</v>
      </c>
      <c r="S982" s="20">
        <v>38169</v>
      </c>
      <c r="T982" s="1">
        <v>8116</v>
      </c>
      <c r="U982" s="9">
        <v>3758</v>
      </c>
      <c r="V982" s="9" t="s">
        <v>41</v>
      </c>
    </row>
    <row r="983" spans="1:22" x14ac:dyDescent="0.25">
      <c r="A983" s="10" t="s">
        <v>20</v>
      </c>
      <c r="B983" t="b">
        <v>0</v>
      </c>
      <c r="C983" t="b">
        <v>0</v>
      </c>
      <c r="D983" s="1">
        <v>3695</v>
      </c>
      <c r="E983" s="1">
        <v>0</v>
      </c>
      <c r="F983" s="1">
        <v>0</v>
      </c>
      <c r="G983" s="1">
        <v>1063</v>
      </c>
      <c r="H983" s="1">
        <v>0</v>
      </c>
      <c r="I983" s="1">
        <v>0</v>
      </c>
      <c r="J983" s="1">
        <f t="shared" si="55"/>
        <v>4758</v>
      </c>
      <c r="K983" s="1">
        <v>3190</v>
      </c>
      <c r="L983" s="1">
        <v>0</v>
      </c>
      <c r="M983" s="1">
        <v>1050</v>
      </c>
      <c r="N983" s="1">
        <f t="shared" si="57"/>
        <v>4240</v>
      </c>
      <c r="O983" s="14">
        <v>0</v>
      </c>
      <c r="P983" s="17">
        <f t="shared" si="56"/>
        <v>8998</v>
      </c>
      <c r="Q983" s="1">
        <v>0</v>
      </c>
      <c r="R983" s="1">
        <v>0</v>
      </c>
      <c r="S983" s="20">
        <v>38200</v>
      </c>
      <c r="T983" s="1">
        <v>8998</v>
      </c>
      <c r="U983" s="9">
        <v>4758</v>
      </c>
      <c r="V983" s="9" t="s">
        <v>41</v>
      </c>
    </row>
    <row r="984" spans="1:22" x14ac:dyDescent="0.25">
      <c r="A984" s="10" t="s">
        <v>20</v>
      </c>
      <c r="B984" t="b">
        <v>0</v>
      </c>
      <c r="C984" t="b">
        <v>0</v>
      </c>
      <c r="D984" s="1">
        <v>2123</v>
      </c>
      <c r="E984" s="1">
        <v>0</v>
      </c>
      <c r="F984" s="1">
        <v>0</v>
      </c>
      <c r="G984" s="1">
        <v>900</v>
      </c>
      <c r="H984" s="1">
        <v>0</v>
      </c>
      <c r="I984" s="1">
        <v>0</v>
      </c>
      <c r="J984" s="1">
        <f t="shared" si="55"/>
        <v>3023</v>
      </c>
      <c r="K984" s="1">
        <v>1913</v>
      </c>
      <c r="L984" s="1">
        <v>0</v>
      </c>
      <c r="M984" s="1">
        <v>450</v>
      </c>
      <c r="N984" s="1">
        <f t="shared" si="57"/>
        <v>2363</v>
      </c>
      <c r="O984" s="14">
        <v>0</v>
      </c>
      <c r="P984" s="17">
        <f t="shared" si="56"/>
        <v>5386</v>
      </c>
      <c r="Q984" s="1">
        <v>0</v>
      </c>
      <c r="R984" s="1">
        <v>0</v>
      </c>
      <c r="S984" s="20">
        <v>38231</v>
      </c>
      <c r="T984" s="1">
        <v>5386</v>
      </c>
      <c r="U984" s="9">
        <v>3023</v>
      </c>
      <c r="V984" s="9" t="s">
        <v>41</v>
      </c>
    </row>
    <row r="985" spans="1:22" x14ac:dyDescent="0.25">
      <c r="A985" s="10" t="s">
        <v>20</v>
      </c>
      <c r="B985" t="b">
        <v>0</v>
      </c>
      <c r="C985" t="b">
        <v>0</v>
      </c>
      <c r="D985" s="1">
        <v>518</v>
      </c>
      <c r="E985" s="1">
        <v>0</v>
      </c>
      <c r="F985" s="1">
        <v>0</v>
      </c>
      <c r="G985" s="1">
        <v>620</v>
      </c>
      <c r="H985" s="1">
        <v>0</v>
      </c>
      <c r="I985" s="1">
        <v>0</v>
      </c>
      <c r="J985" s="1">
        <f t="shared" si="55"/>
        <v>1138</v>
      </c>
      <c r="K985" s="1">
        <v>765</v>
      </c>
      <c r="L985" s="1">
        <v>0</v>
      </c>
      <c r="M985" s="1">
        <v>0</v>
      </c>
      <c r="N985" s="1">
        <f t="shared" si="57"/>
        <v>765</v>
      </c>
      <c r="O985" s="14">
        <v>0</v>
      </c>
      <c r="P985" s="17">
        <f t="shared" si="56"/>
        <v>1903</v>
      </c>
      <c r="Q985" s="1">
        <v>0</v>
      </c>
      <c r="R985" s="1">
        <v>0</v>
      </c>
      <c r="S985" s="20">
        <v>38261</v>
      </c>
      <c r="T985" s="1">
        <v>1903</v>
      </c>
      <c r="U985" s="9">
        <v>1138</v>
      </c>
      <c r="V985" s="9" t="s">
        <v>41</v>
      </c>
    </row>
    <row r="986" spans="1:22" x14ac:dyDescent="0.25">
      <c r="A986" s="10" t="s">
        <v>20</v>
      </c>
      <c r="B986" t="b">
        <v>0</v>
      </c>
      <c r="C986" t="b">
        <v>0</v>
      </c>
      <c r="D986" s="1">
        <v>355</v>
      </c>
      <c r="E986" s="1">
        <v>0</v>
      </c>
      <c r="F986" s="1">
        <v>0</v>
      </c>
      <c r="G986" s="1">
        <v>600</v>
      </c>
      <c r="H986" s="1">
        <v>0</v>
      </c>
      <c r="I986" s="1">
        <v>0</v>
      </c>
      <c r="J986" s="1">
        <f t="shared" si="55"/>
        <v>955</v>
      </c>
      <c r="K986" s="1">
        <v>536</v>
      </c>
      <c r="L986" s="1">
        <v>0</v>
      </c>
      <c r="M986" s="1">
        <v>60</v>
      </c>
      <c r="N986" s="1">
        <f t="shared" si="57"/>
        <v>596</v>
      </c>
      <c r="O986" s="14">
        <v>0</v>
      </c>
      <c r="P986" s="17">
        <f t="shared" si="56"/>
        <v>1551</v>
      </c>
      <c r="Q986" s="1">
        <v>0</v>
      </c>
      <c r="R986" s="1">
        <v>0</v>
      </c>
      <c r="S986" s="20">
        <v>38292</v>
      </c>
      <c r="T986" s="1">
        <v>1551</v>
      </c>
      <c r="U986" s="9">
        <v>955</v>
      </c>
      <c r="V986" s="9" t="s">
        <v>41</v>
      </c>
    </row>
    <row r="987" spans="1:22" x14ac:dyDescent="0.25">
      <c r="A987" s="10" t="s">
        <v>20</v>
      </c>
      <c r="B987" t="b">
        <v>0</v>
      </c>
      <c r="C987" t="b">
        <v>0</v>
      </c>
      <c r="D987" s="1">
        <v>198</v>
      </c>
      <c r="E987" s="1">
        <v>0</v>
      </c>
      <c r="F987" s="1">
        <v>0</v>
      </c>
      <c r="G987" s="1">
        <v>620</v>
      </c>
      <c r="H987" s="1">
        <v>0</v>
      </c>
      <c r="I987" s="1">
        <v>0</v>
      </c>
      <c r="J987" s="1">
        <f t="shared" si="55"/>
        <v>818</v>
      </c>
      <c r="K987" s="1">
        <v>153</v>
      </c>
      <c r="L987" s="1">
        <v>0</v>
      </c>
      <c r="M987" s="1">
        <v>0</v>
      </c>
      <c r="N987" s="1">
        <f t="shared" si="57"/>
        <v>153</v>
      </c>
      <c r="O987" s="14">
        <v>0</v>
      </c>
      <c r="P987" s="17">
        <f t="shared" si="56"/>
        <v>971</v>
      </c>
      <c r="Q987" s="1">
        <v>0</v>
      </c>
      <c r="R987" s="1">
        <v>0</v>
      </c>
      <c r="S987" s="20">
        <v>38322</v>
      </c>
      <c r="T987" s="1">
        <v>971</v>
      </c>
      <c r="U987" s="9">
        <v>818</v>
      </c>
      <c r="V987" s="9" t="s">
        <v>41</v>
      </c>
    </row>
    <row r="988" spans="1:22" x14ac:dyDescent="0.25">
      <c r="A988" s="10" t="s">
        <v>20</v>
      </c>
      <c r="B988" t="b">
        <v>0</v>
      </c>
      <c r="C988" t="b">
        <v>0</v>
      </c>
      <c r="D988" s="1">
        <v>208</v>
      </c>
      <c r="E988" s="1">
        <v>0</v>
      </c>
      <c r="F988" s="1">
        <v>0</v>
      </c>
      <c r="G988" s="1">
        <v>620</v>
      </c>
      <c r="H988" s="1">
        <v>0</v>
      </c>
      <c r="I988" s="1">
        <v>0</v>
      </c>
      <c r="J988" s="1">
        <f t="shared" si="55"/>
        <v>828</v>
      </c>
      <c r="K988" s="1">
        <v>599</v>
      </c>
      <c r="L988" s="1">
        <v>0</v>
      </c>
      <c r="M988" s="1">
        <v>0</v>
      </c>
      <c r="N988" s="1">
        <f t="shared" si="57"/>
        <v>599</v>
      </c>
      <c r="O988" s="14">
        <v>0</v>
      </c>
      <c r="P988" s="17">
        <f t="shared" si="56"/>
        <v>1427</v>
      </c>
      <c r="Q988" s="1">
        <v>0</v>
      </c>
      <c r="R988" s="1">
        <v>0</v>
      </c>
      <c r="S988" s="20">
        <v>38353</v>
      </c>
      <c r="T988" s="1">
        <v>1427</v>
      </c>
      <c r="U988" s="9">
        <v>828</v>
      </c>
      <c r="V988" s="9" t="s">
        <v>21</v>
      </c>
    </row>
    <row r="989" spans="1:22" x14ac:dyDescent="0.25">
      <c r="A989" s="10" t="s">
        <v>20</v>
      </c>
      <c r="B989" t="b">
        <v>0</v>
      </c>
      <c r="C989" t="b">
        <v>0</v>
      </c>
      <c r="D989" s="1">
        <v>310</v>
      </c>
      <c r="E989" s="1">
        <v>0</v>
      </c>
      <c r="F989" s="1">
        <v>0</v>
      </c>
      <c r="G989" s="1">
        <v>10</v>
      </c>
      <c r="H989" s="1">
        <v>0</v>
      </c>
      <c r="I989" s="1">
        <v>0</v>
      </c>
      <c r="J989" s="1">
        <f t="shared" si="55"/>
        <v>320</v>
      </c>
      <c r="K989" s="1">
        <v>576</v>
      </c>
      <c r="L989" s="1">
        <v>0</v>
      </c>
      <c r="M989" s="1">
        <v>0</v>
      </c>
      <c r="N989" s="1">
        <f t="shared" si="57"/>
        <v>576</v>
      </c>
      <c r="O989" s="14">
        <v>0</v>
      </c>
      <c r="P989" s="17">
        <f t="shared" si="56"/>
        <v>896</v>
      </c>
      <c r="Q989" s="1">
        <v>0</v>
      </c>
      <c r="R989" s="1">
        <v>0</v>
      </c>
      <c r="S989" s="20">
        <v>38384</v>
      </c>
      <c r="T989" s="1">
        <v>896</v>
      </c>
      <c r="U989" s="9">
        <v>320</v>
      </c>
      <c r="V989" s="9" t="s">
        <v>21</v>
      </c>
    </row>
    <row r="990" spans="1:22" x14ac:dyDescent="0.25">
      <c r="A990" s="10" t="s">
        <v>20</v>
      </c>
      <c r="B990" t="b">
        <v>0</v>
      </c>
      <c r="C990" t="b">
        <v>0</v>
      </c>
      <c r="D990" s="1">
        <v>695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f t="shared" si="55"/>
        <v>695</v>
      </c>
      <c r="K990" s="1">
        <v>918</v>
      </c>
      <c r="L990" s="1">
        <v>0</v>
      </c>
      <c r="M990" s="1">
        <v>0</v>
      </c>
      <c r="N990" s="1">
        <f t="shared" si="57"/>
        <v>918</v>
      </c>
      <c r="O990" s="14">
        <v>0</v>
      </c>
      <c r="P990" s="17">
        <f t="shared" si="56"/>
        <v>1613</v>
      </c>
      <c r="Q990" s="1">
        <v>0</v>
      </c>
      <c r="R990" s="1">
        <v>0</v>
      </c>
      <c r="S990" s="20">
        <v>38412</v>
      </c>
      <c r="T990" s="1">
        <v>1613</v>
      </c>
      <c r="U990" s="9">
        <v>695</v>
      </c>
      <c r="V990" s="9" t="s">
        <v>21</v>
      </c>
    </row>
    <row r="991" spans="1:22" x14ac:dyDescent="0.25">
      <c r="A991" s="10" t="s">
        <v>20</v>
      </c>
      <c r="B991" t="b">
        <v>0</v>
      </c>
      <c r="C991" t="b">
        <v>0</v>
      </c>
      <c r="D991" s="1">
        <v>585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f t="shared" si="55"/>
        <v>585</v>
      </c>
      <c r="K991" s="1">
        <v>805</v>
      </c>
      <c r="L991" s="1">
        <v>0</v>
      </c>
      <c r="M991" s="1">
        <v>0</v>
      </c>
      <c r="N991" s="1">
        <f t="shared" si="57"/>
        <v>805</v>
      </c>
      <c r="O991" s="14">
        <v>0</v>
      </c>
      <c r="P991" s="17">
        <f t="shared" si="56"/>
        <v>1390</v>
      </c>
      <c r="Q991" s="1">
        <v>0</v>
      </c>
      <c r="R991" s="1">
        <v>0</v>
      </c>
      <c r="S991" s="20">
        <v>38443</v>
      </c>
      <c r="T991" s="1">
        <v>1390</v>
      </c>
      <c r="U991" s="9">
        <v>585</v>
      </c>
      <c r="V991" s="9" t="s">
        <v>21</v>
      </c>
    </row>
    <row r="992" spans="1:22" x14ac:dyDescent="0.25">
      <c r="A992" s="10" t="s">
        <v>20</v>
      </c>
      <c r="B992" t="b">
        <v>0</v>
      </c>
      <c r="C992" t="b">
        <v>0</v>
      </c>
      <c r="D992" s="1">
        <v>1553</v>
      </c>
      <c r="E992" s="1">
        <v>0</v>
      </c>
      <c r="F992" s="1">
        <v>0</v>
      </c>
      <c r="G992" s="1">
        <v>930</v>
      </c>
      <c r="H992" s="1">
        <v>0</v>
      </c>
      <c r="I992" s="1">
        <v>0</v>
      </c>
      <c r="J992" s="1">
        <f t="shared" si="55"/>
        <v>2483</v>
      </c>
      <c r="K992" s="1">
        <v>924</v>
      </c>
      <c r="L992" s="1">
        <v>0</v>
      </c>
      <c r="M992" s="1">
        <v>0</v>
      </c>
      <c r="N992" s="1">
        <f t="shared" si="57"/>
        <v>924</v>
      </c>
      <c r="O992" s="14">
        <v>0</v>
      </c>
      <c r="P992" s="17">
        <f t="shared" si="56"/>
        <v>3407</v>
      </c>
      <c r="Q992" s="1">
        <v>0</v>
      </c>
      <c r="R992" s="1">
        <v>0</v>
      </c>
      <c r="S992" s="20">
        <v>38473</v>
      </c>
      <c r="T992" s="1">
        <v>3407</v>
      </c>
      <c r="U992" s="9">
        <v>2483</v>
      </c>
      <c r="V992" s="9" t="s">
        <v>21</v>
      </c>
    </row>
    <row r="993" spans="1:22" x14ac:dyDescent="0.25">
      <c r="A993" s="10" t="s">
        <v>20</v>
      </c>
      <c r="B993" t="b">
        <v>0</v>
      </c>
      <c r="C993" t="b">
        <v>0</v>
      </c>
      <c r="D993" s="1">
        <v>1510</v>
      </c>
      <c r="E993" s="1">
        <v>0</v>
      </c>
      <c r="F993" s="1">
        <v>0</v>
      </c>
      <c r="G993" s="1">
        <v>548</v>
      </c>
      <c r="H993" s="1">
        <v>0</v>
      </c>
      <c r="I993" s="1">
        <v>0</v>
      </c>
      <c r="J993" s="1">
        <f t="shared" si="55"/>
        <v>2058</v>
      </c>
      <c r="K993" s="1">
        <v>1729</v>
      </c>
      <c r="L993" s="1">
        <v>0</v>
      </c>
      <c r="M993" s="1">
        <v>150</v>
      </c>
      <c r="N993" s="1">
        <f t="shared" si="57"/>
        <v>1879</v>
      </c>
      <c r="O993" s="14">
        <v>0</v>
      </c>
      <c r="P993" s="17">
        <f t="shared" si="56"/>
        <v>3937</v>
      </c>
      <c r="Q993" s="1">
        <v>0</v>
      </c>
      <c r="R993" s="1">
        <v>0</v>
      </c>
      <c r="S993" s="20">
        <v>38504</v>
      </c>
      <c r="T993" s="1">
        <v>3937</v>
      </c>
      <c r="U993" s="9">
        <v>2058</v>
      </c>
      <c r="V993" s="9" t="s">
        <v>21</v>
      </c>
    </row>
    <row r="994" spans="1:22" x14ac:dyDescent="0.25">
      <c r="A994" s="10" t="s">
        <v>20</v>
      </c>
      <c r="B994" t="b">
        <v>0</v>
      </c>
      <c r="C994" t="b">
        <v>0</v>
      </c>
      <c r="D994" s="1">
        <v>2695</v>
      </c>
      <c r="E994" s="1">
        <v>0</v>
      </c>
      <c r="F994" s="1">
        <v>0</v>
      </c>
      <c r="G994" s="1">
        <v>1063</v>
      </c>
      <c r="H994" s="1">
        <v>77</v>
      </c>
      <c r="I994" s="1">
        <v>0</v>
      </c>
      <c r="J994" s="1">
        <f t="shared" si="55"/>
        <v>3835</v>
      </c>
      <c r="K994" s="1">
        <v>2891</v>
      </c>
      <c r="L994" s="1">
        <v>0</v>
      </c>
      <c r="M994" s="1">
        <v>100</v>
      </c>
      <c r="N994" s="1">
        <f t="shared" si="57"/>
        <v>2991</v>
      </c>
      <c r="O994" s="14">
        <v>0</v>
      </c>
      <c r="P994" s="17">
        <f t="shared" si="56"/>
        <v>6826</v>
      </c>
      <c r="Q994" s="1">
        <v>0</v>
      </c>
      <c r="R994" s="1">
        <v>0</v>
      </c>
      <c r="S994" s="20">
        <v>38534</v>
      </c>
      <c r="T994" s="1">
        <v>6825</v>
      </c>
      <c r="U994" s="9">
        <v>3835</v>
      </c>
      <c r="V994" s="9" t="s">
        <v>21</v>
      </c>
    </row>
    <row r="995" spans="1:22" x14ac:dyDescent="0.25">
      <c r="A995" s="10" t="s">
        <v>20</v>
      </c>
      <c r="B995" t="b">
        <v>0</v>
      </c>
      <c r="C995" t="b">
        <v>0</v>
      </c>
      <c r="D995" s="1">
        <v>2695</v>
      </c>
      <c r="E995" s="1">
        <v>0</v>
      </c>
      <c r="F995" s="1">
        <v>0</v>
      </c>
      <c r="G995" s="1">
        <v>1063</v>
      </c>
      <c r="H995" s="1">
        <v>66</v>
      </c>
      <c r="I995" s="1">
        <v>0</v>
      </c>
      <c r="J995" s="1">
        <f t="shared" si="55"/>
        <v>3824</v>
      </c>
      <c r="K995" s="1">
        <v>2037</v>
      </c>
      <c r="L995" s="1">
        <v>0</v>
      </c>
      <c r="M995" s="1">
        <v>0</v>
      </c>
      <c r="N995" s="1">
        <f t="shared" si="57"/>
        <v>2037</v>
      </c>
      <c r="O995" s="14">
        <v>0</v>
      </c>
      <c r="P995" s="17">
        <f t="shared" si="56"/>
        <v>5861</v>
      </c>
      <c r="Q995" s="1">
        <v>0</v>
      </c>
      <c r="R995" s="1">
        <v>0</v>
      </c>
      <c r="S995" s="20">
        <v>38565</v>
      </c>
      <c r="T995" s="1">
        <v>5861</v>
      </c>
      <c r="U995" s="9">
        <v>3824</v>
      </c>
      <c r="V995" s="9" t="s">
        <v>21</v>
      </c>
    </row>
    <row r="996" spans="1:22" x14ac:dyDescent="0.25">
      <c r="A996" s="10" t="s">
        <v>20</v>
      </c>
      <c r="B996" t="b">
        <v>0</v>
      </c>
      <c r="C996" t="b">
        <v>0</v>
      </c>
      <c r="D996" s="1">
        <v>1173</v>
      </c>
      <c r="E996" s="1">
        <v>0</v>
      </c>
      <c r="F996" s="1">
        <v>0</v>
      </c>
      <c r="G996" s="1">
        <v>150</v>
      </c>
      <c r="H996" s="1">
        <v>51</v>
      </c>
      <c r="I996" s="1">
        <v>0</v>
      </c>
      <c r="J996" s="1">
        <f t="shared" si="55"/>
        <v>1374</v>
      </c>
      <c r="K996" s="1">
        <v>977</v>
      </c>
      <c r="L996" s="1">
        <v>0</v>
      </c>
      <c r="M996" s="1">
        <v>0</v>
      </c>
      <c r="N996" s="1">
        <f t="shared" si="57"/>
        <v>977</v>
      </c>
      <c r="O996" s="14">
        <v>0</v>
      </c>
      <c r="P996" s="17">
        <f t="shared" si="56"/>
        <v>2351</v>
      </c>
      <c r="Q996" s="1">
        <v>0</v>
      </c>
      <c r="R996" s="1">
        <v>0</v>
      </c>
      <c r="S996" s="20">
        <v>38596</v>
      </c>
      <c r="T996" s="1">
        <v>2351</v>
      </c>
      <c r="U996" s="9">
        <v>1374</v>
      </c>
      <c r="V996" s="9" t="s">
        <v>21</v>
      </c>
    </row>
    <row r="997" spans="1:22" x14ac:dyDescent="0.25">
      <c r="A997" s="10" t="s">
        <v>20</v>
      </c>
      <c r="B997" t="b">
        <v>0</v>
      </c>
      <c r="C997" t="b">
        <v>0</v>
      </c>
      <c r="D997" s="1">
        <v>633</v>
      </c>
      <c r="E997" s="1">
        <v>0</v>
      </c>
      <c r="F997" s="1">
        <v>0</v>
      </c>
      <c r="G997" s="1">
        <v>0</v>
      </c>
      <c r="H997" s="1">
        <v>473</v>
      </c>
      <c r="I997" s="1">
        <v>0</v>
      </c>
      <c r="J997" s="1">
        <f t="shared" si="55"/>
        <v>1106</v>
      </c>
      <c r="K997" s="1">
        <v>0</v>
      </c>
      <c r="L997" s="1">
        <v>0</v>
      </c>
      <c r="M997" s="1">
        <v>0</v>
      </c>
      <c r="N997" s="1">
        <f t="shared" si="57"/>
        <v>0</v>
      </c>
      <c r="O997" s="14">
        <v>0</v>
      </c>
      <c r="P997" s="17">
        <f t="shared" si="56"/>
        <v>1106</v>
      </c>
      <c r="Q997" s="1">
        <v>0</v>
      </c>
      <c r="R997" s="1">
        <v>0</v>
      </c>
      <c r="S997" s="20">
        <v>38626</v>
      </c>
      <c r="T997" s="1">
        <v>1106</v>
      </c>
      <c r="U997" s="9">
        <v>1106</v>
      </c>
      <c r="V997" s="9" t="s">
        <v>21</v>
      </c>
    </row>
    <row r="998" spans="1:22" x14ac:dyDescent="0.25">
      <c r="A998" s="10" t="s">
        <v>20</v>
      </c>
      <c r="B998" t="b">
        <v>0</v>
      </c>
      <c r="C998" t="b">
        <v>0</v>
      </c>
      <c r="D998" s="1">
        <v>315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f t="shared" si="55"/>
        <v>315</v>
      </c>
      <c r="K998" s="1">
        <v>252</v>
      </c>
      <c r="L998" s="1">
        <v>0</v>
      </c>
      <c r="M998" s="1">
        <v>0</v>
      </c>
      <c r="N998" s="1">
        <f t="shared" si="57"/>
        <v>252</v>
      </c>
      <c r="O998" s="14">
        <v>0</v>
      </c>
      <c r="P998" s="17">
        <f t="shared" si="56"/>
        <v>567</v>
      </c>
      <c r="Q998" s="1">
        <v>0</v>
      </c>
      <c r="R998" s="1">
        <v>0</v>
      </c>
      <c r="S998" s="20">
        <v>38657</v>
      </c>
      <c r="T998" s="1">
        <v>567</v>
      </c>
      <c r="U998" s="9">
        <v>315</v>
      </c>
      <c r="V998" s="9" t="s">
        <v>21</v>
      </c>
    </row>
    <row r="999" spans="1:22" x14ac:dyDescent="0.25">
      <c r="A999" s="10" t="s">
        <v>20</v>
      </c>
      <c r="B999" t="b">
        <v>0</v>
      </c>
      <c r="C999" t="b">
        <v>0</v>
      </c>
      <c r="D999" s="1">
        <v>133</v>
      </c>
      <c r="E999" s="1">
        <v>0</v>
      </c>
      <c r="F999" s="1">
        <v>0</v>
      </c>
      <c r="G999" s="1">
        <v>732</v>
      </c>
      <c r="H999" s="1">
        <v>0</v>
      </c>
      <c r="I999" s="1">
        <v>0</v>
      </c>
      <c r="J999" s="1">
        <f t="shared" si="55"/>
        <v>865</v>
      </c>
      <c r="K999" s="1">
        <v>167</v>
      </c>
      <c r="L999" s="1">
        <v>0</v>
      </c>
      <c r="M999" s="1">
        <v>0</v>
      </c>
      <c r="N999" s="1">
        <f t="shared" si="57"/>
        <v>167</v>
      </c>
      <c r="O999" s="14">
        <v>0</v>
      </c>
      <c r="P999" s="17">
        <f t="shared" si="56"/>
        <v>1032</v>
      </c>
      <c r="Q999" s="1">
        <v>0</v>
      </c>
      <c r="R999" s="1">
        <v>0</v>
      </c>
      <c r="S999" s="20">
        <v>38687</v>
      </c>
      <c r="T999" s="1">
        <v>1032</v>
      </c>
      <c r="U999" s="9">
        <v>865</v>
      </c>
      <c r="V999" s="9" t="s">
        <v>21</v>
      </c>
    </row>
    <row r="1000" spans="1:22" x14ac:dyDescent="0.25">
      <c r="A1000" s="10" t="s">
        <v>20</v>
      </c>
      <c r="B1000" t="b">
        <v>0</v>
      </c>
      <c r="C1000" t="b">
        <v>0</v>
      </c>
      <c r="D1000" s="1">
        <v>230</v>
      </c>
      <c r="E1000" s="1">
        <v>0</v>
      </c>
      <c r="F1000" s="1">
        <v>0</v>
      </c>
      <c r="G1000" s="1">
        <v>2328</v>
      </c>
      <c r="H1000" s="1">
        <v>0</v>
      </c>
      <c r="I1000" s="1">
        <v>0</v>
      </c>
      <c r="J1000" s="1">
        <f t="shared" si="55"/>
        <v>2558</v>
      </c>
      <c r="K1000" s="1">
        <v>180</v>
      </c>
      <c r="L1000" s="1">
        <v>0</v>
      </c>
      <c r="M1000" s="1">
        <v>0</v>
      </c>
      <c r="N1000" s="1">
        <f t="shared" si="57"/>
        <v>180</v>
      </c>
      <c r="O1000" s="14">
        <v>0</v>
      </c>
      <c r="P1000" s="17">
        <f t="shared" si="56"/>
        <v>2738</v>
      </c>
      <c r="Q1000" s="1">
        <v>0</v>
      </c>
      <c r="R1000" s="1">
        <v>0</v>
      </c>
      <c r="S1000" s="20">
        <v>38718</v>
      </c>
      <c r="T1000" s="1">
        <v>2738</v>
      </c>
      <c r="U1000" s="9">
        <v>2558</v>
      </c>
      <c r="V1000" s="9" t="s">
        <v>21</v>
      </c>
    </row>
    <row r="1001" spans="1:22" x14ac:dyDescent="0.25">
      <c r="A1001" s="10" t="s">
        <v>20</v>
      </c>
      <c r="B1001" t="b">
        <v>0</v>
      </c>
      <c r="C1001" t="b">
        <v>0</v>
      </c>
      <c r="D1001" s="1">
        <v>283</v>
      </c>
      <c r="E1001" s="1">
        <v>0</v>
      </c>
      <c r="F1001" s="1">
        <v>0</v>
      </c>
      <c r="G1001" s="1">
        <v>2368</v>
      </c>
      <c r="H1001" s="1">
        <v>0</v>
      </c>
      <c r="I1001" s="1">
        <v>0</v>
      </c>
      <c r="J1001" s="1">
        <f t="shared" si="55"/>
        <v>2651</v>
      </c>
      <c r="K1001" s="1">
        <v>329</v>
      </c>
      <c r="L1001" s="1">
        <v>0</v>
      </c>
      <c r="M1001" s="1">
        <v>0</v>
      </c>
      <c r="N1001" s="1">
        <f t="shared" si="57"/>
        <v>329</v>
      </c>
      <c r="O1001" s="14">
        <v>0</v>
      </c>
      <c r="P1001" s="17">
        <f t="shared" si="56"/>
        <v>2980</v>
      </c>
      <c r="Q1001" s="1">
        <v>0</v>
      </c>
      <c r="R1001" s="1">
        <v>0</v>
      </c>
      <c r="S1001" s="20">
        <v>38749</v>
      </c>
      <c r="T1001" s="1">
        <v>2980</v>
      </c>
      <c r="U1001" s="9">
        <v>2651</v>
      </c>
      <c r="V1001" s="9" t="s">
        <v>21</v>
      </c>
    </row>
    <row r="1002" spans="1:22" x14ac:dyDescent="0.25">
      <c r="A1002" s="10" t="s">
        <v>20</v>
      </c>
      <c r="B1002" t="b">
        <v>0</v>
      </c>
      <c r="C1002" t="b">
        <v>0</v>
      </c>
      <c r="D1002" s="1">
        <v>360</v>
      </c>
      <c r="E1002" s="1">
        <v>0</v>
      </c>
      <c r="F1002" s="1">
        <v>0</v>
      </c>
      <c r="G1002" s="1">
        <v>2180</v>
      </c>
      <c r="H1002" s="1">
        <v>0</v>
      </c>
      <c r="I1002" s="1">
        <v>0</v>
      </c>
      <c r="J1002" s="1">
        <f t="shared" si="55"/>
        <v>2540</v>
      </c>
      <c r="K1002" s="1">
        <v>302</v>
      </c>
      <c r="L1002" s="1">
        <v>0</v>
      </c>
      <c r="M1002" s="1">
        <v>0</v>
      </c>
      <c r="N1002" s="1">
        <f t="shared" si="57"/>
        <v>302</v>
      </c>
      <c r="O1002" s="14">
        <v>0</v>
      </c>
      <c r="P1002" s="17">
        <f t="shared" si="56"/>
        <v>2842</v>
      </c>
      <c r="Q1002" s="1">
        <v>0</v>
      </c>
      <c r="R1002" s="1">
        <v>0</v>
      </c>
      <c r="S1002" s="20">
        <v>38777</v>
      </c>
      <c r="T1002" s="1">
        <v>2842</v>
      </c>
      <c r="U1002" s="9">
        <v>2540</v>
      </c>
      <c r="V1002" s="9" t="s">
        <v>21</v>
      </c>
    </row>
    <row r="1003" spans="1:22" x14ac:dyDescent="0.25">
      <c r="A1003" s="10" t="s">
        <v>20</v>
      </c>
      <c r="B1003" t="b">
        <v>0</v>
      </c>
      <c r="C1003" t="b">
        <v>0</v>
      </c>
      <c r="D1003" s="1">
        <v>493</v>
      </c>
      <c r="E1003" s="1">
        <v>0</v>
      </c>
      <c r="F1003" s="1">
        <v>0</v>
      </c>
      <c r="G1003" s="1">
        <v>3188</v>
      </c>
      <c r="H1003" s="1">
        <v>0</v>
      </c>
      <c r="I1003" s="1">
        <v>0</v>
      </c>
      <c r="J1003" s="1">
        <f t="shared" si="55"/>
        <v>3681</v>
      </c>
      <c r="K1003" s="1">
        <v>651</v>
      </c>
      <c r="L1003" s="1">
        <v>0</v>
      </c>
      <c r="M1003" s="1">
        <v>0</v>
      </c>
      <c r="N1003" s="1">
        <f t="shared" si="57"/>
        <v>651</v>
      </c>
      <c r="O1003" s="14">
        <v>0</v>
      </c>
      <c r="P1003" s="17">
        <f t="shared" si="56"/>
        <v>4332</v>
      </c>
      <c r="Q1003" s="1">
        <v>0</v>
      </c>
      <c r="R1003" s="1">
        <v>0</v>
      </c>
      <c r="S1003" s="20">
        <v>38808</v>
      </c>
      <c r="T1003" s="1">
        <v>4332</v>
      </c>
      <c r="U1003" s="9">
        <v>3681</v>
      </c>
      <c r="V1003" s="9" t="s">
        <v>21</v>
      </c>
    </row>
    <row r="1004" spans="1:22" x14ac:dyDescent="0.25">
      <c r="A1004" s="10" t="s">
        <v>20</v>
      </c>
      <c r="B1004" t="b">
        <v>0</v>
      </c>
      <c r="C1004" t="b">
        <v>0</v>
      </c>
      <c r="D1004" s="1">
        <v>1028</v>
      </c>
      <c r="E1004" s="1">
        <v>0</v>
      </c>
      <c r="F1004" s="1">
        <v>0</v>
      </c>
      <c r="G1004" s="1">
        <v>3990</v>
      </c>
      <c r="H1004" s="1">
        <v>0</v>
      </c>
      <c r="I1004" s="1">
        <v>0</v>
      </c>
      <c r="J1004" s="1">
        <f t="shared" si="55"/>
        <v>5018</v>
      </c>
      <c r="K1004" s="1">
        <v>510</v>
      </c>
      <c r="L1004" s="1">
        <v>0</v>
      </c>
      <c r="M1004" s="1">
        <v>0</v>
      </c>
      <c r="N1004" s="1">
        <f t="shared" si="57"/>
        <v>510</v>
      </c>
      <c r="O1004" s="14">
        <v>0</v>
      </c>
      <c r="P1004" s="17">
        <f t="shared" si="56"/>
        <v>5528</v>
      </c>
      <c r="Q1004" s="1">
        <v>0</v>
      </c>
      <c r="R1004" s="1">
        <v>0</v>
      </c>
      <c r="S1004" s="20">
        <v>38838</v>
      </c>
      <c r="T1004" s="1">
        <v>5528</v>
      </c>
      <c r="U1004" s="9">
        <v>5018</v>
      </c>
      <c r="V1004" s="9" t="s">
        <v>21</v>
      </c>
    </row>
    <row r="1005" spans="1:22" x14ac:dyDescent="0.25">
      <c r="A1005" s="10" t="s">
        <v>20</v>
      </c>
      <c r="B1005" t="b">
        <v>0</v>
      </c>
      <c r="C1005" t="b">
        <v>0</v>
      </c>
      <c r="D1005" s="1">
        <v>2268</v>
      </c>
      <c r="E1005" s="1">
        <v>0</v>
      </c>
      <c r="F1005" s="1">
        <v>0</v>
      </c>
      <c r="G1005" s="1">
        <v>4332</v>
      </c>
      <c r="H1005" s="1">
        <v>0</v>
      </c>
      <c r="I1005" s="1">
        <v>0</v>
      </c>
      <c r="J1005" s="1">
        <f t="shared" si="55"/>
        <v>6600</v>
      </c>
      <c r="K1005" s="1">
        <v>2301</v>
      </c>
      <c r="L1005" s="1">
        <v>0</v>
      </c>
      <c r="M1005" s="1">
        <v>0</v>
      </c>
      <c r="N1005" s="1">
        <f t="shared" si="57"/>
        <v>2301</v>
      </c>
      <c r="O1005" s="14">
        <v>0</v>
      </c>
      <c r="P1005" s="17">
        <f t="shared" si="56"/>
        <v>8901</v>
      </c>
      <c r="Q1005" s="1">
        <v>0</v>
      </c>
      <c r="R1005" s="1">
        <v>0</v>
      </c>
      <c r="S1005" s="20">
        <v>38869</v>
      </c>
      <c r="T1005" s="1">
        <v>8901</v>
      </c>
      <c r="U1005" s="9">
        <v>6600</v>
      </c>
      <c r="V1005" s="9" t="s">
        <v>21</v>
      </c>
    </row>
    <row r="1006" spans="1:22" x14ac:dyDescent="0.25">
      <c r="A1006" s="10" t="s">
        <v>20</v>
      </c>
      <c r="B1006" t="b">
        <v>0</v>
      </c>
      <c r="C1006" t="b">
        <v>0</v>
      </c>
      <c r="D1006" s="1">
        <v>2695</v>
      </c>
      <c r="E1006" s="1">
        <v>0</v>
      </c>
      <c r="F1006" s="1">
        <v>0</v>
      </c>
      <c r="G1006" s="1">
        <v>1063</v>
      </c>
      <c r="H1006" s="1">
        <v>0</v>
      </c>
      <c r="I1006" s="1">
        <v>0</v>
      </c>
      <c r="J1006" s="1">
        <f t="shared" si="55"/>
        <v>3758</v>
      </c>
      <c r="K1006" s="1">
        <v>3467</v>
      </c>
      <c r="L1006" s="1">
        <v>0</v>
      </c>
      <c r="M1006" s="1">
        <v>0</v>
      </c>
      <c r="N1006" s="1">
        <f t="shared" si="57"/>
        <v>3467</v>
      </c>
      <c r="O1006" s="14">
        <v>0</v>
      </c>
      <c r="P1006" s="17">
        <f t="shared" si="56"/>
        <v>7225</v>
      </c>
      <c r="Q1006" s="1">
        <v>0</v>
      </c>
      <c r="R1006" s="1">
        <v>0</v>
      </c>
      <c r="S1006" s="20">
        <v>38899</v>
      </c>
      <c r="T1006" s="1">
        <v>7225</v>
      </c>
      <c r="U1006" s="9">
        <v>3758</v>
      </c>
      <c r="V1006" s="9" t="s">
        <v>21</v>
      </c>
    </row>
    <row r="1007" spans="1:22" x14ac:dyDescent="0.25">
      <c r="A1007" s="10" t="s">
        <v>20</v>
      </c>
      <c r="B1007" t="b">
        <v>0</v>
      </c>
      <c r="C1007" t="b">
        <v>0</v>
      </c>
      <c r="D1007" s="1">
        <v>2695</v>
      </c>
      <c r="E1007" s="1">
        <v>0</v>
      </c>
      <c r="F1007" s="1">
        <v>0</v>
      </c>
      <c r="G1007" s="1">
        <v>1063</v>
      </c>
      <c r="H1007" s="1">
        <v>0</v>
      </c>
      <c r="I1007" s="1">
        <v>0</v>
      </c>
      <c r="J1007" s="1">
        <f t="shared" si="55"/>
        <v>3758</v>
      </c>
      <c r="K1007" s="1">
        <v>3216</v>
      </c>
      <c r="L1007" s="1">
        <v>0</v>
      </c>
      <c r="M1007" s="1">
        <v>0</v>
      </c>
      <c r="N1007" s="1">
        <f t="shared" si="57"/>
        <v>3216</v>
      </c>
      <c r="O1007" s="14">
        <v>0</v>
      </c>
      <c r="P1007" s="17">
        <f t="shared" si="56"/>
        <v>6974</v>
      </c>
      <c r="Q1007" s="1">
        <v>0</v>
      </c>
      <c r="R1007" s="1">
        <v>0</v>
      </c>
      <c r="S1007" s="20">
        <v>38930</v>
      </c>
      <c r="T1007" s="1">
        <v>6974</v>
      </c>
      <c r="U1007" s="9">
        <v>3758</v>
      </c>
      <c r="V1007" s="9" t="s">
        <v>21</v>
      </c>
    </row>
    <row r="1008" spans="1:22" x14ac:dyDescent="0.25">
      <c r="A1008" s="10" t="s">
        <v>20</v>
      </c>
      <c r="B1008" t="b">
        <v>0</v>
      </c>
      <c r="C1008" t="b">
        <v>0</v>
      </c>
      <c r="D1008" s="1">
        <v>1548</v>
      </c>
      <c r="E1008" s="1">
        <v>0</v>
      </c>
      <c r="F1008" s="1">
        <v>0</v>
      </c>
      <c r="G1008" s="1">
        <v>3370</v>
      </c>
      <c r="H1008" s="1">
        <v>0</v>
      </c>
      <c r="I1008" s="1">
        <v>0</v>
      </c>
      <c r="J1008" s="1">
        <f t="shared" si="55"/>
        <v>4918</v>
      </c>
      <c r="K1008" s="1">
        <v>2399</v>
      </c>
      <c r="L1008" s="1">
        <v>0</v>
      </c>
      <c r="M1008" s="1">
        <v>0</v>
      </c>
      <c r="N1008" s="1">
        <f t="shared" si="57"/>
        <v>2399</v>
      </c>
      <c r="O1008" s="14">
        <v>0</v>
      </c>
      <c r="P1008" s="17">
        <f t="shared" si="56"/>
        <v>7317</v>
      </c>
      <c r="Q1008" s="1">
        <v>0</v>
      </c>
      <c r="R1008" s="1">
        <v>0</v>
      </c>
      <c r="S1008" s="20">
        <v>38961</v>
      </c>
      <c r="T1008" s="1">
        <v>7317</v>
      </c>
      <c r="U1008" s="9">
        <v>4918</v>
      </c>
      <c r="V1008" s="9" t="s">
        <v>21</v>
      </c>
    </row>
    <row r="1009" spans="1:22" x14ac:dyDescent="0.25">
      <c r="A1009" s="10" t="s">
        <v>20</v>
      </c>
      <c r="B1009" t="b">
        <v>0</v>
      </c>
      <c r="C1009" t="b">
        <v>0</v>
      </c>
      <c r="D1009" s="1">
        <v>730</v>
      </c>
      <c r="E1009" s="1">
        <v>0</v>
      </c>
      <c r="F1009" s="1">
        <v>0</v>
      </c>
      <c r="G1009" s="1">
        <v>2978</v>
      </c>
      <c r="H1009" s="1">
        <v>0</v>
      </c>
      <c r="I1009" s="1">
        <v>0</v>
      </c>
      <c r="J1009" s="1">
        <f t="shared" si="55"/>
        <v>3708</v>
      </c>
      <c r="K1009" s="1">
        <v>945</v>
      </c>
      <c r="L1009" s="1">
        <v>0</v>
      </c>
      <c r="M1009" s="1">
        <v>0</v>
      </c>
      <c r="N1009" s="1">
        <f t="shared" si="57"/>
        <v>945</v>
      </c>
      <c r="O1009" s="14">
        <v>0</v>
      </c>
      <c r="P1009" s="17">
        <f t="shared" si="56"/>
        <v>4653</v>
      </c>
      <c r="Q1009" s="1">
        <v>0</v>
      </c>
      <c r="R1009" s="1">
        <v>0</v>
      </c>
      <c r="S1009" s="20">
        <v>38991</v>
      </c>
      <c r="T1009" s="1">
        <v>4653</v>
      </c>
      <c r="U1009" s="9">
        <v>3708</v>
      </c>
      <c r="V1009" s="9" t="s">
        <v>21</v>
      </c>
    </row>
    <row r="1010" spans="1:22" x14ac:dyDescent="0.25">
      <c r="A1010" s="10" t="s">
        <v>20</v>
      </c>
      <c r="B1010" t="b">
        <v>0</v>
      </c>
      <c r="C1010" t="b">
        <v>0</v>
      </c>
      <c r="D1010" s="1">
        <v>408</v>
      </c>
      <c r="E1010" s="1">
        <v>0</v>
      </c>
      <c r="F1010" s="1">
        <v>0</v>
      </c>
      <c r="G1010" s="1">
        <v>1790</v>
      </c>
      <c r="H1010" s="1">
        <v>0</v>
      </c>
      <c r="I1010" s="1">
        <v>0</v>
      </c>
      <c r="J1010" s="1">
        <f t="shared" si="55"/>
        <v>2198</v>
      </c>
      <c r="K1010" s="1">
        <v>567</v>
      </c>
      <c r="L1010" s="1">
        <v>0</v>
      </c>
      <c r="M1010" s="1">
        <v>0</v>
      </c>
      <c r="N1010" s="1">
        <f t="shared" si="57"/>
        <v>567</v>
      </c>
      <c r="O1010" s="14">
        <v>0</v>
      </c>
      <c r="P1010" s="17">
        <f t="shared" si="56"/>
        <v>2765</v>
      </c>
      <c r="Q1010" s="1">
        <v>0</v>
      </c>
      <c r="R1010" s="1">
        <v>0</v>
      </c>
      <c r="S1010" s="20">
        <v>39022</v>
      </c>
      <c r="T1010" s="1">
        <v>2765</v>
      </c>
      <c r="U1010" s="9">
        <v>2198</v>
      </c>
      <c r="V1010" s="9" t="s">
        <v>21</v>
      </c>
    </row>
    <row r="1011" spans="1:22" x14ac:dyDescent="0.25">
      <c r="A1011" s="10" t="s">
        <v>20</v>
      </c>
      <c r="B1011" t="b">
        <v>0</v>
      </c>
      <c r="C1011" t="b">
        <v>0</v>
      </c>
      <c r="D1011" s="1">
        <v>275</v>
      </c>
      <c r="E1011" s="1">
        <v>0</v>
      </c>
      <c r="F1011" s="1">
        <v>0</v>
      </c>
      <c r="G1011" s="1">
        <v>1888</v>
      </c>
      <c r="H1011" s="1">
        <v>0</v>
      </c>
      <c r="I1011" s="1">
        <v>0</v>
      </c>
      <c r="J1011" s="1">
        <f t="shared" ref="J1011:J1074" si="58">D1011+E1011+F1011+G1011+H1011+I1011</f>
        <v>2163</v>
      </c>
      <c r="K1011" s="1">
        <v>238</v>
      </c>
      <c r="L1011" s="1">
        <v>0</v>
      </c>
      <c r="M1011" s="1">
        <v>0</v>
      </c>
      <c r="N1011" s="1">
        <f t="shared" si="57"/>
        <v>238</v>
      </c>
      <c r="O1011" s="14">
        <v>0</v>
      </c>
      <c r="P1011" s="17">
        <f t="shared" ref="P1011:P1074" si="59">J1011+N1011</f>
        <v>2401</v>
      </c>
      <c r="Q1011" s="1">
        <v>0</v>
      </c>
      <c r="R1011" s="1">
        <v>0</v>
      </c>
      <c r="S1011" s="20">
        <v>39052</v>
      </c>
      <c r="T1011" s="1">
        <v>2401</v>
      </c>
      <c r="U1011" s="9">
        <v>2163</v>
      </c>
      <c r="V1011" s="9" t="s">
        <v>21</v>
      </c>
    </row>
    <row r="1012" spans="1:22" x14ac:dyDescent="0.25">
      <c r="A1012" s="10" t="s">
        <v>20</v>
      </c>
      <c r="B1012" t="b">
        <v>0</v>
      </c>
      <c r="C1012" t="b">
        <v>0</v>
      </c>
      <c r="D1012" s="1">
        <v>385</v>
      </c>
      <c r="E1012" s="1">
        <v>0</v>
      </c>
      <c r="F1012" s="1">
        <v>0</v>
      </c>
      <c r="G1012" s="1">
        <v>2138</v>
      </c>
      <c r="H1012" s="1">
        <v>0</v>
      </c>
      <c r="I1012" s="1">
        <v>0</v>
      </c>
      <c r="J1012" s="1">
        <f t="shared" si="58"/>
        <v>2523</v>
      </c>
      <c r="K1012" s="1">
        <v>229</v>
      </c>
      <c r="L1012" s="1">
        <v>0</v>
      </c>
      <c r="M1012" s="1">
        <v>0</v>
      </c>
      <c r="N1012" s="1">
        <f t="shared" si="57"/>
        <v>229</v>
      </c>
      <c r="O1012" s="14">
        <v>0</v>
      </c>
      <c r="P1012" s="17">
        <f t="shared" si="59"/>
        <v>2752</v>
      </c>
      <c r="Q1012" s="1">
        <v>0</v>
      </c>
      <c r="R1012" s="1">
        <v>0</v>
      </c>
      <c r="S1012" s="20">
        <v>39083</v>
      </c>
      <c r="T1012" s="1">
        <v>2752</v>
      </c>
      <c r="U1012" s="9">
        <v>2523</v>
      </c>
      <c r="V1012" s="9" t="s">
        <v>41</v>
      </c>
    </row>
    <row r="1013" spans="1:22" x14ac:dyDescent="0.25">
      <c r="A1013" s="10" t="s">
        <v>20</v>
      </c>
      <c r="B1013" t="b">
        <v>0</v>
      </c>
      <c r="C1013" t="b">
        <v>0</v>
      </c>
      <c r="D1013" s="1">
        <v>400</v>
      </c>
      <c r="E1013" s="1">
        <v>0</v>
      </c>
      <c r="F1013" s="1">
        <v>0</v>
      </c>
      <c r="G1013" s="1">
        <v>2135</v>
      </c>
      <c r="H1013" s="1">
        <v>0</v>
      </c>
      <c r="I1013" s="1">
        <v>0</v>
      </c>
      <c r="J1013" s="1">
        <f t="shared" si="58"/>
        <v>2535</v>
      </c>
      <c r="K1013" s="1">
        <v>282</v>
      </c>
      <c r="L1013" s="1">
        <v>0</v>
      </c>
      <c r="M1013" s="1">
        <v>0</v>
      </c>
      <c r="N1013" s="1">
        <f t="shared" si="57"/>
        <v>282</v>
      </c>
      <c r="O1013" s="14">
        <v>0</v>
      </c>
      <c r="P1013" s="17">
        <f t="shared" si="59"/>
        <v>2817</v>
      </c>
      <c r="Q1013" s="1">
        <v>0</v>
      </c>
      <c r="R1013" s="1">
        <v>0</v>
      </c>
      <c r="S1013" s="20">
        <v>39114</v>
      </c>
      <c r="T1013" s="1">
        <v>2817</v>
      </c>
      <c r="U1013" s="9">
        <v>2535</v>
      </c>
      <c r="V1013" s="9" t="s">
        <v>41</v>
      </c>
    </row>
    <row r="1014" spans="1:22" x14ac:dyDescent="0.25">
      <c r="A1014" s="10" t="s">
        <v>20</v>
      </c>
      <c r="B1014" t="b">
        <v>0</v>
      </c>
      <c r="C1014" t="b">
        <v>0</v>
      </c>
      <c r="D1014" s="1">
        <v>873</v>
      </c>
      <c r="E1014" s="1">
        <v>0</v>
      </c>
      <c r="F1014" s="1">
        <v>0</v>
      </c>
      <c r="G1014" s="1">
        <v>3655</v>
      </c>
      <c r="H1014" s="1">
        <v>0</v>
      </c>
      <c r="I1014" s="1">
        <v>0</v>
      </c>
      <c r="J1014" s="1">
        <f t="shared" si="58"/>
        <v>4528</v>
      </c>
      <c r="K1014" s="1">
        <v>686</v>
      </c>
      <c r="L1014" s="1">
        <v>0</v>
      </c>
      <c r="M1014" s="1">
        <v>0</v>
      </c>
      <c r="N1014" s="1">
        <f t="shared" si="57"/>
        <v>686</v>
      </c>
      <c r="O1014" s="14">
        <v>0</v>
      </c>
      <c r="P1014" s="17">
        <f t="shared" si="59"/>
        <v>5214</v>
      </c>
      <c r="Q1014" s="1">
        <v>0</v>
      </c>
      <c r="R1014" s="1">
        <v>0</v>
      </c>
      <c r="S1014" s="20">
        <v>39142</v>
      </c>
      <c r="T1014" s="1">
        <v>5214</v>
      </c>
      <c r="U1014" s="9">
        <v>4528</v>
      </c>
      <c r="V1014" s="9" t="s">
        <v>41</v>
      </c>
    </row>
    <row r="1015" spans="1:22" x14ac:dyDescent="0.25">
      <c r="A1015" s="10" t="s">
        <v>20</v>
      </c>
      <c r="B1015" t="b">
        <v>0</v>
      </c>
      <c r="C1015" t="b">
        <v>0</v>
      </c>
      <c r="D1015" s="1">
        <v>480</v>
      </c>
      <c r="E1015" s="1">
        <v>0</v>
      </c>
      <c r="F1015" s="1">
        <v>0</v>
      </c>
      <c r="G1015" s="1">
        <v>3538</v>
      </c>
      <c r="H1015" s="1">
        <v>0</v>
      </c>
      <c r="I1015" s="1">
        <v>0</v>
      </c>
      <c r="J1015" s="1">
        <f t="shared" si="58"/>
        <v>4018</v>
      </c>
      <c r="K1015" s="1">
        <v>1021</v>
      </c>
      <c r="L1015" s="1">
        <v>0</v>
      </c>
      <c r="M1015" s="1">
        <v>0</v>
      </c>
      <c r="N1015" s="1">
        <f t="shared" si="57"/>
        <v>1021</v>
      </c>
      <c r="O1015" s="14">
        <v>0</v>
      </c>
      <c r="P1015" s="17">
        <f t="shared" si="59"/>
        <v>5039</v>
      </c>
      <c r="Q1015" s="1">
        <v>0</v>
      </c>
      <c r="R1015" s="1">
        <v>0</v>
      </c>
      <c r="S1015" s="20">
        <v>39173</v>
      </c>
      <c r="T1015" s="1">
        <v>5039</v>
      </c>
      <c r="U1015" s="9">
        <v>4018</v>
      </c>
      <c r="V1015" s="9" t="s">
        <v>41</v>
      </c>
    </row>
    <row r="1016" spans="1:22" x14ac:dyDescent="0.25">
      <c r="A1016" s="10" t="s">
        <v>20</v>
      </c>
      <c r="B1016" t="b">
        <v>0</v>
      </c>
      <c r="C1016" t="b">
        <v>0</v>
      </c>
      <c r="D1016" s="1">
        <v>1905</v>
      </c>
      <c r="E1016" s="1">
        <v>0</v>
      </c>
      <c r="F1016" s="1">
        <v>0</v>
      </c>
      <c r="G1016" s="1">
        <v>4573</v>
      </c>
      <c r="H1016" s="1">
        <v>0</v>
      </c>
      <c r="I1016" s="1">
        <v>0</v>
      </c>
      <c r="J1016" s="1">
        <f t="shared" si="58"/>
        <v>6478</v>
      </c>
      <c r="K1016" s="1">
        <v>1888</v>
      </c>
      <c r="L1016" s="1">
        <v>0</v>
      </c>
      <c r="M1016" s="1">
        <v>0</v>
      </c>
      <c r="N1016" s="1">
        <f t="shared" si="57"/>
        <v>1888</v>
      </c>
      <c r="O1016" s="14">
        <v>0</v>
      </c>
      <c r="P1016" s="17">
        <f t="shared" si="59"/>
        <v>8366</v>
      </c>
      <c r="Q1016" s="1">
        <v>0</v>
      </c>
      <c r="R1016" s="1">
        <v>0</v>
      </c>
      <c r="S1016" s="20">
        <v>39203</v>
      </c>
      <c r="T1016" s="1">
        <v>8366</v>
      </c>
      <c r="U1016" s="9">
        <v>6478</v>
      </c>
      <c r="V1016" s="9" t="s">
        <v>41</v>
      </c>
    </row>
    <row r="1017" spans="1:22" x14ac:dyDescent="0.25">
      <c r="A1017" s="10" t="s">
        <v>20</v>
      </c>
      <c r="B1017" t="b">
        <v>0</v>
      </c>
      <c r="C1017" t="b">
        <v>0</v>
      </c>
      <c r="D1017" s="1">
        <v>3000</v>
      </c>
      <c r="E1017" s="1">
        <v>0</v>
      </c>
      <c r="F1017" s="1">
        <v>0</v>
      </c>
      <c r="G1017" s="1">
        <v>5148</v>
      </c>
      <c r="H1017" s="1">
        <v>0</v>
      </c>
      <c r="I1017" s="1">
        <v>0</v>
      </c>
      <c r="J1017" s="1">
        <f t="shared" si="58"/>
        <v>8148</v>
      </c>
      <c r="K1017" s="1">
        <v>2548</v>
      </c>
      <c r="L1017" s="1">
        <v>0</v>
      </c>
      <c r="M1017" s="1">
        <v>0</v>
      </c>
      <c r="N1017" s="1">
        <f t="shared" si="57"/>
        <v>2548</v>
      </c>
      <c r="O1017" s="14">
        <v>0</v>
      </c>
      <c r="P1017" s="17">
        <f t="shared" si="59"/>
        <v>10696</v>
      </c>
      <c r="Q1017" s="1">
        <v>0</v>
      </c>
      <c r="R1017" s="1">
        <v>0</v>
      </c>
      <c r="S1017" s="20">
        <v>39234</v>
      </c>
      <c r="T1017" s="1">
        <v>10696</v>
      </c>
      <c r="U1017" s="9">
        <v>8148</v>
      </c>
      <c r="V1017" s="9" t="s">
        <v>41</v>
      </c>
    </row>
    <row r="1018" spans="1:22" x14ac:dyDescent="0.25">
      <c r="A1018" s="10" t="s">
        <v>20</v>
      </c>
      <c r="B1018" t="b">
        <v>0</v>
      </c>
      <c r="C1018" t="b">
        <v>0</v>
      </c>
      <c r="D1018" s="1">
        <v>3560</v>
      </c>
      <c r="E1018" s="1">
        <v>0</v>
      </c>
      <c r="F1018" s="1">
        <v>0</v>
      </c>
      <c r="G1018" s="1">
        <v>6665</v>
      </c>
      <c r="H1018" s="1">
        <v>0</v>
      </c>
      <c r="I1018" s="1">
        <v>0</v>
      </c>
      <c r="J1018" s="1">
        <f t="shared" si="58"/>
        <v>10225</v>
      </c>
      <c r="K1018" s="1">
        <v>3441</v>
      </c>
      <c r="L1018" s="1">
        <v>0</v>
      </c>
      <c r="M1018" s="1">
        <v>0</v>
      </c>
      <c r="N1018" s="1">
        <f t="shared" si="57"/>
        <v>3441</v>
      </c>
      <c r="O1018" s="14">
        <v>0</v>
      </c>
      <c r="P1018" s="17">
        <f t="shared" si="59"/>
        <v>13666</v>
      </c>
      <c r="Q1018" s="1">
        <v>0</v>
      </c>
      <c r="R1018" s="1">
        <v>0</v>
      </c>
      <c r="S1018" s="20">
        <v>39264</v>
      </c>
      <c r="T1018" s="1">
        <v>13666</v>
      </c>
      <c r="U1018" s="9">
        <v>10225</v>
      </c>
      <c r="V1018" s="9" t="s">
        <v>41</v>
      </c>
    </row>
    <row r="1019" spans="1:22" x14ac:dyDescent="0.25">
      <c r="A1019" s="10" t="s">
        <v>20</v>
      </c>
      <c r="B1019" t="b">
        <v>0</v>
      </c>
      <c r="C1019" t="b">
        <v>0</v>
      </c>
      <c r="D1019" s="1">
        <v>2523</v>
      </c>
      <c r="E1019" s="1">
        <v>0</v>
      </c>
      <c r="F1019" s="1">
        <v>0</v>
      </c>
      <c r="G1019" s="1">
        <v>6035</v>
      </c>
      <c r="H1019" s="1">
        <v>0</v>
      </c>
      <c r="I1019" s="1">
        <v>0</v>
      </c>
      <c r="J1019" s="1">
        <f t="shared" si="58"/>
        <v>8558</v>
      </c>
      <c r="K1019" s="1">
        <v>3410</v>
      </c>
      <c r="L1019" s="1">
        <v>0</v>
      </c>
      <c r="M1019" s="1">
        <v>0</v>
      </c>
      <c r="N1019" s="1">
        <f t="shared" si="57"/>
        <v>3410</v>
      </c>
      <c r="O1019" s="14">
        <v>0</v>
      </c>
      <c r="P1019" s="17">
        <f t="shared" si="59"/>
        <v>11968</v>
      </c>
      <c r="Q1019" s="1">
        <v>0</v>
      </c>
      <c r="R1019" s="1">
        <v>0</v>
      </c>
      <c r="S1019" s="20">
        <v>39295</v>
      </c>
      <c r="T1019" s="1">
        <v>11968</v>
      </c>
      <c r="U1019" s="9">
        <v>8558</v>
      </c>
      <c r="V1019" s="9" t="s">
        <v>41</v>
      </c>
    </row>
    <row r="1020" spans="1:22" x14ac:dyDescent="0.25">
      <c r="A1020" s="10" t="s">
        <v>20</v>
      </c>
      <c r="B1020" t="b">
        <v>0</v>
      </c>
      <c r="C1020" t="b">
        <v>0</v>
      </c>
      <c r="D1020" s="1">
        <v>2040</v>
      </c>
      <c r="E1020" s="1">
        <v>0</v>
      </c>
      <c r="F1020" s="1">
        <v>0</v>
      </c>
      <c r="G1020" s="1">
        <v>4500</v>
      </c>
      <c r="H1020" s="1">
        <v>0</v>
      </c>
      <c r="I1020" s="1">
        <v>0</v>
      </c>
      <c r="J1020" s="1">
        <f t="shared" si="58"/>
        <v>6540</v>
      </c>
      <c r="K1020" s="1">
        <v>1580</v>
      </c>
      <c r="L1020" s="1">
        <v>0</v>
      </c>
      <c r="M1020" s="1">
        <v>0</v>
      </c>
      <c r="N1020" s="1">
        <f t="shared" si="57"/>
        <v>1580</v>
      </c>
      <c r="O1020" s="14">
        <v>0</v>
      </c>
      <c r="P1020" s="17">
        <f t="shared" si="59"/>
        <v>8120</v>
      </c>
      <c r="Q1020" s="1">
        <v>0</v>
      </c>
      <c r="R1020" s="1">
        <v>0</v>
      </c>
      <c r="S1020" s="20">
        <v>39326</v>
      </c>
      <c r="T1020" s="1">
        <v>8120</v>
      </c>
      <c r="U1020" s="9">
        <v>6540</v>
      </c>
      <c r="V1020" s="9" t="s">
        <v>41</v>
      </c>
    </row>
    <row r="1021" spans="1:22" x14ac:dyDescent="0.25">
      <c r="A1021" s="10" t="s">
        <v>20</v>
      </c>
      <c r="B1021" t="b">
        <v>0</v>
      </c>
      <c r="C1021" t="b">
        <v>0</v>
      </c>
      <c r="D1021" s="1">
        <v>455</v>
      </c>
      <c r="E1021" s="1">
        <v>0</v>
      </c>
      <c r="F1021" s="1">
        <v>0</v>
      </c>
      <c r="G1021" s="1">
        <v>3025</v>
      </c>
      <c r="H1021" s="1">
        <v>0</v>
      </c>
      <c r="I1021" s="1">
        <v>0</v>
      </c>
      <c r="J1021" s="1">
        <f t="shared" si="58"/>
        <v>3480</v>
      </c>
      <c r="K1021" s="1">
        <v>484</v>
      </c>
      <c r="L1021" s="1">
        <v>0</v>
      </c>
      <c r="M1021" s="1">
        <v>0</v>
      </c>
      <c r="N1021" s="1">
        <f t="shared" si="57"/>
        <v>484</v>
      </c>
      <c r="O1021" s="14">
        <v>0</v>
      </c>
      <c r="P1021" s="17">
        <f t="shared" si="59"/>
        <v>3964</v>
      </c>
      <c r="Q1021" s="1">
        <v>0</v>
      </c>
      <c r="R1021" s="1">
        <v>0</v>
      </c>
      <c r="S1021" s="20">
        <v>39356</v>
      </c>
      <c r="T1021" s="1">
        <v>3964</v>
      </c>
      <c r="U1021" s="9">
        <v>3480</v>
      </c>
      <c r="V1021" s="9" t="s">
        <v>41</v>
      </c>
    </row>
    <row r="1022" spans="1:22" x14ac:dyDescent="0.25">
      <c r="A1022" s="10" t="s">
        <v>20</v>
      </c>
      <c r="B1022" t="b">
        <v>0</v>
      </c>
      <c r="C1022" t="b">
        <v>0</v>
      </c>
      <c r="D1022" s="1">
        <v>425</v>
      </c>
      <c r="E1022" s="1">
        <v>0</v>
      </c>
      <c r="F1022" s="1">
        <v>0</v>
      </c>
      <c r="G1022" s="1">
        <v>3405</v>
      </c>
      <c r="H1022" s="1">
        <v>0</v>
      </c>
      <c r="I1022" s="1">
        <v>0</v>
      </c>
      <c r="J1022" s="1">
        <f t="shared" si="58"/>
        <v>3830</v>
      </c>
      <c r="K1022" s="1">
        <v>761</v>
      </c>
      <c r="L1022" s="1">
        <v>0</v>
      </c>
      <c r="M1022" s="1">
        <v>0</v>
      </c>
      <c r="N1022" s="1">
        <f t="shared" si="57"/>
        <v>761</v>
      </c>
      <c r="O1022" s="14">
        <v>0</v>
      </c>
      <c r="P1022" s="17">
        <f t="shared" si="59"/>
        <v>4591</v>
      </c>
      <c r="Q1022" s="1">
        <v>0</v>
      </c>
      <c r="R1022" s="1">
        <v>0</v>
      </c>
      <c r="S1022" s="20">
        <v>39387</v>
      </c>
      <c r="T1022" s="1">
        <v>4591</v>
      </c>
      <c r="U1022" s="9">
        <v>3830</v>
      </c>
      <c r="V1022" s="9" t="s">
        <v>41</v>
      </c>
    </row>
    <row r="1023" spans="1:22" x14ac:dyDescent="0.25">
      <c r="A1023" s="10" t="s">
        <v>20</v>
      </c>
      <c r="B1023" t="b">
        <v>0</v>
      </c>
      <c r="C1023" t="b">
        <v>0</v>
      </c>
      <c r="D1023" s="1">
        <v>228</v>
      </c>
      <c r="E1023" s="1">
        <v>0</v>
      </c>
      <c r="F1023" s="1">
        <v>0</v>
      </c>
      <c r="G1023" s="1">
        <v>1760</v>
      </c>
      <c r="H1023" s="1">
        <v>0</v>
      </c>
      <c r="I1023" s="1">
        <v>0</v>
      </c>
      <c r="J1023" s="1">
        <f t="shared" si="58"/>
        <v>1988</v>
      </c>
      <c r="K1023" s="1">
        <v>361</v>
      </c>
      <c r="L1023" s="1">
        <v>0</v>
      </c>
      <c r="M1023" s="1">
        <v>0</v>
      </c>
      <c r="N1023" s="1">
        <f t="shared" si="57"/>
        <v>361</v>
      </c>
      <c r="O1023" s="14">
        <v>0</v>
      </c>
      <c r="P1023" s="17">
        <f t="shared" si="59"/>
        <v>2349</v>
      </c>
      <c r="Q1023" s="1">
        <v>0</v>
      </c>
      <c r="R1023" s="1">
        <v>0</v>
      </c>
      <c r="S1023" s="20">
        <v>39417</v>
      </c>
      <c r="T1023" s="1">
        <v>2349</v>
      </c>
      <c r="U1023" s="9">
        <v>1988</v>
      </c>
      <c r="V1023" s="9" t="s">
        <v>41</v>
      </c>
    </row>
    <row r="1024" spans="1:22" x14ac:dyDescent="0.25">
      <c r="A1024" s="10" t="s">
        <v>20</v>
      </c>
      <c r="B1024" t="b">
        <v>0</v>
      </c>
      <c r="C1024" t="b">
        <v>0</v>
      </c>
      <c r="D1024" s="1">
        <v>425</v>
      </c>
      <c r="E1024" s="1">
        <v>0</v>
      </c>
      <c r="F1024" s="1">
        <v>0</v>
      </c>
      <c r="G1024" s="1">
        <v>1395</v>
      </c>
      <c r="H1024" s="1">
        <v>0</v>
      </c>
      <c r="I1024" s="1">
        <v>0</v>
      </c>
      <c r="J1024" s="1">
        <f t="shared" si="58"/>
        <v>1820</v>
      </c>
      <c r="K1024" s="1">
        <v>141</v>
      </c>
      <c r="L1024" s="1">
        <v>0</v>
      </c>
      <c r="M1024" s="1">
        <v>0</v>
      </c>
      <c r="N1024" s="1">
        <f t="shared" si="57"/>
        <v>141</v>
      </c>
      <c r="O1024" s="14">
        <v>0</v>
      </c>
      <c r="P1024" s="17">
        <f t="shared" si="59"/>
        <v>1961</v>
      </c>
      <c r="Q1024" s="1">
        <v>0</v>
      </c>
      <c r="R1024" s="1">
        <v>0</v>
      </c>
      <c r="S1024" s="20">
        <v>39448</v>
      </c>
      <c r="T1024" s="1">
        <v>1961</v>
      </c>
      <c r="U1024" s="9">
        <v>1820</v>
      </c>
      <c r="V1024" s="9" t="s">
        <v>46</v>
      </c>
    </row>
    <row r="1025" spans="1:22" x14ac:dyDescent="0.25">
      <c r="A1025" s="10" t="s">
        <v>20</v>
      </c>
      <c r="B1025" t="b">
        <v>0</v>
      </c>
      <c r="C1025" t="b">
        <v>0</v>
      </c>
      <c r="D1025" s="1">
        <v>418</v>
      </c>
      <c r="E1025" s="1">
        <v>0</v>
      </c>
      <c r="F1025" s="1">
        <v>0</v>
      </c>
      <c r="G1025" s="1">
        <v>1983</v>
      </c>
      <c r="H1025" s="1">
        <v>0</v>
      </c>
      <c r="I1025" s="1">
        <v>0</v>
      </c>
      <c r="J1025" s="1">
        <f t="shared" si="58"/>
        <v>2401</v>
      </c>
      <c r="K1025" s="1">
        <v>312</v>
      </c>
      <c r="L1025" s="1">
        <v>0</v>
      </c>
      <c r="M1025" s="1">
        <v>0</v>
      </c>
      <c r="N1025" s="1">
        <f t="shared" si="57"/>
        <v>312</v>
      </c>
      <c r="O1025" s="14">
        <v>0</v>
      </c>
      <c r="P1025" s="17">
        <f t="shared" si="59"/>
        <v>2713</v>
      </c>
      <c r="Q1025" s="1">
        <v>0</v>
      </c>
      <c r="R1025" s="1">
        <v>0</v>
      </c>
      <c r="S1025" s="20">
        <v>39479</v>
      </c>
      <c r="T1025" s="1">
        <v>2713</v>
      </c>
      <c r="U1025" s="9">
        <v>2401</v>
      </c>
      <c r="V1025" s="9" t="s">
        <v>46</v>
      </c>
    </row>
    <row r="1026" spans="1:22" x14ac:dyDescent="0.25">
      <c r="A1026" s="10" t="s">
        <v>20</v>
      </c>
      <c r="B1026" t="b">
        <v>0</v>
      </c>
      <c r="C1026" t="b">
        <v>0</v>
      </c>
      <c r="D1026" s="1">
        <v>1263</v>
      </c>
      <c r="E1026" s="1">
        <v>0</v>
      </c>
      <c r="F1026" s="1">
        <v>0</v>
      </c>
      <c r="G1026" s="1">
        <v>3658</v>
      </c>
      <c r="H1026" s="1">
        <v>0</v>
      </c>
      <c r="I1026" s="1">
        <v>0</v>
      </c>
      <c r="J1026" s="1">
        <f t="shared" si="58"/>
        <v>4921</v>
      </c>
      <c r="K1026" s="1">
        <v>783</v>
      </c>
      <c r="L1026" s="1">
        <v>0</v>
      </c>
      <c r="M1026" s="1">
        <v>0</v>
      </c>
      <c r="N1026" s="1">
        <f t="shared" si="57"/>
        <v>783</v>
      </c>
      <c r="O1026" s="14">
        <v>0</v>
      </c>
      <c r="P1026" s="17">
        <f t="shared" si="59"/>
        <v>5704</v>
      </c>
      <c r="Q1026" s="1">
        <v>0</v>
      </c>
      <c r="R1026" s="1">
        <v>0</v>
      </c>
      <c r="S1026" s="20">
        <v>39508</v>
      </c>
      <c r="T1026" s="1">
        <v>5704</v>
      </c>
      <c r="U1026" s="9">
        <v>4921</v>
      </c>
      <c r="V1026" s="9" t="s">
        <v>46</v>
      </c>
    </row>
    <row r="1027" spans="1:22" x14ac:dyDescent="0.25">
      <c r="A1027" s="10" t="s">
        <v>20</v>
      </c>
      <c r="B1027" t="b">
        <v>0</v>
      </c>
      <c r="C1027" t="b">
        <v>0</v>
      </c>
      <c r="D1027" s="1">
        <v>1433</v>
      </c>
      <c r="E1027" s="1">
        <v>0</v>
      </c>
      <c r="F1027" s="1">
        <v>0</v>
      </c>
      <c r="G1027" s="1">
        <v>3845</v>
      </c>
      <c r="H1027" s="1">
        <v>0</v>
      </c>
      <c r="I1027" s="1">
        <v>0</v>
      </c>
      <c r="J1027" s="1">
        <f t="shared" si="58"/>
        <v>5278</v>
      </c>
      <c r="K1027" s="1">
        <v>1087</v>
      </c>
      <c r="L1027" s="1">
        <v>0</v>
      </c>
      <c r="M1027" s="1">
        <v>0</v>
      </c>
      <c r="N1027" s="1">
        <f t="shared" si="57"/>
        <v>1087</v>
      </c>
      <c r="O1027" s="14">
        <v>0</v>
      </c>
      <c r="P1027" s="17">
        <f t="shared" si="59"/>
        <v>6365</v>
      </c>
      <c r="Q1027" s="1">
        <v>0</v>
      </c>
      <c r="R1027" s="1">
        <v>0</v>
      </c>
      <c r="S1027" s="20">
        <v>39539</v>
      </c>
      <c r="T1027" s="1">
        <v>6365</v>
      </c>
      <c r="U1027" s="9">
        <v>5278</v>
      </c>
      <c r="V1027" s="9" t="s">
        <v>46</v>
      </c>
    </row>
    <row r="1028" spans="1:22" x14ac:dyDescent="0.25">
      <c r="A1028" s="10" t="s">
        <v>20</v>
      </c>
      <c r="B1028" t="b">
        <v>0</v>
      </c>
      <c r="C1028" t="b">
        <v>0</v>
      </c>
      <c r="D1028" s="1">
        <v>2260</v>
      </c>
      <c r="E1028" s="1">
        <v>0</v>
      </c>
      <c r="F1028" s="1">
        <v>0</v>
      </c>
      <c r="G1028" s="1">
        <v>4850</v>
      </c>
      <c r="H1028" s="1">
        <v>0</v>
      </c>
      <c r="I1028" s="1">
        <v>0</v>
      </c>
      <c r="J1028" s="1">
        <f t="shared" si="58"/>
        <v>7110</v>
      </c>
      <c r="K1028" s="1">
        <v>2385</v>
      </c>
      <c r="L1028" s="1">
        <v>0</v>
      </c>
      <c r="M1028" s="1">
        <v>378</v>
      </c>
      <c r="N1028" s="1">
        <f t="shared" si="57"/>
        <v>2763</v>
      </c>
      <c r="O1028" s="14">
        <v>0</v>
      </c>
      <c r="P1028" s="17">
        <f t="shared" si="59"/>
        <v>9873</v>
      </c>
      <c r="Q1028" s="1">
        <v>0</v>
      </c>
      <c r="R1028" s="1">
        <v>0</v>
      </c>
      <c r="S1028" s="20">
        <v>39569</v>
      </c>
      <c r="T1028" s="1">
        <v>9873</v>
      </c>
      <c r="U1028" s="9">
        <v>7110</v>
      </c>
      <c r="V1028" s="9" t="s">
        <v>46</v>
      </c>
    </row>
    <row r="1029" spans="1:22" x14ac:dyDescent="0.25">
      <c r="A1029" s="10" t="s">
        <v>20</v>
      </c>
      <c r="B1029" t="b">
        <v>0</v>
      </c>
      <c r="C1029" t="b">
        <v>0</v>
      </c>
      <c r="D1029" s="1">
        <v>2850</v>
      </c>
      <c r="E1029" s="1">
        <v>0</v>
      </c>
      <c r="F1029" s="1">
        <v>0</v>
      </c>
      <c r="G1029" s="1">
        <v>5673</v>
      </c>
      <c r="H1029" s="1">
        <v>0</v>
      </c>
      <c r="I1029" s="1">
        <v>0</v>
      </c>
      <c r="J1029" s="1">
        <f t="shared" si="58"/>
        <v>8523</v>
      </c>
      <c r="K1029" s="1">
        <v>3208</v>
      </c>
      <c r="L1029" s="1">
        <v>0</v>
      </c>
      <c r="M1029" s="1">
        <v>420</v>
      </c>
      <c r="N1029" s="1">
        <f t="shared" si="57"/>
        <v>3628</v>
      </c>
      <c r="O1029" s="14">
        <v>0</v>
      </c>
      <c r="P1029" s="17">
        <f t="shared" si="59"/>
        <v>12151</v>
      </c>
      <c r="Q1029" s="1">
        <v>0</v>
      </c>
      <c r="R1029" s="1">
        <v>0</v>
      </c>
      <c r="S1029" s="20">
        <v>39600</v>
      </c>
      <c r="T1029" s="1">
        <v>12151</v>
      </c>
      <c r="U1029" s="9">
        <v>8523</v>
      </c>
      <c r="V1029" s="9" t="s">
        <v>46</v>
      </c>
    </row>
    <row r="1030" spans="1:22" x14ac:dyDescent="0.25">
      <c r="A1030" s="10" t="s">
        <v>20</v>
      </c>
      <c r="B1030" t="b">
        <v>0</v>
      </c>
      <c r="C1030" t="b">
        <v>0</v>
      </c>
      <c r="D1030" s="1">
        <v>4105</v>
      </c>
      <c r="E1030" s="1">
        <v>0</v>
      </c>
      <c r="F1030" s="1">
        <v>0</v>
      </c>
      <c r="G1030" s="1">
        <v>6154</v>
      </c>
      <c r="H1030" s="1">
        <v>0</v>
      </c>
      <c r="I1030" s="1">
        <v>0</v>
      </c>
      <c r="J1030" s="1">
        <f t="shared" si="58"/>
        <v>10259</v>
      </c>
      <c r="K1030" s="1">
        <v>3656</v>
      </c>
      <c r="L1030" s="1">
        <v>0</v>
      </c>
      <c r="M1030" s="1">
        <v>550</v>
      </c>
      <c r="N1030" s="1">
        <f t="shared" si="57"/>
        <v>4206</v>
      </c>
      <c r="O1030" s="14">
        <v>0</v>
      </c>
      <c r="P1030" s="17">
        <f t="shared" si="59"/>
        <v>14465</v>
      </c>
      <c r="Q1030" s="1">
        <v>0</v>
      </c>
      <c r="R1030" s="1">
        <v>0</v>
      </c>
      <c r="S1030" s="20">
        <v>39630</v>
      </c>
      <c r="T1030" s="1">
        <v>14465</v>
      </c>
      <c r="U1030" s="9">
        <v>10259</v>
      </c>
      <c r="V1030" s="9" t="s">
        <v>46</v>
      </c>
    </row>
    <row r="1031" spans="1:22" x14ac:dyDescent="0.25">
      <c r="A1031" s="10" t="s">
        <v>20</v>
      </c>
      <c r="B1031" t="b">
        <v>0</v>
      </c>
      <c r="C1031" t="b">
        <v>0</v>
      </c>
      <c r="D1031" s="1">
        <v>3413</v>
      </c>
      <c r="E1031" s="1">
        <v>0</v>
      </c>
      <c r="F1031" s="1">
        <v>0</v>
      </c>
      <c r="G1031" s="1">
        <v>6680</v>
      </c>
      <c r="H1031" s="1">
        <v>0</v>
      </c>
      <c r="I1031" s="1">
        <v>0</v>
      </c>
      <c r="J1031" s="1">
        <f t="shared" si="58"/>
        <v>10093</v>
      </c>
      <c r="K1031" s="1">
        <v>3986</v>
      </c>
      <c r="L1031" s="1">
        <v>0</v>
      </c>
      <c r="M1031" s="1">
        <v>973</v>
      </c>
      <c r="N1031" s="1">
        <f t="shared" si="57"/>
        <v>4959</v>
      </c>
      <c r="O1031" s="14">
        <v>0</v>
      </c>
      <c r="P1031" s="17">
        <f t="shared" si="59"/>
        <v>15052</v>
      </c>
      <c r="Q1031" s="1">
        <v>0</v>
      </c>
      <c r="R1031" s="1">
        <v>0</v>
      </c>
      <c r="S1031" s="20">
        <v>39661</v>
      </c>
      <c r="T1031" s="1">
        <v>15052</v>
      </c>
      <c r="U1031" s="9">
        <v>10093</v>
      </c>
      <c r="V1031" s="9" t="s">
        <v>46</v>
      </c>
    </row>
    <row r="1032" spans="1:22" x14ac:dyDescent="0.25">
      <c r="A1032" s="10" t="s">
        <v>20</v>
      </c>
      <c r="B1032" t="b">
        <v>0</v>
      </c>
      <c r="C1032" t="b">
        <v>0</v>
      </c>
      <c r="D1032" s="1">
        <v>2025</v>
      </c>
      <c r="E1032" s="1">
        <v>0</v>
      </c>
      <c r="F1032" s="1">
        <v>0</v>
      </c>
      <c r="G1032" s="1">
        <v>4806</v>
      </c>
      <c r="H1032" s="1">
        <v>0</v>
      </c>
      <c r="I1032" s="1">
        <v>0</v>
      </c>
      <c r="J1032" s="1">
        <f t="shared" si="58"/>
        <v>6831</v>
      </c>
      <c r="K1032" s="1">
        <v>1927</v>
      </c>
      <c r="L1032" s="1">
        <v>0</v>
      </c>
      <c r="M1032" s="1">
        <v>289</v>
      </c>
      <c r="N1032" s="1">
        <f t="shared" si="57"/>
        <v>2216</v>
      </c>
      <c r="O1032" s="14">
        <v>0</v>
      </c>
      <c r="P1032" s="17">
        <f t="shared" si="59"/>
        <v>9047</v>
      </c>
      <c r="Q1032" s="1">
        <v>0</v>
      </c>
      <c r="R1032" s="1">
        <v>0</v>
      </c>
      <c r="S1032" s="20">
        <v>39692</v>
      </c>
      <c r="T1032" s="1">
        <v>9047</v>
      </c>
      <c r="U1032" s="9">
        <v>6831</v>
      </c>
      <c r="V1032" s="9" t="s">
        <v>46</v>
      </c>
    </row>
    <row r="1033" spans="1:22" x14ac:dyDescent="0.25">
      <c r="A1033" s="10" t="s">
        <v>20</v>
      </c>
      <c r="B1033" t="b">
        <v>0</v>
      </c>
      <c r="C1033" t="b">
        <v>0</v>
      </c>
      <c r="D1033" s="1">
        <v>730</v>
      </c>
      <c r="E1033" s="1">
        <v>0</v>
      </c>
      <c r="F1033" s="1">
        <v>0</v>
      </c>
      <c r="G1033" s="1">
        <v>2420</v>
      </c>
      <c r="H1033" s="1">
        <v>0</v>
      </c>
      <c r="I1033" s="1">
        <v>0</v>
      </c>
      <c r="J1033" s="1">
        <f t="shared" si="58"/>
        <v>3150</v>
      </c>
      <c r="K1033" s="1">
        <v>1017</v>
      </c>
      <c r="L1033" s="1">
        <v>0</v>
      </c>
      <c r="M1033" s="1">
        <v>0</v>
      </c>
      <c r="N1033" s="1">
        <f t="shared" si="57"/>
        <v>1017</v>
      </c>
      <c r="O1033" s="14">
        <v>0</v>
      </c>
      <c r="P1033" s="17">
        <f t="shared" si="59"/>
        <v>4167</v>
      </c>
      <c r="Q1033" s="1">
        <v>0</v>
      </c>
      <c r="R1033" s="1">
        <v>0</v>
      </c>
      <c r="S1033" s="20">
        <v>39722</v>
      </c>
      <c r="T1033" s="1">
        <v>4167</v>
      </c>
      <c r="U1033" s="9">
        <v>3150</v>
      </c>
      <c r="V1033" s="9" t="s">
        <v>46</v>
      </c>
    </row>
    <row r="1034" spans="1:22" x14ac:dyDescent="0.25">
      <c r="A1034" s="10" t="s">
        <v>20</v>
      </c>
      <c r="B1034" t="b">
        <v>0</v>
      </c>
      <c r="C1034" t="b">
        <v>0</v>
      </c>
      <c r="D1034" s="1">
        <v>408</v>
      </c>
      <c r="E1034" s="1">
        <v>0</v>
      </c>
      <c r="F1034" s="1">
        <v>0</v>
      </c>
      <c r="G1034" s="1">
        <v>2412</v>
      </c>
      <c r="H1034" s="1">
        <v>0</v>
      </c>
      <c r="I1034" s="1">
        <v>0</v>
      </c>
      <c r="J1034" s="1">
        <f t="shared" si="58"/>
        <v>2820</v>
      </c>
      <c r="K1034" s="1">
        <v>459</v>
      </c>
      <c r="L1034" s="1">
        <v>0</v>
      </c>
      <c r="M1034" s="1">
        <v>0</v>
      </c>
      <c r="N1034" s="1">
        <f t="shared" si="57"/>
        <v>459</v>
      </c>
      <c r="O1034" s="14">
        <v>0</v>
      </c>
      <c r="P1034" s="17">
        <f t="shared" si="59"/>
        <v>3279</v>
      </c>
      <c r="Q1034" s="1">
        <v>0</v>
      </c>
      <c r="R1034" s="1">
        <v>0</v>
      </c>
      <c r="S1034" s="20">
        <v>39753</v>
      </c>
      <c r="T1034" s="1">
        <v>3279</v>
      </c>
      <c r="U1034" s="9">
        <v>2820</v>
      </c>
      <c r="V1034" s="9" t="s">
        <v>46</v>
      </c>
    </row>
    <row r="1035" spans="1:22" x14ac:dyDescent="0.25">
      <c r="A1035" s="10" t="s">
        <v>20</v>
      </c>
      <c r="B1035" t="b">
        <v>0</v>
      </c>
      <c r="C1035" t="b">
        <v>0</v>
      </c>
      <c r="D1035" s="1">
        <v>198</v>
      </c>
      <c r="E1035" s="1">
        <v>0</v>
      </c>
      <c r="F1035" s="1">
        <v>0</v>
      </c>
      <c r="G1035" s="1">
        <v>1368</v>
      </c>
      <c r="H1035" s="1">
        <v>0</v>
      </c>
      <c r="I1035" s="1">
        <v>0</v>
      </c>
      <c r="J1035" s="1">
        <f t="shared" si="58"/>
        <v>1566</v>
      </c>
      <c r="K1035" s="1">
        <v>153</v>
      </c>
      <c r="L1035" s="1">
        <v>0</v>
      </c>
      <c r="M1035" s="1">
        <v>0</v>
      </c>
      <c r="N1035" s="1">
        <f t="shared" si="57"/>
        <v>153</v>
      </c>
      <c r="O1035" s="14">
        <v>0</v>
      </c>
      <c r="P1035" s="17">
        <f t="shared" si="59"/>
        <v>1719</v>
      </c>
      <c r="Q1035" s="1">
        <v>0</v>
      </c>
      <c r="R1035" s="1">
        <v>0</v>
      </c>
      <c r="S1035" s="20">
        <v>39783</v>
      </c>
      <c r="T1035" s="1">
        <v>1719</v>
      </c>
      <c r="U1035" s="9">
        <v>1566</v>
      </c>
      <c r="V1035" s="9" t="s">
        <v>46</v>
      </c>
    </row>
    <row r="1036" spans="1:22" x14ac:dyDescent="0.25">
      <c r="A1036" s="10" t="s">
        <v>20</v>
      </c>
      <c r="B1036" t="b">
        <v>0</v>
      </c>
      <c r="C1036" t="b">
        <v>0</v>
      </c>
      <c r="D1036" s="1">
        <v>383</v>
      </c>
      <c r="E1036" s="1">
        <v>0</v>
      </c>
      <c r="F1036" s="1">
        <v>0</v>
      </c>
      <c r="G1036" s="1">
        <v>2216</v>
      </c>
      <c r="H1036" s="1">
        <v>0</v>
      </c>
      <c r="I1036" s="1">
        <v>0</v>
      </c>
      <c r="J1036" s="1">
        <f t="shared" si="58"/>
        <v>2599</v>
      </c>
      <c r="K1036" s="1">
        <v>279</v>
      </c>
      <c r="L1036" s="1">
        <v>0</v>
      </c>
      <c r="M1036" s="1">
        <v>0</v>
      </c>
      <c r="N1036" s="1">
        <f t="shared" si="57"/>
        <v>279</v>
      </c>
      <c r="O1036" s="14">
        <v>0</v>
      </c>
      <c r="P1036" s="17">
        <f t="shared" si="59"/>
        <v>2878</v>
      </c>
      <c r="Q1036" s="1">
        <v>0</v>
      </c>
      <c r="R1036" s="1">
        <v>0</v>
      </c>
      <c r="S1036" s="20">
        <v>39814</v>
      </c>
      <c r="T1036" s="1">
        <v>2878</v>
      </c>
      <c r="U1036" s="9">
        <v>2599</v>
      </c>
      <c r="V1036" s="9" t="s">
        <v>41</v>
      </c>
    </row>
    <row r="1037" spans="1:22" x14ac:dyDescent="0.25">
      <c r="A1037" s="10" t="s">
        <v>20</v>
      </c>
      <c r="B1037" t="b">
        <v>0</v>
      </c>
      <c r="C1037" t="b">
        <v>0</v>
      </c>
      <c r="D1037" s="1">
        <v>350</v>
      </c>
      <c r="E1037" s="1">
        <v>0</v>
      </c>
      <c r="F1037" s="1">
        <v>0</v>
      </c>
      <c r="G1037" s="1">
        <v>2106</v>
      </c>
      <c r="H1037" s="1">
        <v>0</v>
      </c>
      <c r="I1037" s="1">
        <v>0</v>
      </c>
      <c r="J1037" s="1">
        <f t="shared" si="58"/>
        <v>2456</v>
      </c>
      <c r="K1037" s="1">
        <v>329</v>
      </c>
      <c r="L1037" s="1">
        <v>0</v>
      </c>
      <c r="M1037" s="1">
        <v>0</v>
      </c>
      <c r="N1037" s="1">
        <f t="shared" si="57"/>
        <v>329</v>
      </c>
      <c r="O1037" s="14">
        <v>0</v>
      </c>
      <c r="P1037" s="17">
        <f t="shared" si="59"/>
        <v>2785</v>
      </c>
      <c r="Q1037" s="1">
        <v>0</v>
      </c>
      <c r="R1037" s="1">
        <v>0</v>
      </c>
      <c r="S1037" s="20">
        <v>39845</v>
      </c>
      <c r="T1037" s="1">
        <v>2785</v>
      </c>
      <c r="U1037" s="9">
        <v>2456</v>
      </c>
      <c r="V1037" s="9" t="s">
        <v>41</v>
      </c>
    </row>
    <row r="1038" spans="1:22" x14ac:dyDescent="0.25">
      <c r="A1038" s="10" t="s">
        <v>20</v>
      </c>
      <c r="B1038" t="b">
        <v>0</v>
      </c>
      <c r="C1038" t="b">
        <v>0</v>
      </c>
      <c r="D1038" s="1">
        <v>765</v>
      </c>
      <c r="E1038" s="1">
        <v>0</v>
      </c>
      <c r="F1038" s="1">
        <v>0</v>
      </c>
      <c r="G1038" s="1">
        <v>3154</v>
      </c>
      <c r="H1038" s="1">
        <v>0</v>
      </c>
      <c r="I1038" s="1">
        <v>0</v>
      </c>
      <c r="J1038" s="1">
        <f t="shared" si="58"/>
        <v>3919</v>
      </c>
      <c r="K1038" s="1">
        <v>657</v>
      </c>
      <c r="L1038" s="1">
        <v>0</v>
      </c>
      <c r="M1038" s="1">
        <v>0</v>
      </c>
      <c r="N1038" s="1">
        <f t="shared" ref="N1038:N1101" si="60">K1038+L1038+M1038</f>
        <v>657</v>
      </c>
      <c r="O1038" s="14">
        <v>0</v>
      </c>
      <c r="P1038" s="17">
        <f t="shared" si="59"/>
        <v>4576</v>
      </c>
      <c r="Q1038" s="1">
        <v>0</v>
      </c>
      <c r="R1038" s="1">
        <v>0</v>
      </c>
      <c r="S1038" s="20">
        <v>39873</v>
      </c>
      <c r="T1038" s="1">
        <v>4576</v>
      </c>
      <c r="U1038" s="9">
        <v>3919</v>
      </c>
      <c r="V1038" s="9" t="s">
        <v>41</v>
      </c>
    </row>
    <row r="1039" spans="1:22" x14ac:dyDescent="0.25">
      <c r="A1039" s="10" t="s">
        <v>20</v>
      </c>
      <c r="B1039" t="b">
        <v>0</v>
      </c>
      <c r="C1039" t="b">
        <v>0</v>
      </c>
      <c r="D1039" s="1">
        <v>1175</v>
      </c>
      <c r="E1039" s="1">
        <v>0</v>
      </c>
      <c r="F1039" s="1">
        <v>0</v>
      </c>
      <c r="G1039" s="1">
        <v>4734</v>
      </c>
      <c r="H1039" s="1">
        <v>0</v>
      </c>
      <c r="I1039" s="1">
        <v>0</v>
      </c>
      <c r="J1039" s="1">
        <f t="shared" si="58"/>
        <v>5909</v>
      </c>
      <c r="K1039" s="1">
        <v>941</v>
      </c>
      <c r="L1039" s="1">
        <v>0</v>
      </c>
      <c r="M1039" s="1">
        <v>0</v>
      </c>
      <c r="N1039" s="1">
        <f t="shared" si="60"/>
        <v>941</v>
      </c>
      <c r="O1039" s="14">
        <v>0</v>
      </c>
      <c r="P1039" s="17">
        <f t="shared" si="59"/>
        <v>6850</v>
      </c>
      <c r="Q1039" s="1">
        <v>4</v>
      </c>
      <c r="R1039" s="1">
        <v>0</v>
      </c>
      <c r="S1039" s="20">
        <v>39904</v>
      </c>
      <c r="T1039" s="1">
        <v>6854</v>
      </c>
      <c r="U1039" s="9">
        <v>5909</v>
      </c>
      <c r="V1039" s="9" t="s">
        <v>41</v>
      </c>
    </row>
    <row r="1040" spans="1:22" x14ac:dyDescent="0.25">
      <c r="A1040" s="10" t="s">
        <v>20</v>
      </c>
      <c r="B1040" t="b">
        <v>0</v>
      </c>
      <c r="C1040" t="b">
        <v>0</v>
      </c>
      <c r="D1040" s="1">
        <v>3185</v>
      </c>
      <c r="E1040" s="1">
        <v>0</v>
      </c>
      <c r="F1040" s="1">
        <v>0</v>
      </c>
      <c r="G1040" s="1">
        <v>6822</v>
      </c>
      <c r="H1040" s="1">
        <v>0</v>
      </c>
      <c r="I1040" s="1">
        <v>0</v>
      </c>
      <c r="J1040" s="1">
        <f t="shared" si="58"/>
        <v>10007</v>
      </c>
      <c r="K1040" s="1">
        <v>2183</v>
      </c>
      <c r="L1040" s="1">
        <v>0</v>
      </c>
      <c r="M1040" s="1">
        <v>9</v>
      </c>
      <c r="N1040" s="1">
        <f t="shared" si="60"/>
        <v>2192</v>
      </c>
      <c r="O1040" s="14">
        <v>0</v>
      </c>
      <c r="P1040" s="17">
        <f t="shared" si="59"/>
        <v>12199</v>
      </c>
      <c r="Q1040" s="1">
        <v>2</v>
      </c>
      <c r="R1040" s="1">
        <v>0</v>
      </c>
      <c r="S1040" s="20">
        <v>39934</v>
      </c>
      <c r="T1040" s="1">
        <v>12201</v>
      </c>
      <c r="U1040" s="9">
        <v>10007</v>
      </c>
      <c r="V1040" s="9" t="s">
        <v>41</v>
      </c>
    </row>
    <row r="1041" spans="1:22" x14ac:dyDescent="0.25">
      <c r="A1041" s="10" t="s">
        <v>20</v>
      </c>
      <c r="B1041" t="b">
        <v>0</v>
      </c>
      <c r="C1041" t="b">
        <v>0</v>
      </c>
      <c r="D1041" s="1">
        <v>3283</v>
      </c>
      <c r="E1041" s="1">
        <v>0</v>
      </c>
      <c r="F1041" s="1">
        <v>0</v>
      </c>
      <c r="G1041" s="1">
        <v>6784</v>
      </c>
      <c r="H1041" s="1">
        <v>0</v>
      </c>
      <c r="I1041" s="1">
        <v>0</v>
      </c>
      <c r="J1041" s="1">
        <f t="shared" si="58"/>
        <v>10067</v>
      </c>
      <c r="K1041" s="1">
        <v>3150</v>
      </c>
      <c r="L1041" s="1">
        <v>0</v>
      </c>
      <c r="M1041" s="1">
        <v>320</v>
      </c>
      <c r="N1041" s="1">
        <f t="shared" si="60"/>
        <v>3470</v>
      </c>
      <c r="O1041" s="14">
        <v>0</v>
      </c>
      <c r="P1041" s="17">
        <f t="shared" si="59"/>
        <v>13537</v>
      </c>
      <c r="Q1041" s="1">
        <v>3</v>
      </c>
      <c r="R1041" s="1">
        <v>0</v>
      </c>
      <c r="S1041" s="20">
        <v>39965</v>
      </c>
      <c r="T1041" s="1">
        <v>13540</v>
      </c>
      <c r="U1041" s="9">
        <v>10067</v>
      </c>
      <c r="V1041" s="9" t="s">
        <v>41</v>
      </c>
    </row>
    <row r="1042" spans="1:22" x14ac:dyDescent="0.25">
      <c r="A1042" s="10" t="s">
        <v>20</v>
      </c>
      <c r="B1042" t="b">
        <v>0</v>
      </c>
      <c r="C1042" t="b">
        <v>0</v>
      </c>
      <c r="D1042" s="1">
        <v>4898</v>
      </c>
      <c r="E1042" s="1">
        <v>0</v>
      </c>
      <c r="F1042" s="1">
        <v>0</v>
      </c>
      <c r="G1042" s="1">
        <v>8734</v>
      </c>
      <c r="H1042" s="1">
        <v>0</v>
      </c>
      <c r="I1042" s="1">
        <v>0</v>
      </c>
      <c r="J1042" s="1">
        <f t="shared" si="58"/>
        <v>13632</v>
      </c>
      <c r="K1042" s="1">
        <v>4230</v>
      </c>
      <c r="L1042" s="1">
        <v>0</v>
      </c>
      <c r="M1042" s="1">
        <v>708</v>
      </c>
      <c r="N1042" s="1">
        <f t="shared" si="60"/>
        <v>4938</v>
      </c>
      <c r="O1042" s="14">
        <v>0</v>
      </c>
      <c r="P1042" s="17">
        <f t="shared" si="59"/>
        <v>18570</v>
      </c>
      <c r="Q1042" s="1">
        <v>2</v>
      </c>
      <c r="R1042" s="1">
        <v>0</v>
      </c>
      <c r="S1042" s="20">
        <v>39995</v>
      </c>
      <c r="T1042" s="1">
        <v>18572</v>
      </c>
      <c r="U1042" s="9">
        <v>13632</v>
      </c>
      <c r="V1042" s="9" t="s">
        <v>41</v>
      </c>
    </row>
    <row r="1043" spans="1:22" x14ac:dyDescent="0.25">
      <c r="A1043" s="10" t="s">
        <v>20</v>
      </c>
      <c r="B1043" t="b">
        <v>0</v>
      </c>
      <c r="C1043" t="b">
        <v>0</v>
      </c>
      <c r="D1043" s="1">
        <v>3180</v>
      </c>
      <c r="E1043" s="1">
        <v>0</v>
      </c>
      <c r="F1043" s="1">
        <v>0</v>
      </c>
      <c r="G1043" s="1">
        <v>2056</v>
      </c>
      <c r="H1043" s="1">
        <v>0</v>
      </c>
      <c r="I1043" s="1">
        <v>0</v>
      </c>
      <c r="J1043" s="1">
        <f t="shared" si="58"/>
        <v>5236</v>
      </c>
      <c r="K1043" s="1">
        <v>3708</v>
      </c>
      <c r="L1043" s="1">
        <v>0</v>
      </c>
      <c r="M1043" s="1">
        <v>590</v>
      </c>
      <c r="N1043" s="1">
        <f t="shared" si="60"/>
        <v>4298</v>
      </c>
      <c r="O1043" s="14">
        <v>0</v>
      </c>
      <c r="P1043" s="17">
        <f t="shared" si="59"/>
        <v>9534</v>
      </c>
      <c r="Q1043" s="1">
        <v>3</v>
      </c>
      <c r="R1043" s="1">
        <v>0</v>
      </c>
      <c r="S1043" s="20">
        <v>40026</v>
      </c>
      <c r="T1043" s="1">
        <v>9537</v>
      </c>
      <c r="U1043" s="9">
        <v>5236</v>
      </c>
      <c r="V1043" s="9" t="s">
        <v>41</v>
      </c>
    </row>
    <row r="1044" spans="1:22" x14ac:dyDescent="0.25">
      <c r="A1044" s="10" t="s">
        <v>20</v>
      </c>
      <c r="B1044" t="b">
        <v>0</v>
      </c>
      <c r="C1044" t="b">
        <v>0</v>
      </c>
      <c r="D1044" s="1">
        <v>1665</v>
      </c>
      <c r="E1044" s="1">
        <v>0</v>
      </c>
      <c r="F1044" s="1">
        <v>0</v>
      </c>
      <c r="G1044" s="1">
        <v>4624</v>
      </c>
      <c r="H1044" s="1">
        <v>0</v>
      </c>
      <c r="I1044" s="1">
        <v>0</v>
      </c>
      <c r="J1044" s="1">
        <f t="shared" si="58"/>
        <v>6289</v>
      </c>
      <c r="K1044" s="1">
        <v>1643</v>
      </c>
      <c r="L1044" s="1">
        <v>0</v>
      </c>
      <c r="M1044" s="1">
        <v>14</v>
      </c>
      <c r="N1044" s="1">
        <f t="shared" si="60"/>
        <v>1657</v>
      </c>
      <c r="O1044" s="14">
        <v>785</v>
      </c>
      <c r="P1044" s="17">
        <f t="shared" si="59"/>
        <v>7946</v>
      </c>
      <c r="Q1044" s="1">
        <v>0</v>
      </c>
      <c r="R1044" s="1">
        <v>0</v>
      </c>
      <c r="S1044" s="20">
        <v>40057</v>
      </c>
      <c r="T1044" s="1">
        <v>8731</v>
      </c>
      <c r="U1044" s="9">
        <v>6289</v>
      </c>
      <c r="V1044" s="9" t="s">
        <v>41</v>
      </c>
    </row>
    <row r="1045" spans="1:22" x14ac:dyDescent="0.25">
      <c r="A1045" s="10" t="s">
        <v>20</v>
      </c>
      <c r="B1045" t="b">
        <v>0</v>
      </c>
      <c r="C1045" t="b">
        <v>0</v>
      </c>
      <c r="D1045" s="1">
        <v>488</v>
      </c>
      <c r="E1045" s="1">
        <v>0</v>
      </c>
      <c r="F1045" s="1">
        <v>0</v>
      </c>
      <c r="G1045" s="1">
        <v>3194</v>
      </c>
      <c r="H1045" s="1">
        <v>0</v>
      </c>
      <c r="I1045" s="1">
        <v>0</v>
      </c>
      <c r="J1045" s="1">
        <f t="shared" si="58"/>
        <v>3682</v>
      </c>
      <c r="K1045" s="1">
        <v>428</v>
      </c>
      <c r="L1045" s="1">
        <v>0</v>
      </c>
      <c r="M1045" s="1">
        <v>0</v>
      </c>
      <c r="N1045" s="1">
        <f t="shared" si="60"/>
        <v>428</v>
      </c>
      <c r="O1045" s="14">
        <v>0</v>
      </c>
      <c r="P1045" s="17">
        <f t="shared" si="59"/>
        <v>4110</v>
      </c>
      <c r="Q1045" s="1">
        <v>0</v>
      </c>
      <c r="R1045" s="1">
        <v>0</v>
      </c>
      <c r="S1045" s="20">
        <v>40087</v>
      </c>
      <c r="T1045" s="1">
        <v>4110</v>
      </c>
      <c r="U1045" s="9">
        <v>3682</v>
      </c>
      <c r="V1045" s="9" t="s">
        <v>41</v>
      </c>
    </row>
    <row r="1046" spans="1:22" x14ac:dyDescent="0.25">
      <c r="A1046" s="10" t="s">
        <v>20</v>
      </c>
      <c r="B1046" t="b">
        <v>0</v>
      </c>
      <c r="C1046" t="b">
        <v>0</v>
      </c>
      <c r="D1046" s="1">
        <v>328</v>
      </c>
      <c r="E1046" s="1">
        <v>0</v>
      </c>
      <c r="F1046" s="1">
        <v>0</v>
      </c>
      <c r="G1046" s="1">
        <v>1962</v>
      </c>
      <c r="H1046" s="1">
        <v>0</v>
      </c>
      <c r="I1046" s="1">
        <v>0</v>
      </c>
      <c r="J1046" s="1">
        <f t="shared" si="58"/>
        <v>2290</v>
      </c>
      <c r="K1046" s="1">
        <v>126</v>
      </c>
      <c r="L1046" s="1">
        <v>0</v>
      </c>
      <c r="M1046" s="1">
        <v>0</v>
      </c>
      <c r="N1046" s="1">
        <f t="shared" si="60"/>
        <v>126</v>
      </c>
      <c r="O1046" s="14">
        <v>0</v>
      </c>
      <c r="P1046" s="17">
        <f t="shared" si="59"/>
        <v>2416</v>
      </c>
      <c r="Q1046" s="1">
        <v>0</v>
      </c>
      <c r="R1046" s="1">
        <v>0</v>
      </c>
      <c r="S1046" s="20">
        <v>40118</v>
      </c>
      <c r="T1046" s="1">
        <v>2416</v>
      </c>
      <c r="U1046" s="9">
        <v>2290</v>
      </c>
      <c r="V1046" s="9" t="s">
        <v>41</v>
      </c>
    </row>
    <row r="1047" spans="1:22" x14ac:dyDescent="0.25">
      <c r="A1047" s="10" t="s">
        <v>20</v>
      </c>
      <c r="B1047" t="b">
        <v>0</v>
      </c>
      <c r="C1047" t="b">
        <v>0</v>
      </c>
      <c r="D1047" s="1">
        <v>198</v>
      </c>
      <c r="E1047" s="1">
        <v>0</v>
      </c>
      <c r="F1047" s="1">
        <v>0</v>
      </c>
      <c r="G1047" s="1">
        <v>1450</v>
      </c>
      <c r="H1047" s="1">
        <v>0</v>
      </c>
      <c r="I1047" s="1">
        <v>0</v>
      </c>
      <c r="J1047" s="1">
        <f t="shared" si="58"/>
        <v>1648</v>
      </c>
      <c r="K1047" s="1">
        <v>117</v>
      </c>
      <c r="L1047" s="1">
        <v>0</v>
      </c>
      <c r="M1047" s="1">
        <v>0</v>
      </c>
      <c r="N1047" s="1">
        <f t="shared" si="60"/>
        <v>117</v>
      </c>
      <c r="O1047" s="14">
        <v>0</v>
      </c>
      <c r="P1047" s="17">
        <f t="shared" si="59"/>
        <v>1765</v>
      </c>
      <c r="Q1047" s="1">
        <v>0</v>
      </c>
      <c r="R1047" s="1">
        <v>0</v>
      </c>
      <c r="S1047" s="20">
        <v>40148</v>
      </c>
      <c r="T1047" s="1">
        <v>1765</v>
      </c>
      <c r="U1047" s="9">
        <v>1648</v>
      </c>
      <c r="V1047" s="9" t="s">
        <v>41</v>
      </c>
    </row>
    <row r="1048" spans="1:22" x14ac:dyDescent="0.25">
      <c r="A1048" s="10" t="s">
        <v>20</v>
      </c>
      <c r="B1048" t="b">
        <v>0</v>
      </c>
      <c r="C1048" t="b">
        <v>0</v>
      </c>
      <c r="D1048" s="1">
        <v>248</v>
      </c>
      <c r="E1048" s="1">
        <v>0</v>
      </c>
      <c r="F1048" s="1">
        <v>0</v>
      </c>
      <c r="G1048" s="1">
        <v>1498</v>
      </c>
      <c r="H1048" s="1">
        <v>0</v>
      </c>
      <c r="I1048" s="1">
        <v>0</v>
      </c>
      <c r="J1048" s="1">
        <f t="shared" si="58"/>
        <v>1746</v>
      </c>
      <c r="K1048" s="1">
        <v>68</v>
      </c>
      <c r="L1048" s="1">
        <v>0</v>
      </c>
      <c r="M1048" s="1">
        <v>0</v>
      </c>
      <c r="N1048" s="1">
        <f t="shared" si="60"/>
        <v>68</v>
      </c>
      <c r="O1048" s="14">
        <v>0</v>
      </c>
      <c r="P1048" s="17">
        <f t="shared" si="59"/>
        <v>1814</v>
      </c>
      <c r="Q1048" s="1">
        <v>0</v>
      </c>
      <c r="R1048" s="1">
        <v>0</v>
      </c>
      <c r="S1048" s="20">
        <v>40179</v>
      </c>
      <c r="T1048" s="1">
        <v>1814</v>
      </c>
      <c r="U1048" s="9">
        <v>1746</v>
      </c>
      <c r="V1048" s="9" t="s">
        <v>21</v>
      </c>
    </row>
    <row r="1049" spans="1:22" x14ac:dyDescent="0.25">
      <c r="A1049" s="10" t="s">
        <v>20</v>
      </c>
      <c r="B1049" t="b">
        <v>0</v>
      </c>
      <c r="C1049" t="b">
        <v>0</v>
      </c>
      <c r="D1049" s="1">
        <v>265</v>
      </c>
      <c r="E1049" s="1">
        <v>0</v>
      </c>
      <c r="F1049" s="1">
        <v>0</v>
      </c>
      <c r="G1049" s="1">
        <v>1800</v>
      </c>
      <c r="H1049" s="1">
        <v>0</v>
      </c>
      <c r="I1049" s="1">
        <v>0</v>
      </c>
      <c r="J1049" s="1">
        <f t="shared" si="58"/>
        <v>2065</v>
      </c>
      <c r="K1049" s="1">
        <v>68</v>
      </c>
      <c r="L1049" s="1">
        <v>0</v>
      </c>
      <c r="M1049" s="1">
        <v>0</v>
      </c>
      <c r="N1049" s="1">
        <f t="shared" si="60"/>
        <v>68</v>
      </c>
      <c r="O1049" s="14">
        <v>0</v>
      </c>
      <c r="P1049" s="17">
        <f t="shared" si="59"/>
        <v>2133</v>
      </c>
      <c r="Q1049" s="1">
        <v>0</v>
      </c>
      <c r="R1049" s="1">
        <v>0</v>
      </c>
      <c r="S1049" s="20">
        <v>40210</v>
      </c>
      <c r="T1049" s="1">
        <v>2133</v>
      </c>
      <c r="U1049" s="9">
        <v>2065</v>
      </c>
      <c r="V1049" s="9" t="s">
        <v>21</v>
      </c>
    </row>
    <row r="1050" spans="1:22" x14ac:dyDescent="0.25">
      <c r="A1050" s="10" t="s">
        <v>20</v>
      </c>
      <c r="B1050" t="b">
        <v>0</v>
      </c>
      <c r="C1050" t="b">
        <v>0</v>
      </c>
      <c r="D1050" s="1">
        <v>555</v>
      </c>
      <c r="E1050" s="1">
        <v>0</v>
      </c>
      <c r="F1050" s="1">
        <v>0</v>
      </c>
      <c r="G1050" s="1">
        <v>3386</v>
      </c>
      <c r="H1050" s="1">
        <v>0</v>
      </c>
      <c r="I1050" s="1">
        <v>0</v>
      </c>
      <c r="J1050" s="1">
        <f t="shared" si="58"/>
        <v>3941</v>
      </c>
      <c r="K1050" s="1">
        <v>311</v>
      </c>
      <c r="L1050" s="1">
        <v>0</v>
      </c>
      <c r="M1050" s="1">
        <v>0</v>
      </c>
      <c r="N1050" s="1">
        <f t="shared" si="60"/>
        <v>311</v>
      </c>
      <c r="O1050" s="14">
        <v>0</v>
      </c>
      <c r="P1050" s="17">
        <f t="shared" si="59"/>
        <v>4252</v>
      </c>
      <c r="Q1050" s="1">
        <v>0</v>
      </c>
      <c r="R1050" s="1">
        <v>0</v>
      </c>
      <c r="S1050" s="20">
        <v>40238</v>
      </c>
      <c r="T1050" s="1">
        <v>4252</v>
      </c>
      <c r="U1050" s="9">
        <v>3941</v>
      </c>
      <c r="V1050" s="9" t="s">
        <v>21</v>
      </c>
    </row>
    <row r="1051" spans="1:22" x14ac:dyDescent="0.25">
      <c r="A1051" s="10" t="s">
        <v>20</v>
      </c>
      <c r="B1051" t="b">
        <v>0</v>
      </c>
      <c r="C1051" t="b">
        <v>0</v>
      </c>
      <c r="D1051" s="1">
        <v>838</v>
      </c>
      <c r="E1051" s="1">
        <v>0</v>
      </c>
      <c r="F1051" s="1">
        <v>0</v>
      </c>
      <c r="G1051" s="1">
        <v>3492</v>
      </c>
      <c r="H1051" s="1">
        <v>0</v>
      </c>
      <c r="I1051" s="1">
        <v>0</v>
      </c>
      <c r="J1051" s="1">
        <f t="shared" si="58"/>
        <v>4330</v>
      </c>
      <c r="K1051" s="1">
        <v>401</v>
      </c>
      <c r="L1051" s="1">
        <v>0</v>
      </c>
      <c r="M1051" s="1">
        <v>0</v>
      </c>
      <c r="N1051" s="1">
        <f t="shared" si="60"/>
        <v>401</v>
      </c>
      <c r="O1051" s="14">
        <v>0</v>
      </c>
      <c r="P1051" s="17">
        <f t="shared" si="59"/>
        <v>4731</v>
      </c>
      <c r="Q1051" s="1">
        <v>5</v>
      </c>
      <c r="R1051" s="1">
        <v>0</v>
      </c>
      <c r="S1051" s="20">
        <v>40269</v>
      </c>
      <c r="T1051" s="1">
        <v>4736</v>
      </c>
      <c r="U1051" s="9">
        <v>4330</v>
      </c>
      <c r="V1051" s="9" t="s">
        <v>21</v>
      </c>
    </row>
    <row r="1052" spans="1:22" x14ac:dyDescent="0.25">
      <c r="A1052" s="10" t="s">
        <v>20</v>
      </c>
      <c r="B1052" t="b">
        <v>0</v>
      </c>
      <c r="C1052" t="b">
        <v>0</v>
      </c>
      <c r="D1052" s="1">
        <v>1883</v>
      </c>
      <c r="E1052" s="1">
        <v>0</v>
      </c>
      <c r="F1052" s="1">
        <v>0</v>
      </c>
      <c r="G1052" s="1">
        <v>1238</v>
      </c>
      <c r="H1052" s="1">
        <v>0</v>
      </c>
      <c r="I1052" s="1">
        <v>0</v>
      </c>
      <c r="J1052" s="1">
        <f t="shared" si="58"/>
        <v>3121</v>
      </c>
      <c r="K1052" s="1">
        <v>1368</v>
      </c>
      <c r="L1052" s="1">
        <v>0</v>
      </c>
      <c r="M1052" s="1">
        <v>440</v>
      </c>
      <c r="N1052" s="1">
        <f t="shared" si="60"/>
        <v>1808</v>
      </c>
      <c r="O1052" s="14">
        <v>0</v>
      </c>
      <c r="P1052" s="17">
        <f t="shared" si="59"/>
        <v>4929</v>
      </c>
      <c r="Q1052" s="1">
        <v>2</v>
      </c>
      <c r="R1052" s="1">
        <v>0</v>
      </c>
      <c r="S1052" s="20">
        <v>40299</v>
      </c>
      <c r="T1052" s="1">
        <v>4931</v>
      </c>
      <c r="U1052" s="9">
        <v>3121</v>
      </c>
      <c r="V1052" s="9" t="s">
        <v>21</v>
      </c>
    </row>
    <row r="1053" spans="1:22" x14ac:dyDescent="0.25">
      <c r="A1053" s="10" t="s">
        <v>20</v>
      </c>
      <c r="B1053" t="b">
        <v>0</v>
      </c>
      <c r="C1053" t="b">
        <v>0</v>
      </c>
      <c r="D1053" s="1">
        <v>3528</v>
      </c>
      <c r="E1053" s="1">
        <v>0</v>
      </c>
      <c r="F1053" s="1">
        <v>0</v>
      </c>
      <c r="G1053" s="1">
        <v>4484</v>
      </c>
      <c r="H1053" s="1">
        <v>0</v>
      </c>
      <c r="I1053" s="1">
        <v>0</v>
      </c>
      <c r="J1053" s="1">
        <f t="shared" si="58"/>
        <v>8012</v>
      </c>
      <c r="K1053" s="1">
        <v>2363</v>
      </c>
      <c r="L1053" s="1">
        <v>600</v>
      </c>
      <c r="M1053" s="1">
        <v>0</v>
      </c>
      <c r="N1053" s="1">
        <f t="shared" si="60"/>
        <v>2963</v>
      </c>
      <c r="O1053" s="14">
        <v>0</v>
      </c>
      <c r="P1053" s="17">
        <f t="shared" si="59"/>
        <v>10975</v>
      </c>
      <c r="Q1053" s="1">
        <v>3</v>
      </c>
      <c r="R1053" s="1">
        <v>0</v>
      </c>
      <c r="S1053" s="20">
        <v>40330</v>
      </c>
      <c r="T1053" s="1">
        <v>10978</v>
      </c>
      <c r="U1053" s="9">
        <v>8012</v>
      </c>
      <c r="V1053" s="9" t="s">
        <v>21</v>
      </c>
    </row>
    <row r="1054" spans="1:22" x14ac:dyDescent="0.25">
      <c r="A1054" s="10" t="s">
        <v>20</v>
      </c>
      <c r="B1054" t="b">
        <v>0</v>
      </c>
      <c r="C1054" t="b">
        <v>0</v>
      </c>
      <c r="D1054" s="1">
        <v>4205</v>
      </c>
      <c r="E1054" s="1">
        <v>0</v>
      </c>
      <c r="F1054" s="1">
        <v>0</v>
      </c>
      <c r="G1054" s="1">
        <v>9438</v>
      </c>
      <c r="H1054" s="1">
        <v>0</v>
      </c>
      <c r="I1054" s="1">
        <v>0</v>
      </c>
      <c r="J1054" s="1">
        <f t="shared" si="58"/>
        <v>13643</v>
      </c>
      <c r="K1054" s="1">
        <v>4424</v>
      </c>
      <c r="L1054" s="1">
        <v>0</v>
      </c>
      <c r="M1054" s="1">
        <v>930</v>
      </c>
      <c r="N1054" s="1">
        <f t="shared" si="60"/>
        <v>5354</v>
      </c>
      <c r="O1054" s="14">
        <v>20</v>
      </c>
      <c r="P1054" s="17">
        <f t="shared" si="59"/>
        <v>18997</v>
      </c>
      <c r="Q1054" s="1">
        <v>1</v>
      </c>
      <c r="R1054" s="1">
        <v>0</v>
      </c>
      <c r="S1054" s="20">
        <v>40360</v>
      </c>
      <c r="T1054" s="1">
        <v>19018</v>
      </c>
      <c r="U1054" s="9">
        <v>13643</v>
      </c>
      <c r="V1054" s="9" t="s">
        <v>21</v>
      </c>
    </row>
    <row r="1055" spans="1:22" x14ac:dyDescent="0.25">
      <c r="A1055" s="10" t="s">
        <v>20</v>
      </c>
      <c r="B1055" t="b">
        <v>0</v>
      </c>
      <c r="C1055" t="b">
        <v>0</v>
      </c>
      <c r="D1055" s="1">
        <v>2353</v>
      </c>
      <c r="E1055" s="1">
        <v>0</v>
      </c>
      <c r="F1055" s="1">
        <v>0</v>
      </c>
      <c r="G1055" s="1">
        <v>7860</v>
      </c>
      <c r="H1055" s="1">
        <v>0</v>
      </c>
      <c r="I1055" s="1">
        <v>0</v>
      </c>
      <c r="J1055" s="1">
        <f t="shared" si="58"/>
        <v>10213</v>
      </c>
      <c r="K1055" s="1">
        <v>3128</v>
      </c>
      <c r="L1055" s="1">
        <v>0</v>
      </c>
      <c r="M1055" s="1">
        <v>392</v>
      </c>
      <c r="N1055" s="1">
        <f t="shared" si="60"/>
        <v>3520</v>
      </c>
      <c r="O1055" s="14">
        <v>0</v>
      </c>
      <c r="P1055" s="17">
        <f t="shared" si="59"/>
        <v>13733</v>
      </c>
      <c r="Q1055" s="1">
        <v>10</v>
      </c>
      <c r="R1055" s="1">
        <v>0</v>
      </c>
      <c r="S1055" s="20">
        <v>40391</v>
      </c>
      <c r="T1055" s="1">
        <v>13743</v>
      </c>
      <c r="U1055" s="9">
        <v>10213</v>
      </c>
      <c r="V1055" s="9" t="s">
        <v>21</v>
      </c>
    </row>
    <row r="1056" spans="1:22" x14ac:dyDescent="0.25">
      <c r="A1056" s="10" t="s">
        <v>20</v>
      </c>
      <c r="B1056" t="b">
        <v>0</v>
      </c>
      <c r="C1056" t="b">
        <v>0</v>
      </c>
      <c r="D1056" s="1">
        <v>1778</v>
      </c>
      <c r="E1056" s="1">
        <v>0</v>
      </c>
      <c r="F1056" s="1">
        <v>0</v>
      </c>
      <c r="G1056" s="1">
        <v>6704</v>
      </c>
      <c r="H1056" s="1">
        <v>0</v>
      </c>
      <c r="I1056" s="1">
        <v>0</v>
      </c>
      <c r="J1056" s="1">
        <f t="shared" si="58"/>
        <v>8482</v>
      </c>
      <c r="K1056" s="1">
        <v>2142</v>
      </c>
      <c r="L1056" s="1">
        <v>0</v>
      </c>
      <c r="M1056" s="1">
        <v>260</v>
      </c>
      <c r="N1056" s="1">
        <f t="shared" si="60"/>
        <v>2402</v>
      </c>
      <c r="O1056" s="14">
        <v>0</v>
      </c>
      <c r="P1056" s="17">
        <f t="shared" si="59"/>
        <v>10884</v>
      </c>
      <c r="Q1056" s="1">
        <v>0</v>
      </c>
      <c r="R1056" s="1">
        <v>0</v>
      </c>
      <c r="S1056" s="20">
        <v>40422</v>
      </c>
      <c r="T1056" s="1">
        <v>10884</v>
      </c>
      <c r="U1056" s="9">
        <v>8482</v>
      </c>
      <c r="V1056" s="9" t="s">
        <v>21</v>
      </c>
    </row>
    <row r="1057" spans="1:22" x14ac:dyDescent="0.25">
      <c r="A1057" s="10" t="s">
        <v>20</v>
      </c>
      <c r="B1057" t="b">
        <v>0</v>
      </c>
      <c r="C1057" t="b">
        <v>0</v>
      </c>
      <c r="D1057" s="1">
        <v>688</v>
      </c>
      <c r="E1057" s="1">
        <v>0</v>
      </c>
      <c r="F1057" s="1">
        <v>0</v>
      </c>
      <c r="G1057" s="1">
        <v>3636</v>
      </c>
      <c r="H1057" s="1">
        <v>0</v>
      </c>
      <c r="I1057" s="1">
        <v>0</v>
      </c>
      <c r="J1057" s="1">
        <f t="shared" si="58"/>
        <v>4324</v>
      </c>
      <c r="K1057" s="1">
        <v>423</v>
      </c>
      <c r="L1057" s="1">
        <v>0</v>
      </c>
      <c r="M1057" s="1">
        <v>0</v>
      </c>
      <c r="N1057" s="1">
        <f t="shared" si="60"/>
        <v>423</v>
      </c>
      <c r="O1057" s="14">
        <v>0</v>
      </c>
      <c r="P1057" s="17">
        <f t="shared" si="59"/>
        <v>4747</v>
      </c>
      <c r="Q1057" s="1">
        <v>0</v>
      </c>
      <c r="R1057" s="1">
        <v>0</v>
      </c>
      <c r="S1057" s="20">
        <v>40452</v>
      </c>
      <c r="T1057" s="1">
        <v>4747</v>
      </c>
      <c r="U1057" s="9">
        <v>4324</v>
      </c>
      <c r="V1057" s="9" t="s">
        <v>21</v>
      </c>
    </row>
    <row r="1058" spans="1:22" x14ac:dyDescent="0.25">
      <c r="A1058" s="10" t="s">
        <v>20</v>
      </c>
      <c r="B1058" t="b">
        <v>0</v>
      </c>
      <c r="C1058" t="b">
        <v>0</v>
      </c>
      <c r="D1058" s="1">
        <v>293</v>
      </c>
      <c r="E1058" s="1">
        <v>0</v>
      </c>
      <c r="F1058" s="1">
        <v>0</v>
      </c>
      <c r="G1058" s="1">
        <v>3748</v>
      </c>
      <c r="H1058" s="1">
        <v>0</v>
      </c>
      <c r="I1058" s="1">
        <v>0</v>
      </c>
      <c r="J1058" s="1">
        <f t="shared" si="58"/>
        <v>4041</v>
      </c>
      <c r="K1058" s="1">
        <v>194</v>
      </c>
      <c r="L1058" s="1">
        <v>0</v>
      </c>
      <c r="M1058" s="1">
        <v>0</v>
      </c>
      <c r="N1058" s="1">
        <f t="shared" si="60"/>
        <v>194</v>
      </c>
      <c r="O1058" s="14">
        <v>0</v>
      </c>
      <c r="P1058" s="17">
        <f t="shared" si="59"/>
        <v>4235</v>
      </c>
      <c r="Q1058" s="1">
        <v>8</v>
      </c>
      <c r="R1058" s="1">
        <v>0</v>
      </c>
      <c r="S1058" s="20">
        <v>40483</v>
      </c>
      <c r="T1058" s="1">
        <v>4243</v>
      </c>
      <c r="U1058" s="9">
        <v>4041</v>
      </c>
      <c r="V1058" s="9" t="s">
        <v>21</v>
      </c>
    </row>
    <row r="1059" spans="1:22" x14ac:dyDescent="0.25">
      <c r="A1059" s="10" t="s">
        <v>20</v>
      </c>
      <c r="B1059" t="b">
        <v>0</v>
      </c>
      <c r="C1059" t="b">
        <v>0</v>
      </c>
      <c r="D1059" s="1">
        <v>188</v>
      </c>
      <c r="E1059" s="1">
        <v>0</v>
      </c>
      <c r="F1059" s="1">
        <v>0</v>
      </c>
      <c r="G1059" s="1">
        <v>364</v>
      </c>
      <c r="H1059" s="1">
        <v>0</v>
      </c>
      <c r="I1059" s="1">
        <v>0</v>
      </c>
      <c r="J1059" s="1">
        <f t="shared" si="58"/>
        <v>552</v>
      </c>
      <c r="K1059" s="1">
        <v>81</v>
      </c>
      <c r="L1059" s="1">
        <v>0</v>
      </c>
      <c r="M1059" s="1">
        <v>0</v>
      </c>
      <c r="N1059" s="1">
        <f t="shared" si="60"/>
        <v>81</v>
      </c>
      <c r="O1059" s="14">
        <v>0</v>
      </c>
      <c r="P1059" s="17">
        <f t="shared" si="59"/>
        <v>633</v>
      </c>
      <c r="Q1059" s="1">
        <v>0</v>
      </c>
      <c r="R1059" s="1">
        <v>0</v>
      </c>
      <c r="S1059" s="20">
        <v>40513</v>
      </c>
      <c r="T1059" s="1">
        <v>633</v>
      </c>
      <c r="U1059" s="9">
        <v>552</v>
      </c>
      <c r="V1059" s="9" t="s">
        <v>21</v>
      </c>
    </row>
    <row r="1060" spans="1:22" x14ac:dyDescent="0.25">
      <c r="A1060" s="10" t="s">
        <v>20</v>
      </c>
      <c r="B1060" t="b">
        <v>0</v>
      </c>
      <c r="C1060" t="b">
        <v>0</v>
      </c>
      <c r="D1060" s="1">
        <v>245</v>
      </c>
      <c r="E1060" s="1">
        <v>0</v>
      </c>
      <c r="F1060" s="1">
        <v>0</v>
      </c>
      <c r="G1060" s="1">
        <v>244</v>
      </c>
      <c r="H1060" s="1">
        <v>0</v>
      </c>
      <c r="I1060" s="1">
        <v>0</v>
      </c>
      <c r="J1060" s="1">
        <f t="shared" si="58"/>
        <v>489</v>
      </c>
      <c r="K1060" s="1">
        <v>72</v>
      </c>
      <c r="L1060" s="1">
        <v>0</v>
      </c>
      <c r="M1060" s="1">
        <v>0</v>
      </c>
      <c r="N1060" s="1">
        <f t="shared" si="60"/>
        <v>72</v>
      </c>
      <c r="O1060" s="14">
        <v>0</v>
      </c>
      <c r="P1060" s="17">
        <f t="shared" si="59"/>
        <v>561</v>
      </c>
      <c r="Q1060" s="1">
        <v>2</v>
      </c>
      <c r="R1060" s="1">
        <v>0</v>
      </c>
      <c r="S1060" s="20">
        <v>40544</v>
      </c>
      <c r="T1060" s="1">
        <v>563</v>
      </c>
      <c r="U1060" s="9">
        <v>489</v>
      </c>
      <c r="V1060" s="9" t="s">
        <v>21</v>
      </c>
    </row>
    <row r="1061" spans="1:22" x14ac:dyDescent="0.25">
      <c r="A1061" s="10" t="s">
        <v>20</v>
      </c>
      <c r="B1061" t="b">
        <v>0</v>
      </c>
      <c r="C1061" t="b">
        <v>0</v>
      </c>
      <c r="D1061" s="1">
        <v>395</v>
      </c>
      <c r="E1061" s="1">
        <v>0</v>
      </c>
      <c r="F1061" s="1">
        <v>0</v>
      </c>
      <c r="G1061" s="1">
        <v>234</v>
      </c>
      <c r="H1061" s="1">
        <v>0</v>
      </c>
      <c r="I1061" s="1">
        <v>0</v>
      </c>
      <c r="J1061" s="1">
        <f t="shared" si="58"/>
        <v>629</v>
      </c>
      <c r="K1061" s="1">
        <v>50</v>
      </c>
      <c r="L1061" s="1">
        <v>0</v>
      </c>
      <c r="M1061" s="1">
        <v>0</v>
      </c>
      <c r="N1061" s="1">
        <f t="shared" si="60"/>
        <v>50</v>
      </c>
      <c r="O1061" s="14">
        <v>0</v>
      </c>
      <c r="P1061" s="17">
        <f t="shared" si="59"/>
        <v>679</v>
      </c>
      <c r="Q1061" s="1">
        <v>3</v>
      </c>
      <c r="R1061" s="1">
        <v>0</v>
      </c>
      <c r="S1061" s="20">
        <v>40575</v>
      </c>
      <c r="T1061" s="1">
        <v>682</v>
      </c>
      <c r="U1061" s="9">
        <v>629</v>
      </c>
      <c r="V1061" s="9" t="s">
        <v>21</v>
      </c>
    </row>
    <row r="1062" spans="1:22" x14ac:dyDescent="0.25">
      <c r="A1062" s="10" t="s">
        <v>20</v>
      </c>
      <c r="B1062" t="b">
        <v>0</v>
      </c>
      <c r="C1062" t="b">
        <v>0</v>
      </c>
      <c r="D1062" s="1">
        <v>358</v>
      </c>
      <c r="E1062" s="1">
        <v>0</v>
      </c>
      <c r="F1062" s="1">
        <v>0</v>
      </c>
      <c r="G1062" s="1">
        <v>310</v>
      </c>
      <c r="H1062" s="1">
        <v>0</v>
      </c>
      <c r="I1062" s="1">
        <v>0</v>
      </c>
      <c r="J1062" s="1">
        <f t="shared" si="58"/>
        <v>668</v>
      </c>
      <c r="K1062" s="1">
        <v>149</v>
      </c>
      <c r="L1062" s="1">
        <v>0</v>
      </c>
      <c r="M1062" s="1">
        <v>0</v>
      </c>
      <c r="N1062" s="1">
        <f t="shared" si="60"/>
        <v>149</v>
      </c>
      <c r="O1062" s="14">
        <v>0</v>
      </c>
      <c r="P1062" s="17">
        <f t="shared" si="59"/>
        <v>817</v>
      </c>
      <c r="Q1062" s="1">
        <v>3</v>
      </c>
      <c r="R1062" s="1">
        <v>0</v>
      </c>
      <c r="S1062" s="20">
        <v>40603</v>
      </c>
      <c r="T1062" s="1">
        <v>820</v>
      </c>
      <c r="U1062" s="9">
        <v>668</v>
      </c>
      <c r="V1062" s="9" t="s">
        <v>21</v>
      </c>
    </row>
    <row r="1063" spans="1:22" x14ac:dyDescent="0.25">
      <c r="A1063" s="10" t="s">
        <v>20</v>
      </c>
      <c r="B1063" t="b">
        <v>0</v>
      </c>
      <c r="C1063" t="b">
        <v>0</v>
      </c>
      <c r="D1063" s="1">
        <v>838</v>
      </c>
      <c r="E1063" s="1">
        <v>0</v>
      </c>
      <c r="F1063" s="1">
        <v>0</v>
      </c>
      <c r="G1063" s="1">
        <v>334</v>
      </c>
      <c r="H1063" s="1">
        <v>0</v>
      </c>
      <c r="I1063" s="1">
        <v>0</v>
      </c>
      <c r="J1063" s="1">
        <f t="shared" si="58"/>
        <v>1172</v>
      </c>
      <c r="K1063" s="1">
        <v>473</v>
      </c>
      <c r="L1063" s="1">
        <v>0</v>
      </c>
      <c r="M1063" s="1">
        <v>0</v>
      </c>
      <c r="N1063" s="1">
        <f t="shared" si="60"/>
        <v>473</v>
      </c>
      <c r="O1063" s="14">
        <v>0</v>
      </c>
      <c r="P1063" s="17">
        <f t="shared" si="59"/>
        <v>1645</v>
      </c>
      <c r="Q1063" s="1">
        <v>1</v>
      </c>
      <c r="R1063" s="1">
        <v>0</v>
      </c>
      <c r="S1063" s="20">
        <v>40634</v>
      </c>
      <c r="T1063" s="1">
        <v>1646</v>
      </c>
      <c r="U1063" s="9">
        <v>1172</v>
      </c>
      <c r="V1063" s="9" t="s">
        <v>21</v>
      </c>
    </row>
    <row r="1064" spans="1:22" x14ac:dyDescent="0.25">
      <c r="A1064" s="10" t="s">
        <v>20</v>
      </c>
      <c r="B1064" t="b">
        <v>0</v>
      </c>
      <c r="C1064" t="b">
        <v>0</v>
      </c>
      <c r="D1064" s="1">
        <v>803</v>
      </c>
      <c r="E1064" s="1">
        <v>0</v>
      </c>
      <c r="F1064" s="1">
        <v>0</v>
      </c>
      <c r="G1064" s="1">
        <v>422</v>
      </c>
      <c r="H1064" s="1">
        <v>0</v>
      </c>
      <c r="I1064" s="1">
        <v>0</v>
      </c>
      <c r="J1064" s="1">
        <f t="shared" si="58"/>
        <v>1225</v>
      </c>
      <c r="K1064" s="1">
        <v>1301</v>
      </c>
      <c r="L1064" s="1">
        <v>0</v>
      </c>
      <c r="M1064" s="1">
        <v>290</v>
      </c>
      <c r="N1064" s="1">
        <f t="shared" si="60"/>
        <v>1591</v>
      </c>
      <c r="O1064" s="14">
        <v>0</v>
      </c>
      <c r="P1064" s="17">
        <f t="shared" si="59"/>
        <v>2816</v>
      </c>
      <c r="Q1064" s="1">
        <v>7</v>
      </c>
      <c r="R1064" s="1">
        <v>0</v>
      </c>
      <c r="S1064" s="20">
        <v>40664</v>
      </c>
      <c r="T1064" s="1">
        <v>2823</v>
      </c>
      <c r="U1064" s="9">
        <v>1225</v>
      </c>
      <c r="V1064" s="9" t="s">
        <v>21</v>
      </c>
    </row>
    <row r="1065" spans="1:22" x14ac:dyDescent="0.25">
      <c r="A1065" s="10" t="s">
        <v>20</v>
      </c>
      <c r="B1065" t="b">
        <v>0</v>
      </c>
      <c r="C1065" t="b">
        <v>0</v>
      </c>
      <c r="D1065" s="1">
        <v>2370</v>
      </c>
      <c r="E1065" s="1">
        <v>0</v>
      </c>
      <c r="F1065" s="1">
        <v>0</v>
      </c>
      <c r="G1065" s="1">
        <v>496</v>
      </c>
      <c r="H1065" s="1">
        <v>0</v>
      </c>
      <c r="I1065" s="1">
        <v>0</v>
      </c>
      <c r="J1065" s="1">
        <f t="shared" si="58"/>
        <v>2866</v>
      </c>
      <c r="K1065" s="1">
        <v>2273</v>
      </c>
      <c r="L1065" s="1">
        <v>0</v>
      </c>
      <c r="M1065" s="1">
        <v>970</v>
      </c>
      <c r="N1065" s="1">
        <f t="shared" si="60"/>
        <v>3243</v>
      </c>
      <c r="O1065" s="14">
        <v>0</v>
      </c>
      <c r="P1065" s="17">
        <f t="shared" si="59"/>
        <v>6109</v>
      </c>
      <c r="Q1065" s="1">
        <v>3</v>
      </c>
      <c r="R1065" s="1">
        <v>0</v>
      </c>
      <c r="S1065" s="20">
        <v>40695</v>
      </c>
      <c r="T1065" s="1">
        <v>6112</v>
      </c>
      <c r="U1065" s="9">
        <v>2866</v>
      </c>
      <c r="V1065" s="9" t="s">
        <v>21</v>
      </c>
    </row>
    <row r="1066" spans="1:22" x14ac:dyDescent="0.25">
      <c r="A1066" s="10" t="s">
        <v>20</v>
      </c>
      <c r="B1066" t="b">
        <v>0</v>
      </c>
      <c r="C1066" t="b">
        <v>0</v>
      </c>
      <c r="D1066" s="1">
        <v>3393</v>
      </c>
      <c r="E1066" s="1">
        <v>0</v>
      </c>
      <c r="F1066" s="1">
        <v>0</v>
      </c>
      <c r="G1066" s="1">
        <v>144</v>
      </c>
      <c r="H1066" s="1">
        <v>0</v>
      </c>
      <c r="I1066" s="1">
        <v>0</v>
      </c>
      <c r="J1066" s="1">
        <f t="shared" si="58"/>
        <v>3537</v>
      </c>
      <c r="K1066" s="1">
        <v>851</v>
      </c>
      <c r="L1066" s="1">
        <v>0</v>
      </c>
      <c r="M1066" s="1">
        <v>1155</v>
      </c>
      <c r="N1066" s="1">
        <f t="shared" si="60"/>
        <v>2006</v>
      </c>
      <c r="O1066" s="14">
        <v>0</v>
      </c>
      <c r="P1066" s="17">
        <f t="shared" si="59"/>
        <v>5543</v>
      </c>
      <c r="Q1066" s="1">
        <v>2</v>
      </c>
      <c r="R1066" s="1">
        <v>0</v>
      </c>
      <c r="S1066" s="20">
        <v>40725</v>
      </c>
      <c r="T1066" s="1">
        <v>5545</v>
      </c>
      <c r="U1066" s="9">
        <v>3537</v>
      </c>
      <c r="V1066" s="9" t="s">
        <v>21</v>
      </c>
    </row>
    <row r="1067" spans="1:22" x14ac:dyDescent="0.25">
      <c r="A1067" s="10" t="s">
        <v>20</v>
      </c>
      <c r="B1067" t="b">
        <v>0</v>
      </c>
      <c r="C1067" t="b">
        <v>0</v>
      </c>
      <c r="D1067" s="1">
        <v>1695</v>
      </c>
      <c r="E1067" s="1">
        <v>0</v>
      </c>
      <c r="F1067" s="1">
        <v>0</v>
      </c>
      <c r="G1067" s="1">
        <v>258</v>
      </c>
      <c r="H1067" s="1">
        <v>0</v>
      </c>
      <c r="I1067" s="1">
        <v>0</v>
      </c>
      <c r="J1067" s="1">
        <f t="shared" si="58"/>
        <v>1953</v>
      </c>
      <c r="K1067" s="1">
        <v>2646</v>
      </c>
      <c r="L1067" s="1">
        <v>0</v>
      </c>
      <c r="M1067" s="1">
        <v>580</v>
      </c>
      <c r="N1067" s="1">
        <f t="shared" si="60"/>
        <v>3226</v>
      </c>
      <c r="O1067" s="14">
        <v>0</v>
      </c>
      <c r="P1067" s="17">
        <f t="shared" si="59"/>
        <v>5179</v>
      </c>
      <c r="Q1067" s="1">
        <v>4</v>
      </c>
      <c r="R1067" s="1">
        <v>0</v>
      </c>
      <c r="S1067" s="20">
        <v>40756</v>
      </c>
      <c r="T1067" s="1">
        <v>5183</v>
      </c>
      <c r="U1067" s="9">
        <v>1953</v>
      </c>
      <c r="V1067" s="9" t="s">
        <v>21</v>
      </c>
    </row>
    <row r="1068" spans="1:22" x14ac:dyDescent="0.25">
      <c r="A1068" s="10" t="s">
        <v>20</v>
      </c>
      <c r="B1068" t="b">
        <v>0</v>
      </c>
      <c r="C1068" t="b">
        <v>0</v>
      </c>
      <c r="D1068" s="1">
        <v>1610</v>
      </c>
      <c r="E1068" s="1">
        <v>0</v>
      </c>
      <c r="F1068" s="1">
        <v>0</v>
      </c>
      <c r="G1068" s="1">
        <v>236</v>
      </c>
      <c r="H1068" s="1">
        <v>0</v>
      </c>
      <c r="I1068" s="1">
        <v>0</v>
      </c>
      <c r="J1068" s="1">
        <f t="shared" si="58"/>
        <v>1846</v>
      </c>
      <c r="K1068" s="1">
        <v>1854</v>
      </c>
      <c r="L1068" s="1">
        <v>0</v>
      </c>
      <c r="M1068" s="1">
        <v>540</v>
      </c>
      <c r="N1068" s="1">
        <f t="shared" si="60"/>
        <v>2394</v>
      </c>
      <c r="O1068" s="14">
        <v>0</v>
      </c>
      <c r="P1068" s="17">
        <f t="shared" si="59"/>
        <v>4240</v>
      </c>
      <c r="Q1068" s="1">
        <v>0</v>
      </c>
      <c r="R1068" s="1">
        <v>0</v>
      </c>
      <c r="S1068" s="20">
        <v>40787</v>
      </c>
      <c r="T1068" s="1">
        <v>4240</v>
      </c>
      <c r="U1068" s="9">
        <v>1846</v>
      </c>
      <c r="V1068" s="9" t="s">
        <v>21</v>
      </c>
    </row>
    <row r="1069" spans="1:22" x14ac:dyDescent="0.25">
      <c r="A1069" s="10" t="s">
        <v>20</v>
      </c>
      <c r="B1069" t="b">
        <v>0</v>
      </c>
      <c r="C1069" t="b">
        <v>0</v>
      </c>
      <c r="D1069" s="1">
        <v>678</v>
      </c>
      <c r="E1069" s="1">
        <v>0</v>
      </c>
      <c r="F1069" s="1">
        <v>0</v>
      </c>
      <c r="G1069" s="1">
        <v>256</v>
      </c>
      <c r="H1069" s="1">
        <v>0</v>
      </c>
      <c r="I1069" s="1">
        <v>0</v>
      </c>
      <c r="J1069" s="1">
        <f t="shared" si="58"/>
        <v>934</v>
      </c>
      <c r="K1069" s="1">
        <v>338</v>
      </c>
      <c r="L1069" s="1">
        <v>0</v>
      </c>
      <c r="M1069" s="1">
        <v>300</v>
      </c>
      <c r="N1069" s="1">
        <f t="shared" si="60"/>
        <v>638</v>
      </c>
      <c r="O1069" s="14">
        <v>0</v>
      </c>
      <c r="P1069" s="17">
        <f t="shared" si="59"/>
        <v>1572</v>
      </c>
      <c r="Q1069" s="1">
        <v>9</v>
      </c>
      <c r="R1069" s="1">
        <v>0</v>
      </c>
      <c r="S1069" s="20">
        <v>40817</v>
      </c>
      <c r="T1069" s="1">
        <v>1581</v>
      </c>
      <c r="U1069" s="9">
        <v>934</v>
      </c>
      <c r="V1069" s="9" t="s">
        <v>21</v>
      </c>
    </row>
    <row r="1070" spans="1:22" x14ac:dyDescent="0.25">
      <c r="A1070" s="10" t="s">
        <v>20</v>
      </c>
      <c r="B1070" t="b">
        <v>0</v>
      </c>
      <c r="C1070" t="b">
        <v>0</v>
      </c>
      <c r="D1070" s="1">
        <v>123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f t="shared" si="58"/>
        <v>123</v>
      </c>
      <c r="K1070" s="1">
        <v>59</v>
      </c>
      <c r="L1070" s="1">
        <v>0</v>
      </c>
      <c r="M1070" s="1">
        <v>0</v>
      </c>
      <c r="N1070" s="1">
        <f t="shared" si="60"/>
        <v>59</v>
      </c>
      <c r="O1070" s="14">
        <v>0</v>
      </c>
      <c r="P1070" s="17">
        <f t="shared" si="59"/>
        <v>182</v>
      </c>
      <c r="Q1070" s="1">
        <v>1</v>
      </c>
      <c r="R1070" s="1">
        <v>0</v>
      </c>
      <c r="S1070" s="20">
        <v>40848</v>
      </c>
      <c r="T1070" s="1">
        <v>183</v>
      </c>
      <c r="U1070" s="9">
        <v>123</v>
      </c>
      <c r="V1070" s="9" t="s">
        <v>21</v>
      </c>
    </row>
    <row r="1071" spans="1:22" x14ac:dyDescent="0.25">
      <c r="A1071" s="10" t="s">
        <v>20</v>
      </c>
      <c r="B1071" t="b">
        <v>0</v>
      </c>
      <c r="C1071" t="b">
        <v>0</v>
      </c>
      <c r="D1071" s="1">
        <v>128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f t="shared" si="58"/>
        <v>128</v>
      </c>
      <c r="K1071" s="1">
        <v>14</v>
      </c>
      <c r="L1071" s="1">
        <v>0</v>
      </c>
      <c r="M1071" s="1">
        <v>0</v>
      </c>
      <c r="N1071" s="1">
        <f t="shared" si="60"/>
        <v>14</v>
      </c>
      <c r="O1071" s="14">
        <v>0</v>
      </c>
      <c r="P1071" s="17">
        <f t="shared" si="59"/>
        <v>142</v>
      </c>
      <c r="Q1071" s="1">
        <v>0</v>
      </c>
      <c r="R1071" s="1">
        <v>0</v>
      </c>
      <c r="S1071" s="20">
        <v>40878</v>
      </c>
      <c r="T1071" s="1">
        <v>142</v>
      </c>
      <c r="U1071" s="9">
        <v>128</v>
      </c>
      <c r="V1071" s="9" t="s">
        <v>21</v>
      </c>
    </row>
    <row r="1072" spans="1:22" x14ac:dyDescent="0.25">
      <c r="A1072" s="10" t="s">
        <v>20</v>
      </c>
      <c r="B1072" t="b">
        <v>0</v>
      </c>
      <c r="C1072" t="b">
        <v>0</v>
      </c>
      <c r="D1072" s="1">
        <v>468</v>
      </c>
      <c r="E1072" s="1">
        <v>0</v>
      </c>
      <c r="F1072" s="1">
        <v>0</v>
      </c>
      <c r="G1072" s="1">
        <v>6</v>
      </c>
      <c r="H1072" s="1">
        <v>0</v>
      </c>
      <c r="I1072" s="1">
        <v>0</v>
      </c>
      <c r="J1072" s="1">
        <f t="shared" si="58"/>
        <v>474</v>
      </c>
      <c r="K1072" s="1">
        <v>18</v>
      </c>
      <c r="L1072" s="1">
        <v>0</v>
      </c>
      <c r="M1072" s="1">
        <v>0</v>
      </c>
      <c r="N1072" s="1">
        <f t="shared" si="60"/>
        <v>18</v>
      </c>
      <c r="O1072" s="14">
        <v>0</v>
      </c>
      <c r="P1072" s="17">
        <f t="shared" si="59"/>
        <v>492</v>
      </c>
      <c r="Q1072" s="1">
        <v>0</v>
      </c>
      <c r="R1072" s="1">
        <v>0</v>
      </c>
      <c r="S1072" s="20">
        <v>40909</v>
      </c>
      <c r="T1072" s="1">
        <v>492</v>
      </c>
      <c r="U1072" s="9">
        <v>474</v>
      </c>
      <c r="V1072" s="9" t="s">
        <v>21</v>
      </c>
    </row>
    <row r="1073" spans="1:22" x14ac:dyDescent="0.25">
      <c r="A1073" s="10" t="s">
        <v>20</v>
      </c>
      <c r="B1073" t="b">
        <v>0</v>
      </c>
      <c r="C1073" t="b">
        <v>0</v>
      </c>
      <c r="D1073" s="1">
        <v>410</v>
      </c>
      <c r="E1073" s="1">
        <v>0</v>
      </c>
      <c r="F1073" s="1">
        <v>0</v>
      </c>
      <c r="G1073" s="1">
        <v>10</v>
      </c>
      <c r="H1073" s="1">
        <v>0</v>
      </c>
      <c r="I1073" s="1">
        <v>0</v>
      </c>
      <c r="J1073" s="1">
        <f t="shared" si="58"/>
        <v>420</v>
      </c>
      <c r="K1073" s="1">
        <v>144</v>
      </c>
      <c r="L1073" s="1">
        <v>0</v>
      </c>
      <c r="M1073" s="1">
        <v>0</v>
      </c>
      <c r="N1073" s="1">
        <f t="shared" si="60"/>
        <v>144</v>
      </c>
      <c r="O1073" s="14">
        <v>0</v>
      </c>
      <c r="P1073" s="17">
        <f t="shared" si="59"/>
        <v>564</v>
      </c>
      <c r="Q1073" s="1">
        <v>0</v>
      </c>
      <c r="R1073" s="1">
        <v>0</v>
      </c>
      <c r="S1073" s="20">
        <v>40940</v>
      </c>
      <c r="T1073" s="1">
        <v>564</v>
      </c>
      <c r="U1073" s="9">
        <v>420</v>
      </c>
      <c r="V1073" s="9" t="s">
        <v>21</v>
      </c>
    </row>
    <row r="1074" spans="1:22" x14ac:dyDescent="0.25">
      <c r="A1074" s="10" t="s">
        <v>20</v>
      </c>
      <c r="B1074" t="b">
        <v>0</v>
      </c>
      <c r="C1074" t="b">
        <v>0</v>
      </c>
      <c r="D1074" s="1">
        <v>428</v>
      </c>
      <c r="E1074" s="1">
        <v>0</v>
      </c>
      <c r="F1074" s="1">
        <v>0</v>
      </c>
      <c r="G1074" s="1">
        <v>18</v>
      </c>
      <c r="H1074" s="1">
        <v>0</v>
      </c>
      <c r="I1074" s="1">
        <v>0</v>
      </c>
      <c r="J1074" s="1">
        <f t="shared" si="58"/>
        <v>446</v>
      </c>
      <c r="K1074" s="1">
        <v>248</v>
      </c>
      <c r="L1074" s="1">
        <v>0</v>
      </c>
      <c r="M1074" s="1">
        <v>0</v>
      </c>
      <c r="N1074" s="1">
        <f t="shared" si="60"/>
        <v>248</v>
      </c>
      <c r="O1074" s="14">
        <v>0</v>
      </c>
      <c r="P1074" s="17">
        <f t="shared" si="59"/>
        <v>694</v>
      </c>
      <c r="Q1074" s="1">
        <v>0</v>
      </c>
      <c r="R1074" s="1">
        <v>0</v>
      </c>
      <c r="S1074" s="20">
        <v>40969</v>
      </c>
      <c r="T1074" s="1">
        <v>694</v>
      </c>
      <c r="U1074" s="9">
        <v>446</v>
      </c>
      <c r="V1074" s="9" t="s">
        <v>21</v>
      </c>
    </row>
    <row r="1075" spans="1:22" x14ac:dyDescent="0.25">
      <c r="A1075" s="10" t="s">
        <v>20</v>
      </c>
      <c r="B1075" t="b">
        <v>0</v>
      </c>
      <c r="C1075" t="b">
        <v>0</v>
      </c>
      <c r="D1075" s="1">
        <v>1100</v>
      </c>
      <c r="E1075" s="1">
        <v>0</v>
      </c>
      <c r="F1075" s="1">
        <v>0</v>
      </c>
      <c r="G1075" s="1">
        <v>4</v>
      </c>
      <c r="H1075" s="1">
        <v>0</v>
      </c>
      <c r="I1075" s="1">
        <v>0</v>
      </c>
      <c r="J1075" s="1">
        <f t="shared" ref="J1075:J1138" si="61">D1075+E1075+F1075+G1075+H1075+I1075</f>
        <v>1104</v>
      </c>
      <c r="K1075" s="1">
        <v>518</v>
      </c>
      <c r="L1075" s="1">
        <v>0</v>
      </c>
      <c r="M1075" s="1">
        <v>0</v>
      </c>
      <c r="N1075" s="1">
        <f t="shared" si="60"/>
        <v>518</v>
      </c>
      <c r="O1075" s="14">
        <v>0</v>
      </c>
      <c r="P1075" s="17">
        <f t="shared" ref="P1075:P1138" si="62">J1075+N1075</f>
        <v>1622</v>
      </c>
      <c r="Q1075" s="1">
        <v>0</v>
      </c>
      <c r="R1075" s="1">
        <v>0</v>
      </c>
      <c r="S1075" s="20">
        <v>41000</v>
      </c>
      <c r="T1075" s="1">
        <v>1622</v>
      </c>
      <c r="U1075" s="9">
        <v>1104</v>
      </c>
      <c r="V1075" s="9" t="s">
        <v>21</v>
      </c>
    </row>
    <row r="1076" spans="1:22" x14ac:dyDescent="0.25">
      <c r="A1076" s="10" t="s">
        <v>20</v>
      </c>
      <c r="B1076" t="b">
        <v>0</v>
      </c>
      <c r="C1076" t="b">
        <v>0</v>
      </c>
      <c r="D1076" s="1">
        <v>1953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f t="shared" si="61"/>
        <v>1953</v>
      </c>
      <c r="K1076" s="1">
        <v>1224</v>
      </c>
      <c r="L1076" s="1">
        <v>0</v>
      </c>
      <c r="M1076" s="1">
        <v>0</v>
      </c>
      <c r="N1076" s="1">
        <f t="shared" si="60"/>
        <v>1224</v>
      </c>
      <c r="O1076" s="14">
        <v>0</v>
      </c>
      <c r="P1076" s="17">
        <f t="shared" si="62"/>
        <v>3177</v>
      </c>
      <c r="Q1076" s="1">
        <v>1</v>
      </c>
      <c r="R1076" s="1">
        <v>0</v>
      </c>
      <c r="S1076" s="20">
        <v>41030</v>
      </c>
      <c r="T1076" s="1">
        <v>3178</v>
      </c>
      <c r="U1076" s="9">
        <v>1953</v>
      </c>
      <c r="V1076" s="9" t="s">
        <v>21</v>
      </c>
    </row>
    <row r="1077" spans="1:22" x14ac:dyDescent="0.25">
      <c r="A1077" s="10" t="s">
        <v>20</v>
      </c>
      <c r="B1077" t="b">
        <v>0</v>
      </c>
      <c r="C1077" t="b">
        <v>0</v>
      </c>
      <c r="D1077" s="1">
        <v>1303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f t="shared" si="61"/>
        <v>1303</v>
      </c>
      <c r="K1077" s="1">
        <v>2781</v>
      </c>
      <c r="L1077" s="1">
        <v>0</v>
      </c>
      <c r="M1077" s="1">
        <v>0</v>
      </c>
      <c r="N1077" s="1">
        <f t="shared" si="60"/>
        <v>2781</v>
      </c>
      <c r="O1077" s="14">
        <v>0</v>
      </c>
      <c r="P1077" s="17">
        <f t="shared" si="62"/>
        <v>4084</v>
      </c>
      <c r="Q1077" s="1">
        <v>0</v>
      </c>
      <c r="R1077" s="1">
        <v>0</v>
      </c>
      <c r="S1077" s="20">
        <v>41061</v>
      </c>
      <c r="T1077" s="1">
        <v>4084</v>
      </c>
      <c r="U1077" s="9">
        <v>1303</v>
      </c>
      <c r="V1077" s="9" t="s">
        <v>21</v>
      </c>
    </row>
    <row r="1078" spans="1:22" x14ac:dyDescent="0.25">
      <c r="A1078" s="10" t="s">
        <v>20</v>
      </c>
      <c r="B1078" t="b">
        <v>0</v>
      </c>
      <c r="C1078" t="b">
        <v>0</v>
      </c>
      <c r="D1078" s="1">
        <v>3530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f t="shared" si="61"/>
        <v>3530</v>
      </c>
      <c r="K1078" s="1">
        <v>3285</v>
      </c>
      <c r="L1078" s="1">
        <v>0</v>
      </c>
      <c r="M1078" s="1">
        <v>0</v>
      </c>
      <c r="N1078" s="1">
        <f t="shared" si="60"/>
        <v>3285</v>
      </c>
      <c r="O1078" s="14">
        <v>0</v>
      </c>
      <c r="P1078" s="17">
        <f t="shared" si="62"/>
        <v>6815</v>
      </c>
      <c r="Q1078" s="1">
        <v>0</v>
      </c>
      <c r="R1078" s="1">
        <v>0</v>
      </c>
      <c r="S1078" s="20">
        <v>41091</v>
      </c>
      <c r="T1078" s="1">
        <v>6815</v>
      </c>
      <c r="U1078" s="9">
        <v>3530</v>
      </c>
      <c r="V1078" s="9" t="s">
        <v>21</v>
      </c>
    </row>
    <row r="1079" spans="1:22" x14ac:dyDescent="0.25">
      <c r="A1079" s="10" t="s">
        <v>20</v>
      </c>
      <c r="B1079" t="b">
        <v>0</v>
      </c>
      <c r="C1079" t="b">
        <v>0</v>
      </c>
      <c r="D1079" s="1">
        <v>2695</v>
      </c>
      <c r="E1079" s="1">
        <v>0</v>
      </c>
      <c r="F1079" s="1">
        <v>0</v>
      </c>
      <c r="G1079" s="1">
        <v>32</v>
      </c>
      <c r="H1079" s="1">
        <v>0</v>
      </c>
      <c r="I1079" s="1">
        <v>0</v>
      </c>
      <c r="J1079" s="1">
        <f t="shared" si="61"/>
        <v>2727</v>
      </c>
      <c r="K1079" s="1">
        <v>2961</v>
      </c>
      <c r="L1079" s="1">
        <v>0</v>
      </c>
      <c r="M1079" s="1">
        <v>0</v>
      </c>
      <c r="N1079" s="1">
        <f t="shared" si="60"/>
        <v>2961</v>
      </c>
      <c r="O1079" s="14">
        <v>0</v>
      </c>
      <c r="P1079" s="17">
        <f t="shared" si="62"/>
        <v>5688</v>
      </c>
      <c r="Q1079" s="1">
        <v>0</v>
      </c>
      <c r="R1079" s="1">
        <v>0</v>
      </c>
      <c r="S1079" s="20">
        <v>41122</v>
      </c>
      <c r="T1079" s="1">
        <v>5688</v>
      </c>
      <c r="U1079" s="9">
        <v>2727</v>
      </c>
      <c r="V1079" s="9" t="s">
        <v>21</v>
      </c>
    </row>
    <row r="1080" spans="1:22" x14ac:dyDescent="0.25">
      <c r="A1080" s="10" t="s">
        <v>20</v>
      </c>
      <c r="B1080" t="b">
        <v>0</v>
      </c>
      <c r="C1080" t="b">
        <v>0</v>
      </c>
      <c r="D1080" s="1">
        <v>1503</v>
      </c>
      <c r="E1080" s="1">
        <v>0</v>
      </c>
      <c r="F1080" s="1">
        <v>0</v>
      </c>
      <c r="G1080" s="1">
        <v>6</v>
      </c>
      <c r="H1080" s="1">
        <v>0</v>
      </c>
      <c r="I1080" s="1">
        <v>0</v>
      </c>
      <c r="J1080" s="1">
        <f t="shared" si="61"/>
        <v>1509</v>
      </c>
      <c r="K1080" s="1">
        <v>1422</v>
      </c>
      <c r="L1080" s="1">
        <v>0</v>
      </c>
      <c r="M1080" s="1">
        <v>2</v>
      </c>
      <c r="N1080" s="1">
        <f t="shared" si="60"/>
        <v>1424</v>
      </c>
      <c r="O1080" s="14">
        <v>0</v>
      </c>
      <c r="P1080" s="17">
        <f t="shared" si="62"/>
        <v>2933</v>
      </c>
      <c r="Q1080" s="1">
        <v>2</v>
      </c>
      <c r="R1080" s="1">
        <v>0</v>
      </c>
      <c r="S1080" s="20">
        <v>41153</v>
      </c>
      <c r="T1080" s="1">
        <v>2935</v>
      </c>
      <c r="U1080" s="9">
        <v>1509</v>
      </c>
      <c r="V1080" s="9" t="s">
        <v>21</v>
      </c>
    </row>
    <row r="1081" spans="1:22" x14ac:dyDescent="0.25">
      <c r="A1081" s="10" t="s">
        <v>20</v>
      </c>
      <c r="B1081" t="b">
        <v>0</v>
      </c>
      <c r="C1081" t="b">
        <v>0</v>
      </c>
      <c r="D1081" s="1">
        <v>423</v>
      </c>
      <c r="E1081" s="1">
        <v>0</v>
      </c>
      <c r="F1081" s="1">
        <v>0</v>
      </c>
      <c r="G1081" s="1">
        <v>28</v>
      </c>
      <c r="H1081" s="1">
        <v>0</v>
      </c>
      <c r="I1081" s="1">
        <v>0</v>
      </c>
      <c r="J1081" s="1">
        <f t="shared" si="61"/>
        <v>451</v>
      </c>
      <c r="K1081" s="1">
        <v>720</v>
      </c>
      <c r="L1081" s="1">
        <v>0</v>
      </c>
      <c r="M1081" s="1">
        <v>6</v>
      </c>
      <c r="N1081" s="1">
        <f t="shared" si="60"/>
        <v>726</v>
      </c>
      <c r="O1081" s="14">
        <v>0</v>
      </c>
      <c r="P1081" s="17">
        <f t="shared" si="62"/>
        <v>1177</v>
      </c>
      <c r="Q1081" s="1">
        <v>9</v>
      </c>
      <c r="R1081" s="1">
        <v>0</v>
      </c>
      <c r="S1081" s="20">
        <v>41183</v>
      </c>
      <c r="T1081" s="1">
        <v>1186</v>
      </c>
      <c r="U1081" s="9">
        <v>451</v>
      </c>
      <c r="V1081" s="9" t="s">
        <v>21</v>
      </c>
    </row>
    <row r="1082" spans="1:22" x14ac:dyDescent="0.25">
      <c r="A1082" s="10" t="s">
        <v>20</v>
      </c>
      <c r="B1082" t="b">
        <v>0</v>
      </c>
      <c r="C1082" t="b">
        <v>0</v>
      </c>
      <c r="D1082" s="1">
        <v>295</v>
      </c>
      <c r="E1082" s="1">
        <v>0</v>
      </c>
      <c r="F1082" s="1">
        <v>0</v>
      </c>
      <c r="G1082" s="1">
        <v>48</v>
      </c>
      <c r="H1082" s="1">
        <v>0</v>
      </c>
      <c r="I1082" s="1">
        <v>0</v>
      </c>
      <c r="J1082" s="1">
        <f t="shared" si="61"/>
        <v>343</v>
      </c>
      <c r="K1082" s="1">
        <v>135</v>
      </c>
      <c r="L1082" s="1">
        <v>0</v>
      </c>
      <c r="M1082" s="1">
        <v>0</v>
      </c>
      <c r="N1082" s="1">
        <f t="shared" si="60"/>
        <v>135</v>
      </c>
      <c r="O1082" s="14">
        <v>0</v>
      </c>
      <c r="P1082" s="17">
        <f t="shared" si="62"/>
        <v>478</v>
      </c>
      <c r="Q1082" s="1">
        <v>1</v>
      </c>
      <c r="R1082" s="1">
        <v>0</v>
      </c>
      <c r="S1082" s="20">
        <v>41214</v>
      </c>
      <c r="T1082" s="1">
        <v>479</v>
      </c>
      <c r="U1082" s="9">
        <v>343</v>
      </c>
      <c r="V1082" s="9" t="s">
        <v>21</v>
      </c>
    </row>
    <row r="1083" spans="1:22" x14ac:dyDescent="0.25">
      <c r="A1083" s="10" t="s">
        <v>20</v>
      </c>
      <c r="B1083" t="b">
        <v>0</v>
      </c>
      <c r="C1083" t="b">
        <v>0</v>
      </c>
      <c r="D1083" s="1">
        <v>33</v>
      </c>
      <c r="E1083" s="1">
        <v>0</v>
      </c>
      <c r="F1083" s="1">
        <v>0</v>
      </c>
      <c r="G1083" s="1">
        <v>2</v>
      </c>
      <c r="H1083" s="1">
        <v>0</v>
      </c>
      <c r="I1083" s="1">
        <v>0</v>
      </c>
      <c r="J1083" s="1">
        <f t="shared" si="61"/>
        <v>35</v>
      </c>
      <c r="K1083" s="1">
        <v>41</v>
      </c>
      <c r="L1083" s="1">
        <v>0</v>
      </c>
      <c r="M1083" s="1">
        <v>0</v>
      </c>
      <c r="N1083" s="1">
        <f t="shared" si="60"/>
        <v>41</v>
      </c>
      <c r="O1083" s="14">
        <v>0</v>
      </c>
      <c r="P1083" s="17">
        <f t="shared" si="62"/>
        <v>76</v>
      </c>
      <c r="Q1083" s="1">
        <v>0</v>
      </c>
      <c r="R1083" s="1">
        <v>0</v>
      </c>
      <c r="S1083" s="20">
        <v>41244</v>
      </c>
      <c r="T1083" s="1">
        <v>76</v>
      </c>
      <c r="U1083" s="9">
        <v>35</v>
      </c>
      <c r="V1083" s="9" t="s">
        <v>21</v>
      </c>
    </row>
    <row r="1084" spans="1:22" x14ac:dyDescent="0.25">
      <c r="A1084" s="10" t="s">
        <v>20</v>
      </c>
      <c r="B1084" t="b">
        <v>0</v>
      </c>
      <c r="C1084" t="b">
        <v>0</v>
      </c>
      <c r="D1084" s="1">
        <v>468</v>
      </c>
      <c r="E1084" s="1">
        <v>0</v>
      </c>
      <c r="F1084" s="1">
        <v>0</v>
      </c>
      <c r="G1084" s="1">
        <v>12</v>
      </c>
      <c r="H1084" s="1">
        <v>0</v>
      </c>
      <c r="I1084" s="1">
        <v>0</v>
      </c>
      <c r="J1084" s="1">
        <f t="shared" si="61"/>
        <v>480</v>
      </c>
      <c r="K1084" s="1">
        <v>90</v>
      </c>
      <c r="L1084" s="1">
        <v>0</v>
      </c>
      <c r="M1084" s="1">
        <v>0</v>
      </c>
      <c r="N1084" s="1">
        <f t="shared" si="60"/>
        <v>90</v>
      </c>
      <c r="O1084" s="14">
        <v>0</v>
      </c>
      <c r="P1084" s="17">
        <f t="shared" si="62"/>
        <v>570</v>
      </c>
      <c r="Q1084" s="1">
        <v>1</v>
      </c>
      <c r="R1084" s="1">
        <v>0</v>
      </c>
      <c r="S1084" s="20">
        <v>41275</v>
      </c>
      <c r="T1084" s="1">
        <v>571</v>
      </c>
      <c r="U1084" s="9">
        <v>480</v>
      </c>
      <c r="V1084" s="9" t="s">
        <v>40</v>
      </c>
    </row>
    <row r="1085" spans="1:22" x14ac:dyDescent="0.25">
      <c r="A1085" s="10" t="s">
        <v>20</v>
      </c>
      <c r="B1085" t="b">
        <v>0</v>
      </c>
      <c r="C1085" t="b">
        <v>0</v>
      </c>
      <c r="D1085" s="1">
        <v>565</v>
      </c>
      <c r="E1085" s="1">
        <v>0</v>
      </c>
      <c r="F1085" s="1">
        <v>30</v>
      </c>
      <c r="G1085" s="1">
        <v>118</v>
      </c>
      <c r="H1085" s="1">
        <v>0</v>
      </c>
      <c r="I1085" s="1">
        <v>0</v>
      </c>
      <c r="J1085" s="1">
        <f t="shared" si="61"/>
        <v>713</v>
      </c>
      <c r="K1085" s="1">
        <v>113</v>
      </c>
      <c r="L1085" s="1">
        <v>0</v>
      </c>
      <c r="M1085" s="1">
        <v>0</v>
      </c>
      <c r="N1085" s="1">
        <f t="shared" si="60"/>
        <v>113</v>
      </c>
      <c r="O1085" s="14">
        <v>0</v>
      </c>
      <c r="P1085" s="17">
        <f t="shared" si="62"/>
        <v>826</v>
      </c>
      <c r="Q1085" s="1">
        <v>1</v>
      </c>
      <c r="R1085" s="1">
        <v>0</v>
      </c>
      <c r="S1085" s="20">
        <v>41306</v>
      </c>
      <c r="T1085" s="1">
        <v>827</v>
      </c>
      <c r="U1085" s="9">
        <v>713</v>
      </c>
      <c r="V1085" s="9" t="s">
        <v>40</v>
      </c>
    </row>
    <row r="1086" spans="1:22" x14ac:dyDescent="0.25">
      <c r="A1086" s="10" t="s">
        <v>20</v>
      </c>
      <c r="B1086" t="b">
        <v>0</v>
      </c>
      <c r="C1086" t="b">
        <v>0</v>
      </c>
      <c r="D1086" s="1">
        <v>1020</v>
      </c>
      <c r="E1086" s="1">
        <v>0</v>
      </c>
      <c r="F1086" s="1">
        <v>0</v>
      </c>
      <c r="G1086" s="1">
        <v>68</v>
      </c>
      <c r="H1086" s="1">
        <v>5</v>
      </c>
      <c r="I1086" s="1">
        <v>0</v>
      </c>
      <c r="J1086" s="1">
        <f t="shared" si="61"/>
        <v>1093</v>
      </c>
      <c r="K1086" s="1">
        <v>725</v>
      </c>
      <c r="L1086" s="1">
        <v>0</v>
      </c>
      <c r="M1086" s="1">
        <v>247</v>
      </c>
      <c r="N1086" s="1">
        <f t="shared" si="60"/>
        <v>972</v>
      </c>
      <c r="O1086" s="14">
        <v>0</v>
      </c>
      <c r="P1086" s="17">
        <f t="shared" si="62"/>
        <v>2065</v>
      </c>
      <c r="Q1086" s="1">
        <v>0</v>
      </c>
      <c r="R1086" s="1">
        <v>0</v>
      </c>
      <c r="S1086" s="20">
        <v>41334</v>
      </c>
      <c r="T1086" s="1">
        <v>2065</v>
      </c>
      <c r="U1086" s="9">
        <v>1093</v>
      </c>
      <c r="V1086" s="9" t="s">
        <v>40</v>
      </c>
    </row>
    <row r="1087" spans="1:22" x14ac:dyDescent="0.25">
      <c r="A1087" s="10" t="s">
        <v>20</v>
      </c>
      <c r="B1087" t="b">
        <v>0</v>
      </c>
      <c r="C1087" t="b">
        <v>0</v>
      </c>
      <c r="D1087" s="1">
        <v>1235</v>
      </c>
      <c r="E1087" s="1">
        <v>0</v>
      </c>
      <c r="F1087" s="1">
        <v>0</v>
      </c>
      <c r="G1087" s="1">
        <v>230</v>
      </c>
      <c r="H1087" s="1">
        <v>0</v>
      </c>
      <c r="I1087" s="1">
        <v>0</v>
      </c>
      <c r="J1087" s="1">
        <f t="shared" si="61"/>
        <v>1465</v>
      </c>
      <c r="K1087" s="1">
        <v>419</v>
      </c>
      <c r="L1087" s="1">
        <v>0</v>
      </c>
      <c r="M1087" s="1">
        <v>100</v>
      </c>
      <c r="N1087" s="1">
        <f t="shared" si="60"/>
        <v>519</v>
      </c>
      <c r="O1087" s="14">
        <v>0</v>
      </c>
      <c r="P1087" s="17">
        <f t="shared" si="62"/>
        <v>1984</v>
      </c>
      <c r="Q1087" s="1">
        <v>0</v>
      </c>
      <c r="R1087" s="1">
        <v>0</v>
      </c>
      <c r="S1087" s="20">
        <v>41365</v>
      </c>
      <c r="T1087" s="1">
        <v>1984</v>
      </c>
      <c r="U1087" s="9">
        <v>1465</v>
      </c>
      <c r="V1087" s="9" t="s">
        <v>40</v>
      </c>
    </row>
    <row r="1088" spans="1:22" x14ac:dyDescent="0.25">
      <c r="A1088" s="10" t="s">
        <v>20</v>
      </c>
      <c r="B1088" t="b">
        <v>0</v>
      </c>
      <c r="C1088" t="b">
        <v>0</v>
      </c>
      <c r="D1088" s="1">
        <v>3265</v>
      </c>
      <c r="E1088" s="1">
        <v>0</v>
      </c>
      <c r="F1088" s="1">
        <v>0</v>
      </c>
      <c r="G1088" s="1">
        <v>56</v>
      </c>
      <c r="H1088" s="1">
        <v>0</v>
      </c>
      <c r="I1088" s="1">
        <v>0</v>
      </c>
      <c r="J1088" s="1">
        <f t="shared" si="61"/>
        <v>3321</v>
      </c>
      <c r="K1088" s="1">
        <v>2052</v>
      </c>
      <c r="L1088" s="1">
        <v>0</v>
      </c>
      <c r="M1088" s="1">
        <v>438</v>
      </c>
      <c r="N1088" s="1">
        <f t="shared" si="60"/>
        <v>2490</v>
      </c>
      <c r="O1088" s="14">
        <v>0</v>
      </c>
      <c r="P1088" s="17">
        <f t="shared" si="62"/>
        <v>5811</v>
      </c>
      <c r="Q1088" s="1">
        <v>0</v>
      </c>
      <c r="R1088" s="1">
        <v>0</v>
      </c>
      <c r="S1088" s="20">
        <v>41395</v>
      </c>
      <c r="T1088" s="1">
        <v>5811</v>
      </c>
      <c r="U1088" s="9">
        <v>3321</v>
      </c>
      <c r="V1088" s="9" t="s">
        <v>40</v>
      </c>
    </row>
    <row r="1089" spans="1:22" x14ac:dyDescent="0.25">
      <c r="A1089" s="10" t="s">
        <v>20</v>
      </c>
      <c r="B1089" t="b">
        <v>0</v>
      </c>
      <c r="C1089" t="b">
        <v>0</v>
      </c>
      <c r="D1089" s="1">
        <v>7940</v>
      </c>
      <c r="E1089" s="1">
        <v>0</v>
      </c>
      <c r="F1089" s="1">
        <v>0</v>
      </c>
      <c r="G1089" s="1">
        <v>40</v>
      </c>
      <c r="H1089" s="1">
        <v>0</v>
      </c>
      <c r="I1089" s="1">
        <v>0</v>
      </c>
      <c r="J1089" s="1">
        <f t="shared" si="61"/>
        <v>7980</v>
      </c>
      <c r="K1089" s="1">
        <v>8959</v>
      </c>
      <c r="L1089" s="1">
        <v>0</v>
      </c>
      <c r="M1089" s="1">
        <v>0</v>
      </c>
      <c r="N1089" s="1">
        <f t="shared" si="60"/>
        <v>8959</v>
      </c>
      <c r="O1089" s="14">
        <v>0</v>
      </c>
      <c r="P1089" s="17">
        <f t="shared" si="62"/>
        <v>16939</v>
      </c>
      <c r="Q1089" s="1">
        <v>0</v>
      </c>
      <c r="R1089" s="1">
        <v>0</v>
      </c>
      <c r="S1089" s="20">
        <v>41426</v>
      </c>
      <c r="T1089" s="1">
        <v>16939</v>
      </c>
      <c r="U1089" s="9">
        <v>7980</v>
      </c>
      <c r="V1089" s="9" t="s">
        <v>40</v>
      </c>
    </row>
    <row r="1090" spans="1:22" x14ac:dyDescent="0.25">
      <c r="A1090" s="10" t="s">
        <v>20</v>
      </c>
      <c r="B1090" t="b">
        <v>0</v>
      </c>
      <c r="C1090" t="b">
        <v>0</v>
      </c>
      <c r="D1090" s="1">
        <v>3460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f t="shared" si="61"/>
        <v>3460</v>
      </c>
      <c r="K1090" s="1">
        <v>1777</v>
      </c>
      <c r="L1090" s="1">
        <v>0</v>
      </c>
      <c r="M1090" s="1">
        <v>0</v>
      </c>
      <c r="N1090" s="1">
        <f t="shared" si="60"/>
        <v>1777</v>
      </c>
      <c r="O1090" s="14">
        <v>0</v>
      </c>
      <c r="P1090" s="17">
        <f t="shared" si="62"/>
        <v>5237</v>
      </c>
      <c r="Q1090" s="1">
        <v>0</v>
      </c>
      <c r="R1090" s="1">
        <v>0</v>
      </c>
      <c r="S1090" s="20">
        <v>41456</v>
      </c>
      <c r="T1090" s="1">
        <v>5237</v>
      </c>
      <c r="U1090" s="9">
        <v>3460</v>
      </c>
      <c r="V1090" s="9" t="s">
        <v>40</v>
      </c>
    </row>
    <row r="1091" spans="1:22" x14ac:dyDescent="0.25">
      <c r="A1091" s="10" t="s">
        <v>20</v>
      </c>
      <c r="B1091" t="b">
        <v>0</v>
      </c>
      <c r="C1091" t="b">
        <v>0</v>
      </c>
      <c r="D1091" s="1">
        <v>2392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f t="shared" si="61"/>
        <v>2392</v>
      </c>
      <c r="K1091" s="1">
        <v>1515</v>
      </c>
      <c r="L1091" s="1">
        <v>0</v>
      </c>
      <c r="M1091" s="1">
        <v>0</v>
      </c>
      <c r="N1091" s="1">
        <f t="shared" si="60"/>
        <v>1515</v>
      </c>
      <c r="O1091" s="14">
        <v>0</v>
      </c>
      <c r="P1091" s="17">
        <f t="shared" si="62"/>
        <v>3907</v>
      </c>
      <c r="Q1091" s="1">
        <v>0</v>
      </c>
      <c r="R1091" s="1">
        <v>0</v>
      </c>
      <c r="S1091" s="20">
        <v>41487</v>
      </c>
      <c r="T1091" s="1">
        <v>3907</v>
      </c>
      <c r="U1091" s="9">
        <v>2392</v>
      </c>
      <c r="V1091" s="9" t="s">
        <v>40</v>
      </c>
    </row>
    <row r="1092" spans="1:22" x14ac:dyDescent="0.25">
      <c r="A1092" s="10" t="s">
        <v>20</v>
      </c>
      <c r="B1092" t="b">
        <v>0</v>
      </c>
      <c r="C1092" t="b">
        <v>0</v>
      </c>
      <c r="D1092" s="1">
        <v>1365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f t="shared" si="61"/>
        <v>1365</v>
      </c>
      <c r="K1092" s="1">
        <v>805</v>
      </c>
      <c r="L1092" s="1">
        <v>0</v>
      </c>
      <c r="M1092" s="1">
        <v>0</v>
      </c>
      <c r="N1092" s="1">
        <f t="shared" si="60"/>
        <v>805</v>
      </c>
      <c r="O1092" s="14">
        <v>0</v>
      </c>
      <c r="P1092" s="17">
        <f t="shared" si="62"/>
        <v>2170</v>
      </c>
      <c r="Q1092" s="1">
        <v>0</v>
      </c>
      <c r="R1092" s="1">
        <v>0</v>
      </c>
      <c r="S1092" s="20">
        <v>41518</v>
      </c>
      <c r="T1092" s="1">
        <v>2170</v>
      </c>
      <c r="U1092" s="9">
        <v>1365</v>
      </c>
      <c r="V1092" s="9" t="s">
        <v>40</v>
      </c>
    </row>
    <row r="1093" spans="1:22" x14ac:dyDescent="0.25">
      <c r="A1093" s="10" t="s">
        <v>20</v>
      </c>
      <c r="B1093" t="b">
        <v>0</v>
      </c>
      <c r="C1093" t="b">
        <v>0</v>
      </c>
      <c r="D1093" s="1">
        <v>502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f t="shared" si="61"/>
        <v>502</v>
      </c>
      <c r="K1093" s="1">
        <v>162</v>
      </c>
      <c r="L1093" s="1">
        <v>0</v>
      </c>
      <c r="M1093" s="1">
        <v>0</v>
      </c>
      <c r="N1093" s="1">
        <f t="shared" si="60"/>
        <v>162</v>
      </c>
      <c r="O1093" s="14">
        <v>0</v>
      </c>
      <c r="P1093" s="17">
        <f t="shared" si="62"/>
        <v>664</v>
      </c>
      <c r="Q1093" s="1">
        <v>0</v>
      </c>
      <c r="R1093" s="1">
        <v>0</v>
      </c>
      <c r="S1093" s="20">
        <v>41548</v>
      </c>
      <c r="T1093" s="1">
        <v>664</v>
      </c>
      <c r="U1093" s="9">
        <v>502</v>
      </c>
      <c r="V1093" s="9" t="s">
        <v>40</v>
      </c>
    </row>
    <row r="1094" spans="1:22" x14ac:dyDescent="0.25">
      <c r="A1094" s="10" t="s">
        <v>20</v>
      </c>
      <c r="B1094" t="b">
        <v>0</v>
      </c>
      <c r="C1094" t="b">
        <v>0</v>
      </c>
      <c r="D1094" s="1">
        <v>287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f t="shared" si="61"/>
        <v>287</v>
      </c>
      <c r="K1094" s="1">
        <v>279</v>
      </c>
      <c r="L1094" s="1">
        <v>0</v>
      </c>
      <c r="M1094" s="1">
        <v>0</v>
      </c>
      <c r="N1094" s="1">
        <f t="shared" si="60"/>
        <v>279</v>
      </c>
      <c r="O1094" s="14">
        <v>0</v>
      </c>
      <c r="P1094" s="17">
        <f t="shared" si="62"/>
        <v>566</v>
      </c>
      <c r="Q1094" s="1">
        <v>0</v>
      </c>
      <c r="R1094" s="1">
        <v>0</v>
      </c>
      <c r="S1094" s="20">
        <v>41579</v>
      </c>
      <c r="T1094" s="1">
        <v>566</v>
      </c>
      <c r="U1094" s="9">
        <v>287</v>
      </c>
      <c r="V1094" s="9" t="s">
        <v>40</v>
      </c>
    </row>
    <row r="1095" spans="1:22" x14ac:dyDescent="0.25">
      <c r="A1095" s="10" t="s">
        <v>20</v>
      </c>
      <c r="B1095" t="b">
        <v>0</v>
      </c>
      <c r="C1095" t="b">
        <v>0</v>
      </c>
      <c r="D1095" s="1">
        <v>190</v>
      </c>
      <c r="E1095" s="1">
        <v>0</v>
      </c>
      <c r="F1095" s="1">
        <v>0</v>
      </c>
      <c r="G1095" s="1">
        <v>2</v>
      </c>
      <c r="H1095" s="1">
        <v>0</v>
      </c>
      <c r="I1095" s="1">
        <v>0</v>
      </c>
      <c r="J1095" s="1">
        <f t="shared" si="61"/>
        <v>192</v>
      </c>
      <c r="K1095" s="1">
        <v>41</v>
      </c>
      <c r="L1095" s="1">
        <v>0</v>
      </c>
      <c r="M1095" s="1">
        <v>0</v>
      </c>
      <c r="N1095" s="1">
        <f t="shared" si="60"/>
        <v>41</v>
      </c>
      <c r="O1095" s="14">
        <v>0</v>
      </c>
      <c r="P1095" s="17">
        <f t="shared" si="62"/>
        <v>233</v>
      </c>
      <c r="Q1095" s="1">
        <v>0</v>
      </c>
      <c r="R1095" s="1">
        <v>0</v>
      </c>
      <c r="S1095" s="20">
        <v>41609</v>
      </c>
      <c r="T1095" s="1">
        <v>233</v>
      </c>
      <c r="U1095" s="9">
        <v>192</v>
      </c>
      <c r="V1095" s="9" t="s">
        <v>40</v>
      </c>
    </row>
    <row r="1096" spans="1:22" x14ac:dyDescent="0.25">
      <c r="A1096" s="10" t="s">
        <v>20</v>
      </c>
      <c r="B1096" t="b">
        <v>0</v>
      </c>
      <c r="C1096" t="b">
        <v>0</v>
      </c>
      <c r="D1096" s="1">
        <v>313</v>
      </c>
      <c r="E1096" s="1">
        <v>0</v>
      </c>
      <c r="F1096" s="1">
        <v>0</v>
      </c>
      <c r="G1096" s="1">
        <v>4</v>
      </c>
      <c r="H1096" s="1">
        <v>0</v>
      </c>
      <c r="I1096" s="1">
        <v>0</v>
      </c>
      <c r="J1096" s="1">
        <f t="shared" si="61"/>
        <v>317</v>
      </c>
      <c r="K1096" s="1">
        <v>72</v>
      </c>
      <c r="L1096" s="1">
        <v>0</v>
      </c>
      <c r="M1096" s="1">
        <v>0</v>
      </c>
      <c r="N1096" s="1">
        <f t="shared" si="60"/>
        <v>72</v>
      </c>
      <c r="O1096" s="14">
        <v>0</v>
      </c>
      <c r="P1096" s="17">
        <f t="shared" si="62"/>
        <v>389</v>
      </c>
      <c r="Q1096" s="1">
        <v>0</v>
      </c>
      <c r="R1096" s="1">
        <v>0</v>
      </c>
      <c r="S1096" s="20">
        <v>41640</v>
      </c>
      <c r="T1096" s="1">
        <v>389</v>
      </c>
      <c r="U1096" s="9">
        <v>317</v>
      </c>
      <c r="V1096" s="9" t="s">
        <v>39</v>
      </c>
    </row>
    <row r="1097" spans="1:22" x14ac:dyDescent="0.25">
      <c r="A1097" s="10" t="s">
        <v>20</v>
      </c>
      <c r="B1097" t="b">
        <v>0</v>
      </c>
      <c r="C1097" t="b">
        <v>0</v>
      </c>
      <c r="D1097" s="1">
        <v>373</v>
      </c>
      <c r="E1097" s="1">
        <v>0</v>
      </c>
      <c r="F1097" s="1">
        <v>0</v>
      </c>
      <c r="G1097" s="1">
        <v>40</v>
      </c>
      <c r="H1097" s="1">
        <v>0</v>
      </c>
      <c r="I1097" s="1">
        <v>0</v>
      </c>
      <c r="J1097" s="1">
        <f t="shared" si="61"/>
        <v>413</v>
      </c>
      <c r="K1097" s="1">
        <v>113</v>
      </c>
      <c r="L1097" s="1">
        <v>0</v>
      </c>
      <c r="M1097" s="1">
        <v>0</v>
      </c>
      <c r="N1097" s="1">
        <f t="shared" si="60"/>
        <v>113</v>
      </c>
      <c r="O1097" s="14">
        <v>0</v>
      </c>
      <c r="P1097" s="17">
        <f t="shared" si="62"/>
        <v>526</v>
      </c>
      <c r="Q1097" s="1">
        <v>0</v>
      </c>
      <c r="R1097" s="1">
        <v>0</v>
      </c>
      <c r="S1097" s="20">
        <v>41671</v>
      </c>
      <c r="T1097" s="1">
        <v>526</v>
      </c>
      <c r="U1097" s="9">
        <v>413</v>
      </c>
      <c r="V1097" s="9" t="s">
        <v>39</v>
      </c>
    </row>
    <row r="1098" spans="1:22" x14ac:dyDescent="0.25">
      <c r="A1098" s="10" t="s">
        <v>20</v>
      </c>
      <c r="B1098" t="b">
        <v>0</v>
      </c>
      <c r="C1098" t="b">
        <v>0</v>
      </c>
      <c r="D1098" s="1">
        <v>668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f t="shared" si="61"/>
        <v>668</v>
      </c>
      <c r="K1098" s="1">
        <v>275</v>
      </c>
      <c r="L1098" s="1">
        <v>0</v>
      </c>
      <c r="M1098" s="1">
        <v>0</v>
      </c>
      <c r="N1098" s="1">
        <f t="shared" si="60"/>
        <v>275</v>
      </c>
      <c r="O1098" s="14">
        <v>0</v>
      </c>
      <c r="P1098" s="17">
        <f t="shared" si="62"/>
        <v>943</v>
      </c>
      <c r="Q1098" s="1">
        <v>0</v>
      </c>
      <c r="R1098" s="1">
        <v>0</v>
      </c>
      <c r="S1098" s="20">
        <v>41699</v>
      </c>
      <c r="T1098" s="1">
        <v>943</v>
      </c>
      <c r="U1098" s="9">
        <v>668</v>
      </c>
      <c r="V1098" s="9" t="s">
        <v>39</v>
      </c>
    </row>
    <row r="1099" spans="1:22" x14ac:dyDescent="0.25">
      <c r="A1099" s="10" t="s">
        <v>20</v>
      </c>
      <c r="B1099" t="b">
        <v>0</v>
      </c>
      <c r="C1099" t="b">
        <v>0</v>
      </c>
      <c r="D1099" s="1">
        <v>1115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f t="shared" si="61"/>
        <v>1115</v>
      </c>
      <c r="K1099" s="1">
        <v>324</v>
      </c>
      <c r="L1099" s="1">
        <v>0</v>
      </c>
      <c r="M1099" s="1">
        <v>0</v>
      </c>
      <c r="N1099" s="1">
        <f t="shared" si="60"/>
        <v>324</v>
      </c>
      <c r="O1099" s="14">
        <v>0</v>
      </c>
      <c r="P1099" s="17">
        <f t="shared" si="62"/>
        <v>1439</v>
      </c>
      <c r="Q1099" s="1">
        <v>0</v>
      </c>
      <c r="R1099" s="1">
        <v>0</v>
      </c>
      <c r="S1099" s="20">
        <v>41730</v>
      </c>
      <c r="T1099" s="1">
        <v>1439</v>
      </c>
      <c r="U1099" s="9">
        <v>1115</v>
      </c>
      <c r="V1099" s="9" t="s">
        <v>39</v>
      </c>
    </row>
    <row r="1100" spans="1:22" x14ac:dyDescent="0.25">
      <c r="A1100" s="10" t="s">
        <v>20</v>
      </c>
      <c r="B1100" t="b">
        <v>0</v>
      </c>
      <c r="C1100" t="b">
        <v>0</v>
      </c>
      <c r="D1100" s="1">
        <v>2528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f t="shared" si="61"/>
        <v>2528</v>
      </c>
      <c r="K1100" s="1">
        <v>194</v>
      </c>
      <c r="L1100" s="1">
        <v>0</v>
      </c>
      <c r="M1100" s="1">
        <v>0</v>
      </c>
      <c r="N1100" s="1">
        <f t="shared" si="60"/>
        <v>194</v>
      </c>
      <c r="O1100" s="14">
        <v>0</v>
      </c>
      <c r="P1100" s="17">
        <f t="shared" si="62"/>
        <v>2722</v>
      </c>
      <c r="Q1100" s="1">
        <v>0</v>
      </c>
      <c r="R1100" s="1">
        <v>0</v>
      </c>
      <c r="S1100" s="20">
        <v>41760</v>
      </c>
      <c r="T1100" s="1">
        <v>2722</v>
      </c>
      <c r="U1100" s="9">
        <v>2528</v>
      </c>
      <c r="V1100" s="9" t="s">
        <v>39</v>
      </c>
    </row>
    <row r="1101" spans="1:22" x14ac:dyDescent="0.25">
      <c r="A1101" s="10" t="s">
        <v>20</v>
      </c>
      <c r="B1101" t="b">
        <v>0</v>
      </c>
      <c r="C1101" t="b">
        <v>0</v>
      </c>
      <c r="D1101" s="1">
        <v>2705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f t="shared" si="61"/>
        <v>2705</v>
      </c>
      <c r="K1101" s="1">
        <v>999</v>
      </c>
      <c r="L1101" s="1">
        <v>0</v>
      </c>
      <c r="M1101" s="1">
        <v>0</v>
      </c>
      <c r="N1101" s="1">
        <f t="shared" si="60"/>
        <v>999</v>
      </c>
      <c r="O1101" s="14">
        <v>0</v>
      </c>
      <c r="P1101" s="17">
        <f t="shared" si="62"/>
        <v>3704</v>
      </c>
      <c r="Q1101" s="1">
        <v>0</v>
      </c>
      <c r="R1101" s="1">
        <v>0</v>
      </c>
      <c r="S1101" s="20">
        <v>41791</v>
      </c>
      <c r="T1101" s="1">
        <v>3704</v>
      </c>
      <c r="U1101" s="9">
        <v>2705</v>
      </c>
      <c r="V1101" s="9" t="s">
        <v>39</v>
      </c>
    </row>
    <row r="1102" spans="1:22" x14ac:dyDescent="0.25">
      <c r="A1102" s="10" t="s">
        <v>20</v>
      </c>
      <c r="B1102" t="b">
        <v>0</v>
      </c>
      <c r="C1102" t="b">
        <v>0</v>
      </c>
      <c r="D1102" s="1">
        <v>4985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f t="shared" si="61"/>
        <v>4985</v>
      </c>
      <c r="K1102" s="1">
        <v>1521</v>
      </c>
      <c r="L1102" s="1">
        <v>0</v>
      </c>
      <c r="M1102" s="1">
        <v>0</v>
      </c>
      <c r="N1102" s="1">
        <f t="shared" ref="N1102:N1165" si="63">K1102+L1102+M1102</f>
        <v>1521</v>
      </c>
      <c r="O1102" s="14">
        <v>0</v>
      </c>
      <c r="P1102" s="17">
        <f t="shared" si="62"/>
        <v>6506</v>
      </c>
      <c r="Q1102" s="1">
        <v>0</v>
      </c>
      <c r="R1102" s="1">
        <v>0</v>
      </c>
      <c r="S1102" s="20">
        <v>41821</v>
      </c>
      <c r="T1102" s="1">
        <v>6506</v>
      </c>
      <c r="U1102" s="9">
        <v>4985</v>
      </c>
      <c r="V1102" s="9" t="s">
        <v>39</v>
      </c>
    </row>
    <row r="1103" spans="1:22" x14ac:dyDescent="0.25">
      <c r="A1103" s="10" t="s">
        <v>20</v>
      </c>
      <c r="B1103" t="b">
        <v>0</v>
      </c>
      <c r="C1103" t="b">
        <v>0</v>
      </c>
      <c r="D1103" s="1">
        <v>3750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f t="shared" si="61"/>
        <v>3750</v>
      </c>
      <c r="K1103" s="1">
        <v>1508</v>
      </c>
      <c r="L1103" s="1">
        <v>0</v>
      </c>
      <c r="M1103" s="1">
        <v>0</v>
      </c>
      <c r="N1103" s="1">
        <f t="shared" si="63"/>
        <v>1508</v>
      </c>
      <c r="O1103" s="14">
        <v>0</v>
      </c>
      <c r="P1103" s="17">
        <f t="shared" si="62"/>
        <v>5258</v>
      </c>
      <c r="Q1103" s="1">
        <v>0</v>
      </c>
      <c r="R1103" s="1">
        <v>0</v>
      </c>
      <c r="S1103" s="20">
        <v>41852</v>
      </c>
      <c r="T1103" s="1">
        <v>5258</v>
      </c>
      <c r="U1103" s="9">
        <v>3750</v>
      </c>
      <c r="V1103" s="9" t="s">
        <v>39</v>
      </c>
    </row>
    <row r="1104" spans="1:22" x14ac:dyDescent="0.25">
      <c r="A1104" s="10" t="s">
        <v>20</v>
      </c>
      <c r="B1104" t="b">
        <v>0</v>
      </c>
      <c r="C1104" t="b">
        <v>0</v>
      </c>
      <c r="D1104" s="1">
        <v>1380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f t="shared" si="61"/>
        <v>1380</v>
      </c>
      <c r="K1104" s="1">
        <v>0</v>
      </c>
      <c r="L1104" s="1">
        <v>0</v>
      </c>
      <c r="M1104" s="1">
        <v>0</v>
      </c>
      <c r="N1104" s="1">
        <f t="shared" si="63"/>
        <v>0</v>
      </c>
      <c r="O1104" s="14">
        <v>0</v>
      </c>
      <c r="P1104" s="17">
        <f t="shared" si="62"/>
        <v>1380</v>
      </c>
      <c r="Q1104" s="1">
        <v>0</v>
      </c>
      <c r="R1104" s="1">
        <v>0</v>
      </c>
      <c r="S1104" s="20">
        <v>41883</v>
      </c>
      <c r="T1104" s="1">
        <v>1380</v>
      </c>
      <c r="U1104" s="9">
        <v>1380</v>
      </c>
      <c r="V1104" s="9" t="s">
        <v>39</v>
      </c>
    </row>
    <row r="1105" spans="1:22" x14ac:dyDescent="0.25">
      <c r="A1105" s="10" t="s">
        <v>20</v>
      </c>
      <c r="B1105" t="b">
        <v>0</v>
      </c>
      <c r="C1105" t="b">
        <v>0</v>
      </c>
      <c r="D1105" s="1">
        <v>687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f t="shared" si="61"/>
        <v>687</v>
      </c>
      <c r="K1105" s="1">
        <v>247</v>
      </c>
      <c r="L1105" s="1">
        <v>0</v>
      </c>
      <c r="M1105" s="1">
        <v>0</v>
      </c>
      <c r="N1105" s="1">
        <f t="shared" si="63"/>
        <v>247</v>
      </c>
      <c r="O1105" s="14">
        <v>0</v>
      </c>
      <c r="P1105" s="17">
        <f t="shared" si="62"/>
        <v>934</v>
      </c>
      <c r="Q1105" s="1">
        <v>0</v>
      </c>
      <c r="R1105" s="1">
        <v>0</v>
      </c>
      <c r="S1105" s="20">
        <v>41913</v>
      </c>
      <c r="T1105" s="1">
        <v>934</v>
      </c>
      <c r="U1105" s="9">
        <v>687</v>
      </c>
      <c r="V1105" s="9" t="s">
        <v>39</v>
      </c>
    </row>
    <row r="1106" spans="1:22" x14ac:dyDescent="0.25">
      <c r="A1106" s="10" t="s">
        <v>20</v>
      </c>
      <c r="B1106" t="b">
        <v>0</v>
      </c>
      <c r="C1106" t="b">
        <v>0</v>
      </c>
      <c r="D1106" s="1">
        <v>392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f t="shared" si="61"/>
        <v>392</v>
      </c>
      <c r="K1106" s="1">
        <v>189</v>
      </c>
      <c r="L1106" s="1">
        <v>0</v>
      </c>
      <c r="M1106" s="1">
        <v>0</v>
      </c>
      <c r="N1106" s="1">
        <f t="shared" si="63"/>
        <v>189</v>
      </c>
      <c r="O1106" s="14">
        <v>0</v>
      </c>
      <c r="P1106" s="17">
        <f t="shared" si="62"/>
        <v>581</v>
      </c>
      <c r="Q1106" s="1">
        <v>0</v>
      </c>
      <c r="R1106" s="1">
        <v>0</v>
      </c>
      <c r="S1106" s="20">
        <v>41944</v>
      </c>
      <c r="T1106" s="1">
        <v>581</v>
      </c>
      <c r="U1106" s="9">
        <v>392</v>
      </c>
      <c r="V1106" s="9" t="s">
        <v>39</v>
      </c>
    </row>
    <row r="1107" spans="1:22" x14ac:dyDescent="0.25">
      <c r="A1107" s="10" t="s">
        <v>20</v>
      </c>
      <c r="B1107" t="b">
        <v>0</v>
      </c>
      <c r="C1107" t="b">
        <v>0</v>
      </c>
      <c r="D1107" s="1">
        <v>260</v>
      </c>
      <c r="E1107" s="1">
        <v>0</v>
      </c>
      <c r="F1107" s="1">
        <v>0</v>
      </c>
      <c r="G1107" s="1">
        <v>2</v>
      </c>
      <c r="H1107" s="1">
        <v>0</v>
      </c>
      <c r="I1107" s="1">
        <v>0</v>
      </c>
      <c r="J1107" s="1">
        <f t="shared" si="61"/>
        <v>262</v>
      </c>
      <c r="K1107" s="1">
        <v>90</v>
      </c>
      <c r="L1107" s="1">
        <v>0</v>
      </c>
      <c r="M1107" s="1">
        <v>0</v>
      </c>
      <c r="N1107" s="1">
        <f t="shared" si="63"/>
        <v>90</v>
      </c>
      <c r="O1107" s="14">
        <v>0</v>
      </c>
      <c r="P1107" s="17">
        <f t="shared" si="62"/>
        <v>352</v>
      </c>
      <c r="Q1107" s="1">
        <v>0</v>
      </c>
      <c r="R1107" s="1">
        <v>0</v>
      </c>
      <c r="S1107" s="20">
        <v>41974</v>
      </c>
      <c r="T1107" s="1">
        <v>352</v>
      </c>
      <c r="U1107" s="9">
        <v>262</v>
      </c>
      <c r="V1107" s="9" t="s">
        <v>39</v>
      </c>
    </row>
    <row r="1108" spans="1:22" x14ac:dyDescent="0.25">
      <c r="A1108" s="10" t="s">
        <v>20</v>
      </c>
      <c r="B1108" t="b">
        <v>0</v>
      </c>
      <c r="C1108" t="b">
        <v>0</v>
      </c>
      <c r="D1108" s="1">
        <v>400</v>
      </c>
      <c r="E1108" s="1">
        <v>0</v>
      </c>
      <c r="F1108" s="1">
        <v>0</v>
      </c>
      <c r="G1108" s="1">
        <v>4</v>
      </c>
      <c r="H1108" s="1">
        <v>0</v>
      </c>
      <c r="I1108" s="1">
        <v>0</v>
      </c>
      <c r="J1108" s="1">
        <f t="shared" si="61"/>
        <v>404</v>
      </c>
      <c r="K1108" s="1">
        <v>140</v>
      </c>
      <c r="L1108" s="1">
        <v>0</v>
      </c>
      <c r="M1108" s="1">
        <v>0</v>
      </c>
      <c r="N1108" s="1">
        <f t="shared" si="63"/>
        <v>140</v>
      </c>
      <c r="O1108" s="14">
        <v>0</v>
      </c>
      <c r="P1108" s="17">
        <f t="shared" si="62"/>
        <v>544</v>
      </c>
      <c r="Q1108" s="1">
        <v>2</v>
      </c>
      <c r="R1108" s="1">
        <v>0</v>
      </c>
      <c r="S1108" s="20">
        <v>42005</v>
      </c>
      <c r="T1108" s="1">
        <v>546</v>
      </c>
      <c r="U1108" s="9">
        <v>404</v>
      </c>
      <c r="V1108" s="9" t="s">
        <v>39</v>
      </c>
    </row>
    <row r="1109" spans="1:22" x14ac:dyDescent="0.25">
      <c r="A1109" s="10" t="s">
        <v>20</v>
      </c>
      <c r="B1109" t="b">
        <v>0</v>
      </c>
      <c r="C1109" t="b">
        <v>0</v>
      </c>
      <c r="D1109" s="1">
        <v>620</v>
      </c>
      <c r="E1109" s="1">
        <v>0</v>
      </c>
      <c r="F1109" s="1">
        <v>0</v>
      </c>
      <c r="G1109" s="1">
        <v>6</v>
      </c>
      <c r="H1109" s="1">
        <v>0</v>
      </c>
      <c r="I1109" s="1">
        <v>0</v>
      </c>
      <c r="J1109" s="1">
        <f t="shared" si="61"/>
        <v>626</v>
      </c>
      <c r="K1109" s="1">
        <v>185</v>
      </c>
      <c r="L1109" s="1">
        <v>0</v>
      </c>
      <c r="M1109" s="1">
        <v>0</v>
      </c>
      <c r="N1109" s="1">
        <f t="shared" si="63"/>
        <v>185</v>
      </c>
      <c r="O1109" s="14">
        <v>0</v>
      </c>
      <c r="P1109" s="17">
        <f t="shared" si="62"/>
        <v>811</v>
      </c>
      <c r="Q1109" s="1">
        <v>0</v>
      </c>
      <c r="R1109" s="1">
        <v>0</v>
      </c>
      <c r="S1109" s="20">
        <v>42036</v>
      </c>
      <c r="T1109" s="1">
        <v>811</v>
      </c>
      <c r="U1109" s="9">
        <v>626</v>
      </c>
      <c r="V1109" s="9" t="s">
        <v>39</v>
      </c>
    </row>
    <row r="1110" spans="1:22" x14ac:dyDescent="0.25">
      <c r="A1110" s="10" t="s">
        <v>20</v>
      </c>
      <c r="B1110" t="b">
        <v>0</v>
      </c>
      <c r="C1110" t="b">
        <v>0</v>
      </c>
      <c r="D1110" s="1">
        <v>1438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f t="shared" si="61"/>
        <v>1438</v>
      </c>
      <c r="K1110" s="1">
        <v>392</v>
      </c>
      <c r="L1110" s="1">
        <v>0</v>
      </c>
      <c r="M1110" s="1">
        <v>0</v>
      </c>
      <c r="N1110" s="1">
        <f t="shared" si="63"/>
        <v>392</v>
      </c>
      <c r="O1110" s="14">
        <v>0</v>
      </c>
      <c r="P1110" s="17">
        <f t="shared" si="62"/>
        <v>1830</v>
      </c>
      <c r="Q1110" s="1">
        <v>0</v>
      </c>
      <c r="R1110" s="1">
        <v>0</v>
      </c>
      <c r="S1110" s="20">
        <v>42064</v>
      </c>
      <c r="T1110" s="1">
        <v>1830</v>
      </c>
      <c r="U1110" s="9">
        <v>1438</v>
      </c>
      <c r="V1110" s="9" t="s">
        <v>39</v>
      </c>
    </row>
    <row r="1111" spans="1:22" x14ac:dyDescent="0.25">
      <c r="A1111" s="10" t="s">
        <v>20</v>
      </c>
      <c r="B1111" t="b">
        <v>0</v>
      </c>
      <c r="C1111" t="b">
        <v>0</v>
      </c>
      <c r="D1111" s="1">
        <v>1043</v>
      </c>
      <c r="E1111" s="1">
        <v>0</v>
      </c>
      <c r="F1111" s="1">
        <v>0</v>
      </c>
      <c r="G1111" s="1">
        <v>2</v>
      </c>
      <c r="H1111" s="1">
        <v>4</v>
      </c>
      <c r="I1111" s="1">
        <v>0</v>
      </c>
      <c r="J1111" s="1">
        <f t="shared" si="61"/>
        <v>1049</v>
      </c>
      <c r="K1111" s="1">
        <v>218</v>
      </c>
      <c r="L1111" s="1">
        <v>0</v>
      </c>
      <c r="M1111" s="1">
        <v>64</v>
      </c>
      <c r="N1111" s="1">
        <f t="shared" si="63"/>
        <v>282</v>
      </c>
      <c r="O1111" s="14">
        <v>0</v>
      </c>
      <c r="P1111" s="17">
        <f t="shared" si="62"/>
        <v>1331</v>
      </c>
      <c r="Q1111" s="1">
        <v>8</v>
      </c>
      <c r="R1111" s="1">
        <v>0</v>
      </c>
      <c r="S1111" s="20">
        <v>42095</v>
      </c>
      <c r="T1111" s="1">
        <v>1339</v>
      </c>
      <c r="U1111" s="9">
        <v>1049</v>
      </c>
      <c r="V1111" s="9" t="s">
        <v>39</v>
      </c>
    </row>
    <row r="1112" spans="1:22" x14ac:dyDescent="0.25">
      <c r="A1112" s="10" t="s">
        <v>20</v>
      </c>
      <c r="B1112" t="b">
        <v>0</v>
      </c>
      <c r="C1112" t="b">
        <v>0</v>
      </c>
      <c r="D1112" s="1">
        <v>2820</v>
      </c>
      <c r="E1112" s="1">
        <v>2</v>
      </c>
      <c r="F1112" s="1">
        <v>0</v>
      </c>
      <c r="G1112" s="1">
        <v>0</v>
      </c>
      <c r="H1112" s="1">
        <v>0</v>
      </c>
      <c r="I1112" s="1">
        <v>0</v>
      </c>
      <c r="J1112" s="1">
        <f t="shared" si="61"/>
        <v>2822</v>
      </c>
      <c r="K1112" s="1">
        <v>1602</v>
      </c>
      <c r="L1112" s="1">
        <v>0</v>
      </c>
      <c r="M1112" s="1">
        <v>162</v>
      </c>
      <c r="N1112" s="1">
        <f t="shared" si="63"/>
        <v>1764</v>
      </c>
      <c r="O1112" s="14">
        <v>0</v>
      </c>
      <c r="P1112" s="17">
        <f t="shared" si="62"/>
        <v>4586</v>
      </c>
      <c r="Q1112" s="1">
        <v>3</v>
      </c>
      <c r="R1112" s="1">
        <v>0</v>
      </c>
      <c r="S1112" s="20">
        <v>42125</v>
      </c>
      <c r="T1112" s="1">
        <v>4589</v>
      </c>
      <c r="U1112" s="9">
        <v>2822</v>
      </c>
      <c r="V1112" s="9" t="s">
        <v>39</v>
      </c>
    </row>
    <row r="1113" spans="1:22" x14ac:dyDescent="0.25">
      <c r="A1113" s="10" t="s">
        <v>20</v>
      </c>
      <c r="B1113" t="b">
        <v>0</v>
      </c>
      <c r="C1113" t="b">
        <v>0</v>
      </c>
      <c r="D1113" s="1">
        <v>6398</v>
      </c>
      <c r="E1113" s="1">
        <v>3</v>
      </c>
      <c r="F1113" s="1">
        <v>0</v>
      </c>
      <c r="G1113" s="1">
        <v>0</v>
      </c>
      <c r="H1113" s="1">
        <v>0</v>
      </c>
      <c r="I1113" s="1">
        <v>0</v>
      </c>
      <c r="J1113" s="1">
        <f t="shared" si="61"/>
        <v>6401</v>
      </c>
      <c r="K1113" s="1">
        <v>2277</v>
      </c>
      <c r="L1113" s="1">
        <v>0</v>
      </c>
      <c r="M1113" s="1">
        <v>0</v>
      </c>
      <c r="N1113" s="1">
        <f t="shared" si="63"/>
        <v>2277</v>
      </c>
      <c r="O1113" s="14">
        <v>0</v>
      </c>
      <c r="P1113" s="17">
        <f t="shared" si="62"/>
        <v>8678</v>
      </c>
      <c r="Q1113" s="1">
        <v>11</v>
      </c>
      <c r="R1113" s="1">
        <v>0</v>
      </c>
      <c r="S1113" s="20">
        <v>42156</v>
      </c>
      <c r="T1113" s="1">
        <v>8689</v>
      </c>
      <c r="U1113" s="9">
        <v>6401</v>
      </c>
      <c r="V1113" s="9" t="s">
        <v>39</v>
      </c>
    </row>
    <row r="1114" spans="1:22" x14ac:dyDescent="0.25">
      <c r="A1114" s="10" t="s">
        <v>20</v>
      </c>
      <c r="B1114" t="b">
        <v>0</v>
      </c>
      <c r="C1114" t="b">
        <v>0</v>
      </c>
      <c r="D1114" s="1">
        <v>5730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f t="shared" si="61"/>
        <v>5730</v>
      </c>
      <c r="K1114" s="1">
        <v>3528</v>
      </c>
      <c r="L1114" s="1">
        <v>0</v>
      </c>
      <c r="M1114" s="1">
        <v>239</v>
      </c>
      <c r="N1114" s="1">
        <f t="shared" si="63"/>
        <v>3767</v>
      </c>
      <c r="O1114" s="14">
        <v>0</v>
      </c>
      <c r="P1114" s="17">
        <f t="shared" si="62"/>
        <v>9497</v>
      </c>
      <c r="Q1114" s="1">
        <v>5</v>
      </c>
      <c r="R1114" s="1">
        <v>0</v>
      </c>
      <c r="S1114" s="20">
        <v>42186</v>
      </c>
      <c r="T1114" s="1">
        <v>9502</v>
      </c>
      <c r="U1114" s="9">
        <v>5730</v>
      </c>
      <c r="V1114" s="9" t="s">
        <v>39</v>
      </c>
    </row>
    <row r="1115" spans="1:22" x14ac:dyDescent="0.25">
      <c r="A1115" s="10" t="s">
        <v>20</v>
      </c>
      <c r="B1115" t="b">
        <v>0</v>
      </c>
      <c r="C1115" t="b">
        <v>0</v>
      </c>
      <c r="D1115" s="1">
        <v>4513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f t="shared" si="61"/>
        <v>4513</v>
      </c>
      <c r="K1115" s="1">
        <v>2912</v>
      </c>
      <c r="L1115" s="1">
        <v>0</v>
      </c>
      <c r="M1115" s="1">
        <v>304</v>
      </c>
      <c r="N1115" s="1">
        <f t="shared" si="63"/>
        <v>3216</v>
      </c>
      <c r="O1115" s="14">
        <v>0</v>
      </c>
      <c r="P1115" s="17">
        <f t="shared" si="62"/>
        <v>7729</v>
      </c>
      <c r="Q1115" s="1">
        <v>4</v>
      </c>
      <c r="R1115" s="1">
        <v>0</v>
      </c>
      <c r="S1115" s="20">
        <v>42217</v>
      </c>
      <c r="T1115" s="1">
        <v>7733</v>
      </c>
      <c r="U1115" s="9">
        <v>4513</v>
      </c>
      <c r="V1115" s="9" t="s">
        <v>39</v>
      </c>
    </row>
    <row r="1116" spans="1:22" x14ac:dyDescent="0.25">
      <c r="A1116" s="10" t="s">
        <v>20</v>
      </c>
      <c r="B1116" t="b">
        <v>0</v>
      </c>
      <c r="C1116" t="b">
        <v>0</v>
      </c>
      <c r="D1116" s="1">
        <v>2143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f t="shared" si="61"/>
        <v>2143</v>
      </c>
      <c r="K1116" s="1">
        <v>1859</v>
      </c>
      <c r="L1116" s="1">
        <v>0</v>
      </c>
      <c r="M1116" s="1">
        <v>125</v>
      </c>
      <c r="N1116" s="1">
        <f t="shared" si="63"/>
        <v>1984</v>
      </c>
      <c r="O1116" s="14">
        <v>0</v>
      </c>
      <c r="P1116" s="17">
        <f t="shared" si="62"/>
        <v>4127</v>
      </c>
      <c r="Q1116" s="1">
        <v>0</v>
      </c>
      <c r="R1116" s="1">
        <v>0</v>
      </c>
      <c r="S1116" s="20">
        <v>42248</v>
      </c>
      <c r="T1116" s="1">
        <v>4127</v>
      </c>
      <c r="U1116" s="9">
        <v>2143</v>
      </c>
      <c r="V1116" s="9" t="s">
        <v>39</v>
      </c>
    </row>
    <row r="1117" spans="1:22" x14ac:dyDescent="0.25">
      <c r="A1117" s="10" t="s">
        <v>20</v>
      </c>
      <c r="B1117" t="b">
        <v>0</v>
      </c>
      <c r="C1117" t="b">
        <v>0</v>
      </c>
      <c r="D1117" s="1">
        <v>433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f t="shared" si="61"/>
        <v>433</v>
      </c>
      <c r="K1117" s="1">
        <v>612</v>
      </c>
      <c r="L1117" s="1">
        <v>0</v>
      </c>
      <c r="M1117" s="1">
        <v>0</v>
      </c>
      <c r="N1117" s="1">
        <f t="shared" si="63"/>
        <v>612</v>
      </c>
      <c r="O1117" s="14">
        <v>0</v>
      </c>
      <c r="P1117" s="17">
        <f t="shared" si="62"/>
        <v>1045</v>
      </c>
      <c r="Q1117" s="1">
        <v>0</v>
      </c>
      <c r="R1117" s="1">
        <v>0</v>
      </c>
      <c r="S1117" s="20">
        <v>42278</v>
      </c>
      <c r="T1117" s="1">
        <v>1045</v>
      </c>
      <c r="U1117" s="9">
        <v>433</v>
      </c>
      <c r="V1117" s="9" t="s">
        <v>39</v>
      </c>
    </row>
    <row r="1118" spans="1:22" x14ac:dyDescent="0.25">
      <c r="A1118" s="10" t="s">
        <v>20</v>
      </c>
      <c r="B1118" t="b">
        <v>0</v>
      </c>
      <c r="C1118" t="b">
        <v>0</v>
      </c>
      <c r="D1118" s="1">
        <v>330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f t="shared" si="61"/>
        <v>330</v>
      </c>
      <c r="K1118" s="1">
        <v>275</v>
      </c>
      <c r="L1118" s="1">
        <v>0</v>
      </c>
      <c r="M1118" s="1">
        <v>0</v>
      </c>
      <c r="N1118" s="1">
        <f t="shared" si="63"/>
        <v>275</v>
      </c>
      <c r="O1118" s="14">
        <v>0</v>
      </c>
      <c r="P1118" s="17">
        <f t="shared" si="62"/>
        <v>605</v>
      </c>
      <c r="Q1118" s="1">
        <v>0</v>
      </c>
      <c r="R1118" s="1">
        <v>0</v>
      </c>
      <c r="S1118" s="20">
        <v>42309</v>
      </c>
      <c r="T1118" s="1">
        <v>605</v>
      </c>
      <c r="U1118" s="9">
        <v>330</v>
      </c>
      <c r="V1118" s="9" t="s">
        <v>39</v>
      </c>
    </row>
    <row r="1119" spans="1:22" x14ac:dyDescent="0.25">
      <c r="A1119" s="10" t="s">
        <v>20</v>
      </c>
      <c r="B1119" t="b">
        <v>0</v>
      </c>
      <c r="C1119" t="b">
        <v>0</v>
      </c>
      <c r="D1119" s="1">
        <v>245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f t="shared" si="61"/>
        <v>245</v>
      </c>
      <c r="K1119" s="1">
        <v>81</v>
      </c>
      <c r="L1119" s="1">
        <v>0</v>
      </c>
      <c r="M1119" s="1">
        <v>0</v>
      </c>
      <c r="N1119" s="1">
        <f t="shared" si="63"/>
        <v>81</v>
      </c>
      <c r="O1119" s="14">
        <v>0</v>
      </c>
      <c r="P1119" s="17">
        <f t="shared" si="62"/>
        <v>326</v>
      </c>
      <c r="Q1119" s="1">
        <v>0</v>
      </c>
      <c r="R1119" s="1">
        <v>0</v>
      </c>
      <c r="S1119" s="20">
        <v>42339</v>
      </c>
      <c r="T1119" s="1">
        <v>326</v>
      </c>
      <c r="U1119" s="9">
        <v>245</v>
      </c>
      <c r="V1119" s="9" t="s">
        <v>39</v>
      </c>
    </row>
    <row r="1120" spans="1:22" x14ac:dyDescent="0.25">
      <c r="A1120" s="10" t="s">
        <v>20</v>
      </c>
      <c r="B1120" t="b">
        <v>0</v>
      </c>
      <c r="C1120" t="b">
        <v>0</v>
      </c>
      <c r="D1120" s="1">
        <v>285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f t="shared" si="61"/>
        <v>285</v>
      </c>
      <c r="K1120" s="1">
        <v>72</v>
      </c>
      <c r="L1120" s="1">
        <v>0</v>
      </c>
      <c r="M1120" s="1">
        <v>0</v>
      </c>
      <c r="N1120" s="1">
        <f t="shared" si="63"/>
        <v>72</v>
      </c>
      <c r="O1120" s="14">
        <v>0</v>
      </c>
      <c r="P1120" s="17">
        <f t="shared" si="62"/>
        <v>357</v>
      </c>
      <c r="Q1120" s="1">
        <v>0</v>
      </c>
      <c r="R1120" s="1">
        <v>0</v>
      </c>
      <c r="S1120" s="20">
        <v>42370</v>
      </c>
      <c r="T1120" s="1">
        <v>357</v>
      </c>
      <c r="U1120" s="9">
        <v>285</v>
      </c>
      <c r="V1120" s="9" t="s">
        <v>46</v>
      </c>
    </row>
    <row r="1121" spans="1:22" x14ac:dyDescent="0.25">
      <c r="A1121" s="10" t="s">
        <v>20</v>
      </c>
      <c r="B1121" t="b">
        <v>0</v>
      </c>
      <c r="C1121" t="b">
        <v>0</v>
      </c>
      <c r="D1121" s="1">
        <v>33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f t="shared" si="61"/>
        <v>33</v>
      </c>
      <c r="K1121" s="1">
        <v>18</v>
      </c>
      <c r="L1121" s="1">
        <v>0</v>
      </c>
      <c r="M1121" s="1">
        <v>0</v>
      </c>
      <c r="N1121" s="1">
        <f t="shared" si="63"/>
        <v>18</v>
      </c>
      <c r="O1121" s="14">
        <v>0</v>
      </c>
      <c r="P1121" s="17">
        <f t="shared" si="62"/>
        <v>51</v>
      </c>
      <c r="Q1121" s="1">
        <v>0</v>
      </c>
      <c r="R1121" s="1">
        <v>0</v>
      </c>
      <c r="S1121" s="20">
        <v>42401</v>
      </c>
      <c r="T1121" s="1">
        <v>51</v>
      </c>
      <c r="U1121" s="9">
        <v>33</v>
      </c>
      <c r="V1121" s="9" t="s">
        <v>46</v>
      </c>
    </row>
    <row r="1122" spans="1:22" x14ac:dyDescent="0.25">
      <c r="A1122" s="10" t="s">
        <v>20</v>
      </c>
      <c r="B1122" t="b">
        <v>0</v>
      </c>
      <c r="C1122" t="b">
        <v>0</v>
      </c>
      <c r="D1122" s="1">
        <v>815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f t="shared" si="61"/>
        <v>815</v>
      </c>
      <c r="K1122" s="1">
        <v>270</v>
      </c>
      <c r="L1122" s="1">
        <v>0</v>
      </c>
      <c r="M1122" s="1">
        <v>0</v>
      </c>
      <c r="N1122" s="1">
        <f t="shared" si="63"/>
        <v>270</v>
      </c>
      <c r="O1122" s="14">
        <v>0</v>
      </c>
      <c r="P1122" s="17">
        <f t="shared" si="62"/>
        <v>1085</v>
      </c>
      <c r="Q1122" s="1">
        <v>0</v>
      </c>
      <c r="R1122" s="1">
        <v>0</v>
      </c>
      <c r="S1122" s="20">
        <v>42430</v>
      </c>
      <c r="T1122" s="1">
        <v>1085</v>
      </c>
      <c r="U1122" s="9">
        <v>815</v>
      </c>
      <c r="V1122" s="9" t="s">
        <v>46</v>
      </c>
    </row>
    <row r="1123" spans="1:22" x14ac:dyDescent="0.25">
      <c r="A1123" s="10" t="s">
        <v>20</v>
      </c>
      <c r="B1123" t="b">
        <v>0</v>
      </c>
      <c r="C1123" t="b">
        <v>0</v>
      </c>
      <c r="D1123" s="1">
        <v>675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f t="shared" si="61"/>
        <v>675</v>
      </c>
      <c r="K1123" s="1">
        <v>396</v>
      </c>
      <c r="L1123" s="1">
        <v>0</v>
      </c>
      <c r="M1123" s="1">
        <v>0</v>
      </c>
      <c r="N1123" s="1">
        <f t="shared" si="63"/>
        <v>396</v>
      </c>
      <c r="O1123" s="14">
        <v>0</v>
      </c>
      <c r="P1123" s="17">
        <f t="shared" si="62"/>
        <v>1071</v>
      </c>
      <c r="Q1123" s="1">
        <v>0</v>
      </c>
      <c r="R1123" s="1">
        <v>0</v>
      </c>
      <c r="S1123" s="20">
        <v>42461</v>
      </c>
      <c r="T1123" s="1">
        <v>1071</v>
      </c>
      <c r="U1123" s="9">
        <v>675</v>
      </c>
      <c r="V1123" s="9" t="s">
        <v>46</v>
      </c>
    </row>
    <row r="1124" spans="1:22" x14ac:dyDescent="0.25">
      <c r="A1124" s="10" t="s">
        <v>20</v>
      </c>
      <c r="B1124" t="b">
        <v>0</v>
      </c>
      <c r="C1124" t="b">
        <v>0</v>
      </c>
      <c r="D1124" s="1">
        <v>1973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f t="shared" si="61"/>
        <v>1973</v>
      </c>
      <c r="K1124" s="1">
        <v>1377</v>
      </c>
      <c r="L1124" s="1">
        <v>0</v>
      </c>
      <c r="M1124" s="1">
        <v>0</v>
      </c>
      <c r="N1124" s="1">
        <f t="shared" si="63"/>
        <v>1377</v>
      </c>
      <c r="O1124" s="14">
        <v>0</v>
      </c>
      <c r="P1124" s="17">
        <f t="shared" si="62"/>
        <v>3350</v>
      </c>
      <c r="Q1124" s="1">
        <v>0</v>
      </c>
      <c r="R1124" s="1">
        <v>0</v>
      </c>
      <c r="S1124" s="20">
        <v>42491</v>
      </c>
      <c r="T1124" s="1">
        <v>3350</v>
      </c>
      <c r="U1124" s="9">
        <v>1973</v>
      </c>
      <c r="V1124" s="9" t="s">
        <v>46</v>
      </c>
    </row>
    <row r="1125" spans="1:22" x14ac:dyDescent="0.25">
      <c r="A1125" s="10" t="s">
        <v>20</v>
      </c>
      <c r="B1125" t="b">
        <v>0</v>
      </c>
      <c r="C1125" t="b">
        <v>0</v>
      </c>
      <c r="D1125" s="1">
        <v>6398</v>
      </c>
      <c r="E1125" s="1">
        <v>3</v>
      </c>
      <c r="F1125" s="1">
        <v>0</v>
      </c>
      <c r="G1125" s="1">
        <v>0</v>
      </c>
      <c r="H1125" s="1">
        <v>0</v>
      </c>
      <c r="I1125" s="1">
        <v>0</v>
      </c>
      <c r="J1125" s="1">
        <f t="shared" si="61"/>
        <v>6401</v>
      </c>
      <c r="K1125" s="1">
        <v>2277</v>
      </c>
      <c r="L1125" s="1">
        <v>0</v>
      </c>
      <c r="M1125" s="1">
        <v>0</v>
      </c>
      <c r="N1125" s="1">
        <f t="shared" si="63"/>
        <v>2277</v>
      </c>
      <c r="O1125" s="14">
        <v>0</v>
      </c>
      <c r="P1125" s="17">
        <f t="shared" si="62"/>
        <v>8678</v>
      </c>
      <c r="Q1125" s="1">
        <v>11</v>
      </c>
      <c r="R1125" s="1">
        <v>0</v>
      </c>
      <c r="S1125" s="20">
        <v>42522</v>
      </c>
      <c r="T1125" s="1">
        <v>8689</v>
      </c>
      <c r="U1125" s="9">
        <v>6401</v>
      </c>
      <c r="V1125" s="9" t="s">
        <v>46</v>
      </c>
    </row>
    <row r="1126" spans="1:22" x14ac:dyDescent="0.25">
      <c r="A1126" s="10" t="s">
        <v>20</v>
      </c>
      <c r="B1126" t="b">
        <v>0</v>
      </c>
      <c r="C1126" t="b">
        <v>0</v>
      </c>
      <c r="D1126" s="1">
        <v>4966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f t="shared" si="61"/>
        <v>4966</v>
      </c>
      <c r="K1126" s="1">
        <v>1646</v>
      </c>
      <c r="L1126" s="1">
        <v>0</v>
      </c>
      <c r="M1126" s="1">
        <v>0</v>
      </c>
      <c r="N1126" s="1">
        <f t="shared" si="63"/>
        <v>1646</v>
      </c>
      <c r="O1126" s="14">
        <v>0</v>
      </c>
      <c r="P1126" s="17">
        <f t="shared" si="62"/>
        <v>6612</v>
      </c>
      <c r="Q1126" s="1">
        <v>0</v>
      </c>
      <c r="R1126" s="1">
        <v>0</v>
      </c>
      <c r="S1126" s="20">
        <v>42552</v>
      </c>
      <c r="T1126" s="1">
        <v>6612</v>
      </c>
      <c r="U1126" s="9">
        <v>4966</v>
      </c>
      <c r="V1126" s="9" t="s">
        <v>46</v>
      </c>
    </row>
    <row r="1127" spans="1:22" x14ac:dyDescent="0.25">
      <c r="A1127" s="10" t="s">
        <v>20</v>
      </c>
      <c r="B1127" t="b">
        <v>0</v>
      </c>
      <c r="C1127" t="b">
        <v>0</v>
      </c>
      <c r="D1127" s="1">
        <v>3769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f t="shared" si="61"/>
        <v>3769</v>
      </c>
      <c r="K1127" s="1">
        <v>2924</v>
      </c>
      <c r="L1127" s="1">
        <v>0</v>
      </c>
      <c r="M1127" s="1">
        <v>0</v>
      </c>
      <c r="N1127" s="1">
        <f t="shared" si="63"/>
        <v>2924</v>
      </c>
      <c r="O1127" s="14">
        <v>0</v>
      </c>
      <c r="P1127" s="17">
        <f t="shared" si="62"/>
        <v>6693</v>
      </c>
      <c r="Q1127" s="1">
        <v>0</v>
      </c>
      <c r="R1127" s="1">
        <v>0</v>
      </c>
      <c r="S1127" s="20">
        <v>42583</v>
      </c>
      <c r="T1127" s="1">
        <v>6693</v>
      </c>
      <c r="U1127" s="9">
        <v>3769</v>
      </c>
      <c r="V1127" s="9" t="s">
        <v>46</v>
      </c>
    </row>
    <row r="1128" spans="1:22" x14ac:dyDescent="0.25">
      <c r="A1128" s="10" t="s">
        <v>20</v>
      </c>
      <c r="B1128" t="b">
        <v>0</v>
      </c>
      <c r="C1128" t="b">
        <v>0</v>
      </c>
      <c r="D1128" s="1">
        <v>1598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f t="shared" si="61"/>
        <v>1598</v>
      </c>
      <c r="K1128" s="1">
        <v>1466</v>
      </c>
      <c r="L1128" s="1">
        <v>0</v>
      </c>
      <c r="M1128" s="1">
        <v>0</v>
      </c>
      <c r="N1128" s="1">
        <f t="shared" si="63"/>
        <v>1466</v>
      </c>
      <c r="O1128" s="14">
        <v>0</v>
      </c>
      <c r="P1128" s="17">
        <f t="shared" si="62"/>
        <v>3064</v>
      </c>
      <c r="Q1128" s="1">
        <v>0</v>
      </c>
      <c r="R1128" s="1">
        <v>0</v>
      </c>
      <c r="S1128" s="20">
        <v>42614</v>
      </c>
      <c r="T1128" s="1">
        <v>3064</v>
      </c>
      <c r="U1128" s="9">
        <v>1598</v>
      </c>
      <c r="V1128" s="9" t="s">
        <v>46</v>
      </c>
    </row>
    <row r="1129" spans="1:22" x14ac:dyDescent="0.25">
      <c r="A1129" s="10" t="s">
        <v>20</v>
      </c>
      <c r="B1129" t="b">
        <v>0</v>
      </c>
      <c r="C1129" t="b">
        <v>0</v>
      </c>
      <c r="D1129" s="1">
        <v>454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f t="shared" si="61"/>
        <v>454</v>
      </c>
      <c r="K1129" s="1">
        <v>656</v>
      </c>
      <c r="L1129" s="1">
        <v>0</v>
      </c>
      <c r="M1129" s="1">
        <v>0</v>
      </c>
      <c r="N1129" s="1">
        <f t="shared" si="63"/>
        <v>656</v>
      </c>
      <c r="O1129" s="14">
        <v>0</v>
      </c>
      <c r="P1129" s="17">
        <f t="shared" si="62"/>
        <v>1110</v>
      </c>
      <c r="Q1129" s="1">
        <v>0</v>
      </c>
      <c r="R1129" s="1">
        <v>0</v>
      </c>
      <c r="S1129" s="20">
        <v>42644</v>
      </c>
      <c r="T1129" s="1">
        <v>1110</v>
      </c>
      <c r="U1129" s="9">
        <v>454</v>
      </c>
      <c r="V1129" s="9" t="s">
        <v>46</v>
      </c>
    </row>
    <row r="1130" spans="1:22" x14ac:dyDescent="0.25">
      <c r="A1130" s="10" t="s">
        <v>20</v>
      </c>
      <c r="B1130" t="b">
        <v>0</v>
      </c>
      <c r="C1130" t="b">
        <v>0</v>
      </c>
      <c r="D1130" s="1">
        <v>296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f t="shared" si="61"/>
        <v>296</v>
      </c>
      <c r="K1130" s="1">
        <v>265</v>
      </c>
      <c r="L1130" s="1">
        <v>0</v>
      </c>
      <c r="M1130" s="1">
        <v>0</v>
      </c>
      <c r="N1130" s="1">
        <f t="shared" si="63"/>
        <v>265</v>
      </c>
      <c r="O1130" s="14">
        <v>0</v>
      </c>
      <c r="P1130" s="17">
        <f t="shared" si="62"/>
        <v>561</v>
      </c>
      <c r="Q1130" s="1">
        <v>0</v>
      </c>
      <c r="R1130" s="1">
        <v>0</v>
      </c>
      <c r="S1130" s="20">
        <v>42675</v>
      </c>
      <c r="T1130" s="1">
        <v>561</v>
      </c>
      <c r="U1130" s="9">
        <v>296</v>
      </c>
      <c r="V1130" s="9" t="s">
        <v>46</v>
      </c>
    </row>
    <row r="1131" spans="1:22" x14ac:dyDescent="0.25">
      <c r="A1131" s="10" t="s">
        <v>20</v>
      </c>
      <c r="B1131" t="b">
        <v>0</v>
      </c>
      <c r="C1131" t="b">
        <v>0</v>
      </c>
      <c r="D1131" s="1">
        <v>36</v>
      </c>
      <c r="E1131" s="1">
        <v>0</v>
      </c>
      <c r="F1131" s="1">
        <v>0</v>
      </c>
      <c r="G1131" s="1">
        <v>3</v>
      </c>
      <c r="H1131" s="1">
        <v>0</v>
      </c>
      <c r="I1131" s="1">
        <v>0</v>
      </c>
      <c r="J1131" s="1">
        <f t="shared" si="61"/>
        <v>39</v>
      </c>
      <c r="K1131" s="1">
        <v>49</v>
      </c>
      <c r="L1131" s="1">
        <v>0</v>
      </c>
      <c r="M1131" s="1">
        <v>0</v>
      </c>
      <c r="N1131" s="1">
        <f t="shared" si="63"/>
        <v>49</v>
      </c>
      <c r="O1131" s="14">
        <v>0</v>
      </c>
      <c r="P1131" s="17">
        <f t="shared" si="62"/>
        <v>88</v>
      </c>
      <c r="Q1131" s="1">
        <v>0</v>
      </c>
      <c r="R1131" s="1">
        <v>0</v>
      </c>
      <c r="S1131" s="20">
        <v>42705</v>
      </c>
      <c r="T1131" s="1">
        <v>88</v>
      </c>
      <c r="U1131" s="9">
        <v>39</v>
      </c>
      <c r="V1131" s="9" t="s">
        <v>46</v>
      </c>
    </row>
    <row r="1132" spans="1:22" x14ac:dyDescent="0.25">
      <c r="A1132" s="10" t="s">
        <v>20</v>
      </c>
      <c r="B1132" t="b">
        <v>0</v>
      </c>
      <c r="C1132" t="b">
        <v>0</v>
      </c>
      <c r="D1132" s="1">
        <v>297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f t="shared" si="61"/>
        <v>297</v>
      </c>
      <c r="K1132" s="1">
        <v>18</v>
      </c>
      <c r="L1132" s="1">
        <v>0</v>
      </c>
      <c r="M1132" s="1">
        <v>0</v>
      </c>
      <c r="N1132" s="1">
        <f t="shared" si="63"/>
        <v>18</v>
      </c>
      <c r="O1132" s="14">
        <v>0</v>
      </c>
      <c r="P1132" s="17">
        <f t="shared" si="62"/>
        <v>315</v>
      </c>
      <c r="Q1132" s="1">
        <v>0</v>
      </c>
      <c r="R1132" s="1">
        <v>0</v>
      </c>
      <c r="S1132" s="20">
        <v>42736</v>
      </c>
      <c r="T1132" s="1">
        <v>315</v>
      </c>
      <c r="U1132" s="9">
        <v>297</v>
      </c>
      <c r="V1132" s="9" t="s">
        <v>21</v>
      </c>
    </row>
    <row r="1133" spans="1:22" x14ac:dyDescent="0.25">
      <c r="A1133" s="10" t="s">
        <v>20</v>
      </c>
      <c r="B1133" t="b">
        <v>0</v>
      </c>
      <c r="C1133" t="b">
        <v>0</v>
      </c>
      <c r="D1133" s="1">
        <v>198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f t="shared" si="61"/>
        <v>198</v>
      </c>
      <c r="K1133" s="1">
        <v>24</v>
      </c>
      <c r="L1133" s="1">
        <v>0</v>
      </c>
      <c r="M1133" s="1">
        <v>0</v>
      </c>
      <c r="N1133" s="1">
        <f t="shared" si="63"/>
        <v>24</v>
      </c>
      <c r="O1133" s="14">
        <v>0</v>
      </c>
      <c r="P1133" s="17">
        <f t="shared" si="62"/>
        <v>222</v>
      </c>
      <c r="Q1133" s="1">
        <v>0</v>
      </c>
      <c r="R1133" s="1">
        <v>0</v>
      </c>
      <c r="S1133" s="20">
        <v>42767</v>
      </c>
      <c r="T1133" s="1">
        <v>222</v>
      </c>
      <c r="U1133" s="9">
        <v>198</v>
      </c>
      <c r="V1133" s="9" t="s">
        <v>21</v>
      </c>
    </row>
    <row r="1134" spans="1:22" x14ac:dyDescent="0.25">
      <c r="A1134" s="10" t="s">
        <v>20</v>
      </c>
      <c r="B1134" t="b">
        <v>0</v>
      </c>
      <c r="C1134" t="b">
        <v>0</v>
      </c>
      <c r="D1134" s="1">
        <v>588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f t="shared" si="61"/>
        <v>588</v>
      </c>
      <c r="K1134" s="1">
        <v>171</v>
      </c>
      <c r="L1134" s="1">
        <v>0</v>
      </c>
      <c r="M1134" s="1">
        <v>0</v>
      </c>
      <c r="N1134" s="1">
        <f t="shared" si="63"/>
        <v>171</v>
      </c>
      <c r="O1134" s="14">
        <v>0</v>
      </c>
      <c r="P1134" s="17">
        <f t="shared" si="62"/>
        <v>759</v>
      </c>
      <c r="Q1134" s="1">
        <v>0</v>
      </c>
      <c r="R1134" s="1">
        <v>0</v>
      </c>
      <c r="S1134" s="20">
        <v>42795</v>
      </c>
      <c r="T1134" s="1">
        <v>759</v>
      </c>
      <c r="U1134" s="9">
        <v>588</v>
      </c>
      <c r="V1134" s="9" t="s">
        <v>21</v>
      </c>
    </row>
    <row r="1135" spans="1:22" x14ac:dyDescent="0.25">
      <c r="A1135" s="10" t="s">
        <v>20</v>
      </c>
      <c r="B1135" t="b">
        <v>0</v>
      </c>
      <c r="C1135" t="b">
        <v>0</v>
      </c>
      <c r="D1135" s="1">
        <v>598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f t="shared" si="61"/>
        <v>598</v>
      </c>
      <c r="K1135" s="1">
        <v>256</v>
      </c>
      <c r="L1135" s="1">
        <v>0</v>
      </c>
      <c r="M1135" s="1">
        <v>0</v>
      </c>
      <c r="N1135" s="1">
        <f t="shared" si="63"/>
        <v>256</v>
      </c>
      <c r="O1135" s="14">
        <v>0</v>
      </c>
      <c r="P1135" s="17">
        <f t="shared" si="62"/>
        <v>854</v>
      </c>
      <c r="Q1135" s="1">
        <v>0</v>
      </c>
      <c r="R1135" s="1">
        <v>0</v>
      </c>
      <c r="S1135" s="20">
        <v>42826</v>
      </c>
      <c r="T1135" s="1">
        <v>854</v>
      </c>
      <c r="U1135" s="9">
        <v>598</v>
      </c>
      <c r="V1135" s="9" t="s">
        <v>21</v>
      </c>
    </row>
    <row r="1136" spans="1:22" x14ac:dyDescent="0.25">
      <c r="A1136" s="10" t="s">
        <v>20</v>
      </c>
      <c r="B1136" t="b">
        <v>0</v>
      </c>
      <c r="C1136" t="b">
        <v>0</v>
      </c>
      <c r="D1136" s="1">
        <v>921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f t="shared" si="61"/>
        <v>921</v>
      </c>
      <c r="K1136" s="1">
        <v>681</v>
      </c>
      <c r="L1136" s="1">
        <v>0</v>
      </c>
      <c r="M1136" s="1">
        <v>0</v>
      </c>
      <c r="N1136" s="1">
        <f t="shared" si="63"/>
        <v>681</v>
      </c>
      <c r="O1136" s="14">
        <v>0</v>
      </c>
      <c r="P1136" s="17">
        <f t="shared" si="62"/>
        <v>1602</v>
      </c>
      <c r="Q1136" s="1">
        <v>0</v>
      </c>
      <c r="R1136" s="1">
        <v>0</v>
      </c>
      <c r="S1136" s="20">
        <v>42856</v>
      </c>
      <c r="T1136" s="1">
        <v>1602</v>
      </c>
      <c r="U1136" s="9">
        <v>921</v>
      </c>
      <c r="V1136" s="9" t="s">
        <v>21</v>
      </c>
    </row>
    <row r="1137" spans="1:22" x14ac:dyDescent="0.25">
      <c r="A1137" s="10" t="s">
        <v>20</v>
      </c>
      <c r="B1137" t="b">
        <v>0</v>
      </c>
      <c r="C1137" t="b">
        <v>0</v>
      </c>
      <c r="D1137" s="1">
        <v>6244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f t="shared" si="61"/>
        <v>6244</v>
      </c>
      <c r="K1137" s="1">
        <v>2269</v>
      </c>
      <c r="L1137" s="1">
        <v>0</v>
      </c>
      <c r="M1137" s="1">
        <v>0</v>
      </c>
      <c r="N1137" s="1">
        <f t="shared" si="63"/>
        <v>2269</v>
      </c>
      <c r="O1137" s="14">
        <v>0</v>
      </c>
      <c r="P1137" s="17">
        <f t="shared" si="62"/>
        <v>8513</v>
      </c>
      <c r="Q1137" s="1">
        <v>9</v>
      </c>
      <c r="R1137" s="1">
        <v>0</v>
      </c>
      <c r="S1137" s="20">
        <v>42887</v>
      </c>
      <c r="T1137" s="1">
        <v>8522</v>
      </c>
      <c r="U1137" s="9">
        <v>6244</v>
      </c>
      <c r="V1137" s="9" t="s">
        <v>21</v>
      </c>
    </row>
    <row r="1138" spans="1:22" x14ac:dyDescent="0.25">
      <c r="A1138" s="10" t="s">
        <v>20</v>
      </c>
      <c r="B1138" t="b">
        <v>0</v>
      </c>
      <c r="C1138" t="b">
        <v>0</v>
      </c>
      <c r="D1138" s="1">
        <v>4981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f t="shared" si="61"/>
        <v>4981</v>
      </c>
      <c r="K1138" s="1">
        <v>1690</v>
      </c>
      <c r="L1138" s="1">
        <v>0</v>
      </c>
      <c r="M1138" s="1">
        <v>0</v>
      </c>
      <c r="N1138" s="1">
        <f t="shared" si="63"/>
        <v>1690</v>
      </c>
      <c r="O1138" s="14">
        <v>0</v>
      </c>
      <c r="P1138" s="17">
        <f t="shared" si="62"/>
        <v>6671</v>
      </c>
      <c r="Q1138" s="1">
        <v>0</v>
      </c>
      <c r="R1138" s="1">
        <v>0</v>
      </c>
      <c r="S1138" s="20">
        <v>42917</v>
      </c>
      <c r="T1138" s="1">
        <v>6671</v>
      </c>
      <c r="U1138" s="9">
        <v>4981</v>
      </c>
      <c r="V1138" s="9" t="s">
        <v>21</v>
      </c>
    </row>
    <row r="1139" spans="1:22" x14ac:dyDescent="0.25">
      <c r="A1139" s="10" t="s">
        <v>20</v>
      </c>
      <c r="B1139" t="b">
        <v>0</v>
      </c>
      <c r="C1139" t="b">
        <v>0</v>
      </c>
      <c r="D1139" s="1">
        <v>3781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f t="shared" ref="J1139:J1181" si="64">D1139+E1139+F1139+G1139+H1139+I1139</f>
        <v>3781</v>
      </c>
      <c r="K1139" s="1">
        <v>2969</v>
      </c>
      <c r="L1139" s="1">
        <v>0</v>
      </c>
      <c r="M1139" s="1">
        <v>0</v>
      </c>
      <c r="N1139" s="1">
        <f t="shared" si="63"/>
        <v>2969</v>
      </c>
      <c r="O1139" s="14">
        <v>0</v>
      </c>
      <c r="P1139" s="17">
        <f t="shared" ref="P1139:P1181" si="65">J1139+N1139</f>
        <v>6750</v>
      </c>
      <c r="Q1139" s="1">
        <v>0</v>
      </c>
      <c r="R1139" s="1">
        <v>0</v>
      </c>
      <c r="S1139" s="20">
        <v>42948</v>
      </c>
      <c r="T1139" s="1">
        <v>6750</v>
      </c>
      <c r="U1139" s="9">
        <v>3781</v>
      </c>
      <c r="V1139" s="9" t="s">
        <v>21</v>
      </c>
    </row>
    <row r="1140" spans="1:22" x14ac:dyDescent="0.25">
      <c r="A1140" s="10" t="s">
        <v>20</v>
      </c>
      <c r="B1140" t="b">
        <v>0</v>
      </c>
      <c r="C1140" t="b">
        <v>0</v>
      </c>
      <c r="D1140" s="1">
        <v>1604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f t="shared" si="64"/>
        <v>1604</v>
      </c>
      <c r="K1140" s="1">
        <v>1481</v>
      </c>
      <c r="L1140" s="1">
        <v>0</v>
      </c>
      <c r="M1140" s="1">
        <v>0</v>
      </c>
      <c r="N1140" s="1">
        <f t="shared" si="63"/>
        <v>1481</v>
      </c>
      <c r="O1140" s="14">
        <v>0</v>
      </c>
      <c r="P1140" s="17">
        <f t="shared" si="65"/>
        <v>3085</v>
      </c>
      <c r="Q1140" s="1">
        <v>0</v>
      </c>
      <c r="R1140" s="1">
        <v>0</v>
      </c>
      <c r="S1140" s="20">
        <v>42979</v>
      </c>
      <c r="T1140" s="1">
        <v>3085</v>
      </c>
      <c r="U1140" s="9">
        <v>1604</v>
      </c>
      <c r="V1140" s="9" t="s">
        <v>21</v>
      </c>
    </row>
    <row r="1141" spans="1:22" x14ac:dyDescent="0.25">
      <c r="A1141" s="10" t="s">
        <v>20</v>
      </c>
      <c r="B1141" t="b">
        <v>0</v>
      </c>
      <c r="C1141" t="b">
        <v>0</v>
      </c>
      <c r="D1141" s="1">
        <v>464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f t="shared" si="64"/>
        <v>464</v>
      </c>
      <c r="K1141" s="1">
        <v>666</v>
      </c>
      <c r="L1141" s="1">
        <v>0</v>
      </c>
      <c r="M1141" s="1">
        <v>0</v>
      </c>
      <c r="N1141" s="1">
        <f t="shared" si="63"/>
        <v>666</v>
      </c>
      <c r="O1141" s="14">
        <v>0</v>
      </c>
      <c r="P1141" s="17">
        <f t="shared" si="65"/>
        <v>1130</v>
      </c>
      <c r="Q1141" s="1">
        <v>0</v>
      </c>
      <c r="R1141" s="1">
        <v>0</v>
      </c>
      <c r="S1141" s="20">
        <v>43009</v>
      </c>
      <c r="T1141" s="1">
        <v>1130</v>
      </c>
      <c r="U1141" s="9">
        <v>464</v>
      </c>
      <c r="V1141" s="9" t="s">
        <v>21</v>
      </c>
    </row>
    <row r="1142" spans="1:22" x14ac:dyDescent="0.25">
      <c r="A1142" s="10" t="s">
        <v>20</v>
      </c>
      <c r="B1142" t="b">
        <v>0</v>
      </c>
      <c r="C1142" t="b">
        <v>0</v>
      </c>
      <c r="D1142" s="1">
        <v>245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f t="shared" si="64"/>
        <v>245</v>
      </c>
      <c r="K1142" s="1">
        <v>269</v>
      </c>
      <c r="L1142" s="1">
        <v>0</v>
      </c>
      <c r="M1142" s="1">
        <v>0</v>
      </c>
      <c r="N1142" s="1">
        <f t="shared" si="63"/>
        <v>269</v>
      </c>
      <c r="O1142" s="14">
        <v>0</v>
      </c>
      <c r="P1142" s="17">
        <f t="shared" si="65"/>
        <v>514</v>
      </c>
      <c r="Q1142" s="1">
        <v>0</v>
      </c>
      <c r="R1142" s="1">
        <v>0</v>
      </c>
      <c r="S1142" s="20">
        <v>43040</v>
      </c>
      <c r="T1142" s="1">
        <v>514</v>
      </c>
      <c r="U1142" s="9">
        <v>245</v>
      </c>
      <c r="V1142" s="9" t="s">
        <v>21</v>
      </c>
    </row>
    <row r="1143" spans="1:22" x14ac:dyDescent="0.25">
      <c r="A1143" s="10" t="s">
        <v>20</v>
      </c>
      <c r="B1143" t="b">
        <v>0</v>
      </c>
      <c r="C1143" t="b">
        <v>0</v>
      </c>
      <c r="D1143" s="1">
        <v>99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f t="shared" si="64"/>
        <v>99</v>
      </c>
      <c r="K1143" s="1">
        <v>54</v>
      </c>
      <c r="L1143" s="1">
        <v>0</v>
      </c>
      <c r="M1143" s="1">
        <v>0</v>
      </c>
      <c r="N1143" s="1">
        <f t="shared" si="63"/>
        <v>54</v>
      </c>
      <c r="O1143" s="14">
        <v>0</v>
      </c>
      <c r="P1143" s="17">
        <f t="shared" si="65"/>
        <v>153</v>
      </c>
      <c r="Q1143" s="1">
        <v>0</v>
      </c>
      <c r="R1143" s="1">
        <v>0</v>
      </c>
      <c r="S1143" s="20">
        <v>43070</v>
      </c>
      <c r="T1143" s="1">
        <v>153</v>
      </c>
      <c r="U1143" s="9">
        <v>99</v>
      </c>
      <c r="V1143" s="9" t="s">
        <v>21</v>
      </c>
    </row>
    <row r="1144" spans="1:22" x14ac:dyDescent="0.25">
      <c r="A1144" s="10" t="s">
        <v>20</v>
      </c>
      <c r="B1144" t="b">
        <v>0</v>
      </c>
      <c r="C1144" t="b">
        <v>0</v>
      </c>
      <c r="D1144" s="1">
        <v>531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f t="shared" si="64"/>
        <v>531</v>
      </c>
      <c r="K1144" s="1">
        <v>198</v>
      </c>
      <c r="L1144" s="1">
        <v>0</v>
      </c>
      <c r="M1144" s="1">
        <v>0</v>
      </c>
      <c r="N1144" s="1">
        <f t="shared" si="63"/>
        <v>198</v>
      </c>
      <c r="O1144" s="14">
        <v>0</v>
      </c>
      <c r="P1144" s="17">
        <f t="shared" si="65"/>
        <v>729</v>
      </c>
      <c r="Q1144" s="1">
        <v>0</v>
      </c>
      <c r="R1144" s="1">
        <v>0</v>
      </c>
      <c r="S1144" s="20">
        <v>43101</v>
      </c>
      <c r="T1144" s="1">
        <v>729</v>
      </c>
      <c r="U1144" s="9">
        <v>531</v>
      </c>
      <c r="V1144" s="9" t="s">
        <v>21</v>
      </c>
    </row>
    <row r="1145" spans="1:22" x14ac:dyDescent="0.25">
      <c r="A1145" s="10" t="s">
        <v>20</v>
      </c>
      <c r="B1145" t="b">
        <v>0</v>
      </c>
      <c r="C1145" t="b">
        <v>0</v>
      </c>
      <c r="D1145" s="1">
        <v>507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f t="shared" si="64"/>
        <v>507</v>
      </c>
      <c r="K1145" s="1">
        <v>309</v>
      </c>
      <c r="L1145" s="1">
        <v>0</v>
      </c>
      <c r="M1145" s="1">
        <v>0</v>
      </c>
      <c r="N1145" s="1">
        <f t="shared" si="63"/>
        <v>309</v>
      </c>
      <c r="O1145" s="14">
        <v>0</v>
      </c>
      <c r="P1145" s="17">
        <f t="shared" si="65"/>
        <v>816</v>
      </c>
      <c r="Q1145" s="1">
        <v>0</v>
      </c>
      <c r="R1145" s="1">
        <v>0</v>
      </c>
      <c r="S1145" s="20">
        <v>43132</v>
      </c>
      <c r="T1145" s="1">
        <v>816</v>
      </c>
      <c r="U1145" s="9">
        <v>507</v>
      </c>
      <c r="V1145" s="9" t="s">
        <v>21</v>
      </c>
    </row>
    <row r="1146" spans="1:22" x14ac:dyDescent="0.25">
      <c r="A1146" s="10" t="s">
        <v>20</v>
      </c>
      <c r="B1146" t="b">
        <v>0</v>
      </c>
      <c r="C1146" t="b">
        <v>0</v>
      </c>
      <c r="D1146" s="1">
        <v>564</v>
      </c>
      <c r="E1146" s="1">
        <v>0</v>
      </c>
      <c r="F1146" s="1">
        <v>0</v>
      </c>
      <c r="G1146" s="1">
        <v>73</v>
      </c>
      <c r="H1146" s="1">
        <v>0</v>
      </c>
      <c r="I1146" s="1">
        <v>0</v>
      </c>
      <c r="J1146" s="1">
        <f t="shared" si="64"/>
        <v>637</v>
      </c>
      <c r="K1146" s="1">
        <v>348</v>
      </c>
      <c r="L1146" s="1">
        <v>0</v>
      </c>
      <c r="M1146" s="1">
        <v>200</v>
      </c>
      <c r="N1146" s="1">
        <f t="shared" si="63"/>
        <v>548</v>
      </c>
      <c r="O1146" s="14">
        <v>0</v>
      </c>
      <c r="P1146" s="17">
        <f t="shared" si="65"/>
        <v>1185</v>
      </c>
      <c r="Q1146" s="1">
        <v>0</v>
      </c>
      <c r="R1146" s="1">
        <v>0</v>
      </c>
      <c r="S1146" s="20">
        <v>43160</v>
      </c>
      <c r="T1146" s="1">
        <v>1185</v>
      </c>
      <c r="U1146" s="9">
        <v>637</v>
      </c>
      <c r="V1146" s="9" t="s">
        <v>21</v>
      </c>
    </row>
    <row r="1147" spans="1:22" x14ac:dyDescent="0.25">
      <c r="A1147" s="10" t="s">
        <v>20</v>
      </c>
      <c r="B1147" t="b">
        <v>0</v>
      </c>
      <c r="C1147" t="b">
        <v>0</v>
      </c>
      <c r="D1147" s="1">
        <v>2349</v>
      </c>
      <c r="E1147" s="1">
        <v>0</v>
      </c>
      <c r="F1147" s="1">
        <v>0</v>
      </c>
      <c r="G1147" s="1">
        <v>151</v>
      </c>
      <c r="H1147" s="1">
        <v>0</v>
      </c>
      <c r="I1147" s="1">
        <v>0</v>
      </c>
      <c r="J1147" s="1">
        <f t="shared" si="64"/>
        <v>2500</v>
      </c>
      <c r="K1147" s="1">
        <v>516</v>
      </c>
      <c r="L1147" s="1">
        <v>51</v>
      </c>
      <c r="M1147" s="1">
        <v>200</v>
      </c>
      <c r="N1147" s="1">
        <f t="shared" si="63"/>
        <v>767</v>
      </c>
      <c r="O1147" s="14">
        <v>0</v>
      </c>
      <c r="P1147" s="17">
        <f t="shared" si="65"/>
        <v>3267</v>
      </c>
      <c r="Q1147" s="1">
        <v>0</v>
      </c>
      <c r="R1147" s="1">
        <v>0</v>
      </c>
      <c r="S1147" s="20">
        <v>43191</v>
      </c>
      <c r="T1147" s="1">
        <v>3267</v>
      </c>
      <c r="U1147" s="9">
        <v>2500</v>
      </c>
      <c r="V1147" s="9" t="s">
        <v>21</v>
      </c>
    </row>
    <row r="1148" spans="1:22" x14ac:dyDescent="0.25">
      <c r="A1148" s="10" t="s">
        <v>20</v>
      </c>
      <c r="B1148" t="b">
        <v>0</v>
      </c>
      <c r="C1148" t="b">
        <v>0</v>
      </c>
      <c r="D1148" s="1">
        <v>3345</v>
      </c>
      <c r="E1148" s="1">
        <v>0</v>
      </c>
      <c r="F1148" s="1">
        <v>0</v>
      </c>
      <c r="G1148" s="1">
        <v>26</v>
      </c>
      <c r="H1148" s="1">
        <v>0</v>
      </c>
      <c r="I1148" s="1">
        <v>50</v>
      </c>
      <c r="J1148" s="1">
        <f t="shared" si="64"/>
        <v>3421</v>
      </c>
      <c r="K1148" s="1">
        <v>1128</v>
      </c>
      <c r="L1148" s="1">
        <v>141</v>
      </c>
      <c r="M1148" s="1">
        <v>200</v>
      </c>
      <c r="N1148" s="1">
        <f t="shared" si="63"/>
        <v>1469</v>
      </c>
      <c r="O1148" s="14">
        <v>0</v>
      </c>
      <c r="P1148" s="17">
        <f t="shared" si="65"/>
        <v>4890</v>
      </c>
      <c r="Q1148" s="1">
        <v>0</v>
      </c>
      <c r="R1148" s="1">
        <v>0</v>
      </c>
      <c r="S1148" s="20">
        <v>43221</v>
      </c>
      <c r="T1148" s="1">
        <v>4890</v>
      </c>
      <c r="U1148" s="9">
        <v>3421</v>
      </c>
      <c r="V1148" s="9" t="s">
        <v>21</v>
      </c>
    </row>
    <row r="1149" spans="1:22" x14ac:dyDescent="0.25">
      <c r="A1149" s="10" t="s">
        <v>20</v>
      </c>
      <c r="B1149" t="b">
        <v>0</v>
      </c>
      <c r="C1149" t="b">
        <v>0</v>
      </c>
      <c r="D1149" s="1">
        <v>4272</v>
      </c>
      <c r="E1149" s="1">
        <v>0</v>
      </c>
      <c r="F1149" s="1">
        <v>0</v>
      </c>
      <c r="G1149" s="1">
        <v>104</v>
      </c>
      <c r="H1149" s="1">
        <v>0</v>
      </c>
      <c r="I1149" s="1">
        <v>0</v>
      </c>
      <c r="J1149" s="1">
        <f t="shared" si="64"/>
        <v>4376</v>
      </c>
      <c r="K1149" s="1">
        <v>1845</v>
      </c>
      <c r="L1149" s="1">
        <v>234</v>
      </c>
      <c r="M1149" s="1">
        <v>600</v>
      </c>
      <c r="N1149" s="1">
        <f t="shared" si="63"/>
        <v>2679</v>
      </c>
      <c r="O1149" s="14">
        <v>0</v>
      </c>
      <c r="P1149" s="17">
        <f t="shared" si="65"/>
        <v>7055</v>
      </c>
      <c r="Q1149" s="1">
        <v>0</v>
      </c>
      <c r="R1149" s="1">
        <v>0</v>
      </c>
      <c r="S1149" s="20">
        <v>43252</v>
      </c>
      <c r="T1149" s="1">
        <v>7055</v>
      </c>
      <c r="U1149" s="9">
        <v>4376</v>
      </c>
      <c r="V1149" s="9" t="s">
        <v>21</v>
      </c>
    </row>
    <row r="1150" spans="1:22" x14ac:dyDescent="0.25">
      <c r="A1150" s="10" t="s">
        <v>20</v>
      </c>
      <c r="B1150" t="b">
        <v>0</v>
      </c>
      <c r="C1150" t="b">
        <v>0</v>
      </c>
      <c r="D1150" s="1">
        <v>6615</v>
      </c>
      <c r="E1150" s="1">
        <v>0</v>
      </c>
      <c r="F1150" s="1">
        <v>0</v>
      </c>
      <c r="G1150" s="1">
        <v>75</v>
      </c>
      <c r="H1150" s="1">
        <v>0</v>
      </c>
      <c r="I1150" s="1">
        <v>0</v>
      </c>
      <c r="J1150" s="1">
        <f t="shared" si="64"/>
        <v>6690</v>
      </c>
      <c r="K1150" s="1">
        <v>2352</v>
      </c>
      <c r="L1150" s="1">
        <v>539</v>
      </c>
      <c r="M1150" s="1">
        <v>550</v>
      </c>
      <c r="N1150" s="1">
        <f t="shared" si="63"/>
        <v>3441</v>
      </c>
      <c r="O1150" s="14">
        <v>0</v>
      </c>
      <c r="P1150" s="17">
        <f t="shared" si="65"/>
        <v>10131</v>
      </c>
      <c r="Q1150" s="1">
        <v>0</v>
      </c>
      <c r="R1150" s="1">
        <v>0</v>
      </c>
      <c r="S1150" s="20">
        <v>43282</v>
      </c>
      <c r="T1150" s="1">
        <v>10131</v>
      </c>
      <c r="U1150" s="9">
        <v>6690</v>
      </c>
      <c r="V1150" s="9" t="s">
        <v>21</v>
      </c>
    </row>
    <row r="1151" spans="1:22" x14ac:dyDescent="0.25">
      <c r="A1151" s="10" t="s">
        <v>20</v>
      </c>
      <c r="B1151" t="b">
        <v>0</v>
      </c>
      <c r="C1151" t="b">
        <v>0</v>
      </c>
      <c r="D1151" s="1">
        <v>3699</v>
      </c>
      <c r="E1151" s="1">
        <v>0</v>
      </c>
      <c r="F1151" s="1">
        <v>0</v>
      </c>
      <c r="G1151" s="1">
        <v>55</v>
      </c>
      <c r="H1151" s="1">
        <v>0</v>
      </c>
      <c r="I1151" s="1">
        <v>0</v>
      </c>
      <c r="J1151" s="1">
        <f t="shared" si="64"/>
        <v>3754</v>
      </c>
      <c r="K1151" s="1">
        <v>2247</v>
      </c>
      <c r="L1151" s="1">
        <v>513</v>
      </c>
      <c r="M1151" s="1">
        <v>350</v>
      </c>
      <c r="N1151" s="1">
        <f t="shared" si="63"/>
        <v>3110</v>
      </c>
      <c r="O1151" s="14">
        <v>0</v>
      </c>
      <c r="P1151" s="17">
        <f t="shared" si="65"/>
        <v>6864</v>
      </c>
      <c r="Q1151" s="1">
        <v>0</v>
      </c>
      <c r="R1151" s="1">
        <v>0</v>
      </c>
      <c r="S1151" s="20">
        <v>43313</v>
      </c>
      <c r="T1151" s="1">
        <v>6864</v>
      </c>
      <c r="U1151" s="9">
        <v>3754</v>
      </c>
      <c r="V1151" s="9" t="s">
        <v>21</v>
      </c>
    </row>
    <row r="1152" spans="1:22" x14ac:dyDescent="0.25">
      <c r="A1152" s="10" t="s">
        <v>20</v>
      </c>
      <c r="B1152" t="b">
        <v>0</v>
      </c>
      <c r="C1152" t="b">
        <v>0</v>
      </c>
      <c r="D1152" s="1">
        <v>3083</v>
      </c>
      <c r="E1152" s="1">
        <v>0</v>
      </c>
      <c r="F1152" s="1">
        <v>0</v>
      </c>
      <c r="G1152" s="1">
        <v>209</v>
      </c>
      <c r="H1152" s="1">
        <v>0</v>
      </c>
      <c r="I1152" s="1">
        <v>0</v>
      </c>
      <c r="J1152" s="1">
        <f t="shared" si="64"/>
        <v>3292</v>
      </c>
      <c r="K1152" s="1">
        <v>1782</v>
      </c>
      <c r="L1152" s="1">
        <v>350</v>
      </c>
      <c r="M1152" s="1">
        <v>500</v>
      </c>
      <c r="N1152" s="1">
        <f t="shared" si="63"/>
        <v>2632</v>
      </c>
      <c r="O1152" s="14">
        <v>0</v>
      </c>
      <c r="P1152" s="17">
        <f t="shared" si="65"/>
        <v>5924</v>
      </c>
      <c r="Q1152" s="1">
        <v>0</v>
      </c>
      <c r="R1152" s="1">
        <v>0</v>
      </c>
      <c r="S1152" s="20">
        <v>43344</v>
      </c>
      <c r="T1152" s="1">
        <v>5924</v>
      </c>
      <c r="U1152" s="9">
        <v>3292</v>
      </c>
      <c r="V1152" s="9" t="s">
        <v>21</v>
      </c>
    </row>
    <row r="1153" spans="1:22" x14ac:dyDescent="0.25">
      <c r="A1153" s="10" t="s">
        <v>20</v>
      </c>
      <c r="B1153" t="b">
        <v>0</v>
      </c>
      <c r="C1153" t="b">
        <v>0</v>
      </c>
      <c r="D1153" s="1">
        <v>603</v>
      </c>
      <c r="E1153" s="1">
        <v>0</v>
      </c>
      <c r="F1153" s="1">
        <v>0</v>
      </c>
      <c r="G1153" s="1">
        <v>41</v>
      </c>
      <c r="H1153" s="1">
        <v>0</v>
      </c>
      <c r="I1153" s="1">
        <v>0</v>
      </c>
      <c r="J1153" s="1">
        <f t="shared" si="64"/>
        <v>644</v>
      </c>
      <c r="K1153" s="1">
        <v>852</v>
      </c>
      <c r="L1153" s="1">
        <v>66</v>
      </c>
      <c r="M1153" s="1">
        <v>400</v>
      </c>
      <c r="N1153" s="1">
        <f t="shared" si="63"/>
        <v>1318</v>
      </c>
      <c r="O1153" s="14">
        <v>0</v>
      </c>
      <c r="P1153" s="17">
        <f t="shared" si="65"/>
        <v>1962</v>
      </c>
      <c r="Q1153" s="1">
        <v>0</v>
      </c>
      <c r="R1153" s="1">
        <v>0</v>
      </c>
      <c r="S1153" s="20">
        <v>43374</v>
      </c>
      <c r="T1153" s="1">
        <v>1962</v>
      </c>
      <c r="U1153" s="9">
        <v>644</v>
      </c>
      <c r="V1153" s="9" t="s">
        <v>21</v>
      </c>
    </row>
    <row r="1154" spans="1:22" x14ac:dyDescent="0.25">
      <c r="A1154" s="10" t="s">
        <v>20</v>
      </c>
      <c r="B1154" t="b">
        <v>0</v>
      </c>
      <c r="C1154" t="b">
        <v>0</v>
      </c>
      <c r="D1154" s="1">
        <v>561</v>
      </c>
      <c r="E1154" s="1">
        <v>0</v>
      </c>
      <c r="F1154" s="1">
        <v>0</v>
      </c>
      <c r="G1154" s="1">
        <v>90</v>
      </c>
      <c r="H1154" s="1">
        <v>18</v>
      </c>
      <c r="I1154" s="1">
        <v>0</v>
      </c>
      <c r="J1154" s="1">
        <f t="shared" si="64"/>
        <v>669</v>
      </c>
      <c r="K1154" s="1">
        <v>234</v>
      </c>
      <c r="L1154" s="1">
        <v>6</v>
      </c>
      <c r="M1154" s="1">
        <v>200</v>
      </c>
      <c r="N1154" s="1">
        <f t="shared" si="63"/>
        <v>440</v>
      </c>
      <c r="O1154" s="14">
        <v>0</v>
      </c>
      <c r="P1154" s="17">
        <f t="shared" si="65"/>
        <v>1109</v>
      </c>
      <c r="Q1154" s="1">
        <v>0</v>
      </c>
      <c r="R1154" s="1">
        <v>0</v>
      </c>
      <c r="S1154" s="20">
        <v>43405</v>
      </c>
      <c r="T1154" s="1">
        <v>1109</v>
      </c>
      <c r="U1154" s="9">
        <v>669</v>
      </c>
      <c r="V1154" s="9" t="s">
        <v>21</v>
      </c>
    </row>
    <row r="1155" spans="1:22" x14ac:dyDescent="0.25">
      <c r="A1155" s="10" t="s">
        <v>20</v>
      </c>
      <c r="B1155" t="b">
        <v>0</v>
      </c>
      <c r="C1155" t="b">
        <v>0</v>
      </c>
      <c r="D1155" s="1">
        <v>216</v>
      </c>
      <c r="E1155" s="1">
        <v>0</v>
      </c>
      <c r="F1155" s="1">
        <v>0</v>
      </c>
      <c r="G1155" s="1">
        <v>61</v>
      </c>
      <c r="H1155" s="1">
        <v>0</v>
      </c>
      <c r="I1155" s="1">
        <v>0</v>
      </c>
      <c r="J1155" s="1">
        <f t="shared" si="64"/>
        <v>277</v>
      </c>
      <c r="K1155" s="1">
        <v>69</v>
      </c>
      <c r="L1155" s="1">
        <v>0</v>
      </c>
      <c r="M1155" s="1">
        <v>50</v>
      </c>
      <c r="N1155" s="1">
        <f t="shared" si="63"/>
        <v>119</v>
      </c>
      <c r="O1155" s="14">
        <v>0</v>
      </c>
      <c r="P1155" s="17">
        <f t="shared" si="65"/>
        <v>396</v>
      </c>
      <c r="Q1155" s="1">
        <v>0</v>
      </c>
      <c r="R1155" s="1">
        <v>0</v>
      </c>
      <c r="S1155" s="20">
        <v>43435</v>
      </c>
      <c r="T1155" s="1">
        <v>396</v>
      </c>
      <c r="U1155" s="9">
        <v>277</v>
      </c>
      <c r="V1155" s="9" t="s">
        <v>21</v>
      </c>
    </row>
    <row r="1156" spans="1:22" x14ac:dyDescent="0.25">
      <c r="A1156" s="10" t="s">
        <v>20</v>
      </c>
      <c r="B1156" t="b">
        <v>0</v>
      </c>
      <c r="C1156" t="b">
        <v>0</v>
      </c>
      <c r="D1156" s="1">
        <v>447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f t="shared" si="64"/>
        <v>447</v>
      </c>
      <c r="K1156" s="1">
        <v>153</v>
      </c>
      <c r="L1156" s="1">
        <v>0</v>
      </c>
      <c r="M1156" s="1">
        <v>0</v>
      </c>
      <c r="N1156" s="1">
        <f t="shared" si="63"/>
        <v>153</v>
      </c>
      <c r="O1156" s="14">
        <v>0</v>
      </c>
      <c r="P1156" s="17">
        <f t="shared" si="65"/>
        <v>600</v>
      </c>
      <c r="Q1156" s="1">
        <v>0</v>
      </c>
      <c r="R1156" s="1">
        <v>0</v>
      </c>
      <c r="S1156" s="20">
        <v>43466</v>
      </c>
      <c r="T1156" s="1">
        <v>600</v>
      </c>
      <c r="U1156" s="9">
        <v>447</v>
      </c>
      <c r="V1156" s="9" t="s">
        <v>21</v>
      </c>
    </row>
    <row r="1157" spans="1:22" x14ac:dyDescent="0.25">
      <c r="A1157" s="10" t="s">
        <v>20</v>
      </c>
      <c r="B1157" t="b">
        <v>0</v>
      </c>
      <c r="C1157" t="b">
        <v>0</v>
      </c>
      <c r="D1157" s="1">
        <v>600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f t="shared" si="64"/>
        <v>600</v>
      </c>
      <c r="K1157" s="1">
        <v>300</v>
      </c>
      <c r="L1157" s="1">
        <v>0</v>
      </c>
      <c r="M1157" s="1">
        <v>0</v>
      </c>
      <c r="N1157" s="1">
        <f t="shared" si="63"/>
        <v>300</v>
      </c>
      <c r="O1157" s="14">
        <v>0</v>
      </c>
      <c r="P1157" s="17">
        <f t="shared" si="65"/>
        <v>900</v>
      </c>
      <c r="Q1157" s="1">
        <v>0</v>
      </c>
      <c r="R1157" s="1">
        <v>0</v>
      </c>
      <c r="S1157" s="20">
        <v>43497</v>
      </c>
      <c r="T1157" s="1">
        <v>900</v>
      </c>
      <c r="U1157" s="9">
        <v>600</v>
      </c>
      <c r="V1157" s="9" t="s">
        <v>21</v>
      </c>
    </row>
    <row r="1158" spans="1:22" x14ac:dyDescent="0.25">
      <c r="A1158" s="10" t="s">
        <v>20</v>
      </c>
      <c r="B1158" t="b">
        <v>0</v>
      </c>
      <c r="C1158" t="b">
        <v>0</v>
      </c>
      <c r="D1158" s="1">
        <v>546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f t="shared" si="64"/>
        <v>546</v>
      </c>
      <c r="K1158" s="1">
        <v>387</v>
      </c>
      <c r="L1158" s="1">
        <v>0</v>
      </c>
      <c r="M1158" s="1">
        <v>0</v>
      </c>
      <c r="N1158" s="1">
        <f t="shared" si="63"/>
        <v>387</v>
      </c>
      <c r="O1158" s="14">
        <v>0</v>
      </c>
      <c r="P1158" s="17">
        <f t="shared" si="65"/>
        <v>933</v>
      </c>
      <c r="Q1158" s="1">
        <v>0</v>
      </c>
      <c r="R1158" s="1">
        <v>0</v>
      </c>
      <c r="S1158" s="20">
        <v>43525</v>
      </c>
      <c r="T1158" s="1">
        <v>933</v>
      </c>
      <c r="U1158" s="9">
        <v>546</v>
      </c>
      <c r="V1158" s="9" t="s">
        <v>21</v>
      </c>
    </row>
    <row r="1159" spans="1:22" x14ac:dyDescent="0.25">
      <c r="A1159" s="10" t="s">
        <v>20</v>
      </c>
      <c r="B1159" t="b">
        <v>0</v>
      </c>
      <c r="C1159" t="b">
        <v>0</v>
      </c>
      <c r="D1159" s="1">
        <v>540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f t="shared" si="64"/>
        <v>540</v>
      </c>
      <c r="K1159" s="1">
        <v>387</v>
      </c>
      <c r="L1159" s="1">
        <v>0</v>
      </c>
      <c r="M1159" s="1">
        <v>0</v>
      </c>
      <c r="N1159" s="1">
        <f t="shared" si="63"/>
        <v>387</v>
      </c>
      <c r="O1159" s="14">
        <v>0</v>
      </c>
      <c r="P1159" s="17">
        <f t="shared" si="65"/>
        <v>927</v>
      </c>
      <c r="Q1159" s="1">
        <v>0</v>
      </c>
      <c r="R1159" s="1">
        <v>0</v>
      </c>
      <c r="S1159" s="20">
        <v>43556</v>
      </c>
      <c r="T1159" s="1">
        <v>927</v>
      </c>
      <c r="U1159" s="9">
        <v>540</v>
      </c>
      <c r="V1159" s="9" t="s">
        <v>21</v>
      </c>
    </row>
    <row r="1160" spans="1:22" x14ac:dyDescent="0.25">
      <c r="A1160" s="10" t="s">
        <v>20</v>
      </c>
      <c r="B1160" t="b">
        <v>0</v>
      </c>
      <c r="C1160" t="b">
        <v>0</v>
      </c>
      <c r="D1160" s="1">
        <v>4410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f t="shared" si="64"/>
        <v>4410</v>
      </c>
      <c r="K1160" s="1">
        <v>3408</v>
      </c>
      <c r="L1160" s="1">
        <v>0</v>
      </c>
      <c r="M1160" s="1">
        <v>99</v>
      </c>
      <c r="N1160" s="1">
        <f t="shared" si="63"/>
        <v>3507</v>
      </c>
      <c r="O1160" s="14">
        <v>0</v>
      </c>
      <c r="P1160" s="17">
        <f t="shared" si="65"/>
        <v>7917</v>
      </c>
      <c r="Q1160" s="1">
        <v>0</v>
      </c>
      <c r="R1160" s="1">
        <v>0</v>
      </c>
      <c r="S1160" s="20">
        <v>43586</v>
      </c>
      <c r="T1160" s="1">
        <v>7917</v>
      </c>
      <c r="U1160" s="9">
        <v>4410</v>
      </c>
      <c r="V1160" s="9" t="s">
        <v>21</v>
      </c>
    </row>
    <row r="1161" spans="1:22" x14ac:dyDescent="0.25">
      <c r="A1161" s="10" t="s">
        <v>20</v>
      </c>
      <c r="B1161" t="b">
        <v>0</v>
      </c>
      <c r="C1161" t="b">
        <v>0</v>
      </c>
      <c r="D1161" s="1">
        <v>5790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f t="shared" si="64"/>
        <v>5790</v>
      </c>
      <c r="K1161" s="1">
        <v>3651</v>
      </c>
      <c r="L1161" s="1">
        <v>0</v>
      </c>
      <c r="M1161" s="1">
        <v>274</v>
      </c>
      <c r="N1161" s="1">
        <f t="shared" si="63"/>
        <v>3925</v>
      </c>
      <c r="O1161" s="14">
        <v>0</v>
      </c>
      <c r="P1161" s="17">
        <f t="shared" si="65"/>
        <v>9715</v>
      </c>
      <c r="Q1161" s="1">
        <v>0</v>
      </c>
      <c r="R1161" s="1">
        <v>0</v>
      </c>
      <c r="S1161" s="20">
        <v>43617</v>
      </c>
      <c r="T1161" s="1">
        <v>9715</v>
      </c>
      <c r="U1161" s="9">
        <v>5790</v>
      </c>
      <c r="V1161" s="9" t="s">
        <v>21</v>
      </c>
    </row>
    <row r="1162" spans="1:22" x14ac:dyDescent="0.25">
      <c r="A1162" s="10" t="s">
        <v>20</v>
      </c>
      <c r="B1162" t="b">
        <v>0</v>
      </c>
      <c r="C1162" t="b">
        <v>0</v>
      </c>
      <c r="D1162" s="1">
        <v>6225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f t="shared" si="64"/>
        <v>6225</v>
      </c>
      <c r="K1162" s="1">
        <v>3300</v>
      </c>
      <c r="L1162" s="1">
        <v>0</v>
      </c>
      <c r="M1162" s="1">
        <v>384</v>
      </c>
      <c r="N1162" s="1">
        <f t="shared" si="63"/>
        <v>3684</v>
      </c>
      <c r="O1162" s="14">
        <v>0</v>
      </c>
      <c r="P1162" s="17">
        <f t="shared" si="65"/>
        <v>9909</v>
      </c>
      <c r="Q1162" s="1">
        <v>0</v>
      </c>
      <c r="R1162" s="1">
        <v>0</v>
      </c>
      <c r="S1162" s="20">
        <v>43647</v>
      </c>
      <c r="T1162" s="1">
        <v>9909</v>
      </c>
      <c r="U1162" s="9">
        <v>6225</v>
      </c>
      <c r="V1162" s="9" t="s">
        <v>21</v>
      </c>
    </row>
    <row r="1163" spans="1:22" x14ac:dyDescent="0.25">
      <c r="A1163" s="10" t="s">
        <v>20</v>
      </c>
      <c r="B1163" t="b">
        <v>0</v>
      </c>
      <c r="C1163" t="b">
        <v>0</v>
      </c>
      <c r="D1163" s="1">
        <v>5547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f t="shared" si="64"/>
        <v>5547</v>
      </c>
      <c r="K1163" s="1">
        <v>3768</v>
      </c>
      <c r="L1163" s="1">
        <v>0</v>
      </c>
      <c r="M1163" s="1">
        <v>318</v>
      </c>
      <c r="N1163" s="1">
        <f t="shared" si="63"/>
        <v>4086</v>
      </c>
      <c r="O1163" s="14">
        <v>0</v>
      </c>
      <c r="P1163" s="17">
        <f t="shared" si="65"/>
        <v>9633</v>
      </c>
      <c r="Q1163" s="1">
        <v>0</v>
      </c>
      <c r="R1163" s="1">
        <v>0</v>
      </c>
      <c r="S1163" s="20">
        <v>43678</v>
      </c>
      <c r="T1163" s="1">
        <v>9633</v>
      </c>
      <c r="U1163" s="9">
        <v>5547</v>
      </c>
      <c r="V1163" s="9" t="s">
        <v>21</v>
      </c>
    </row>
    <row r="1164" spans="1:22" x14ac:dyDescent="0.25">
      <c r="A1164" s="10" t="s">
        <v>20</v>
      </c>
      <c r="B1164" t="b">
        <v>0</v>
      </c>
      <c r="C1164" t="b">
        <v>0</v>
      </c>
      <c r="D1164" s="1">
        <v>5481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f t="shared" si="64"/>
        <v>5481</v>
      </c>
      <c r="K1164" s="1">
        <v>2751</v>
      </c>
      <c r="L1164" s="1">
        <v>0</v>
      </c>
      <c r="M1164" s="1">
        <v>0</v>
      </c>
      <c r="N1164" s="1">
        <f t="shared" si="63"/>
        <v>2751</v>
      </c>
      <c r="O1164" s="14">
        <v>0</v>
      </c>
      <c r="P1164" s="17">
        <f t="shared" si="65"/>
        <v>8232</v>
      </c>
      <c r="Q1164" s="1">
        <v>0</v>
      </c>
      <c r="R1164" s="1">
        <v>0</v>
      </c>
      <c r="S1164" s="20">
        <v>43709</v>
      </c>
      <c r="T1164" s="1">
        <v>8232</v>
      </c>
      <c r="U1164" s="9">
        <v>5481</v>
      </c>
      <c r="V1164" s="9" t="s">
        <v>21</v>
      </c>
    </row>
    <row r="1165" spans="1:22" x14ac:dyDescent="0.25">
      <c r="A1165" s="10" t="s">
        <v>20</v>
      </c>
      <c r="B1165" t="b">
        <v>0</v>
      </c>
      <c r="C1165" t="b">
        <v>0</v>
      </c>
      <c r="D1165" s="1">
        <v>1207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f t="shared" si="64"/>
        <v>1207</v>
      </c>
      <c r="K1165" s="1">
        <v>300</v>
      </c>
      <c r="L1165" s="1">
        <v>0</v>
      </c>
      <c r="M1165" s="1">
        <v>0</v>
      </c>
      <c r="N1165" s="1">
        <f t="shared" si="63"/>
        <v>300</v>
      </c>
      <c r="O1165" s="14">
        <v>0</v>
      </c>
      <c r="P1165" s="17">
        <f t="shared" si="65"/>
        <v>1507</v>
      </c>
      <c r="Q1165" s="1">
        <v>0</v>
      </c>
      <c r="R1165" s="1">
        <v>0</v>
      </c>
      <c r="S1165" s="20">
        <v>43739</v>
      </c>
      <c r="T1165" s="1">
        <v>1507</v>
      </c>
      <c r="U1165" s="9">
        <v>1207</v>
      </c>
      <c r="V1165" s="9" t="s">
        <v>21</v>
      </c>
    </row>
    <row r="1166" spans="1:22" x14ac:dyDescent="0.25">
      <c r="A1166" s="10" t="s">
        <v>20</v>
      </c>
      <c r="B1166" t="b">
        <v>0</v>
      </c>
      <c r="C1166" t="b">
        <v>0</v>
      </c>
      <c r="D1166" s="1">
        <v>561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f t="shared" si="64"/>
        <v>561</v>
      </c>
      <c r="K1166" s="1">
        <v>171</v>
      </c>
      <c r="L1166" s="1">
        <v>0</v>
      </c>
      <c r="M1166" s="1">
        <v>0</v>
      </c>
      <c r="N1166" s="1">
        <f t="shared" ref="N1166:N1181" si="66">K1166+L1166+M1166</f>
        <v>171</v>
      </c>
      <c r="O1166" s="14">
        <v>0</v>
      </c>
      <c r="P1166" s="17">
        <f t="shared" si="65"/>
        <v>732</v>
      </c>
      <c r="Q1166" s="1">
        <v>0</v>
      </c>
      <c r="R1166" s="1">
        <v>0</v>
      </c>
      <c r="S1166" s="20">
        <v>43770</v>
      </c>
      <c r="T1166" s="1">
        <v>732</v>
      </c>
      <c r="U1166" s="9">
        <v>561</v>
      </c>
      <c r="V1166" s="9" t="s">
        <v>21</v>
      </c>
    </row>
    <row r="1167" spans="1:22" x14ac:dyDescent="0.25">
      <c r="A1167" s="10" t="s">
        <v>20</v>
      </c>
      <c r="B1167" t="b">
        <v>0</v>
      </c>
      <c r="C1167" t="b">
        <v>0</v>
      </c>
      <c r="D1167" s="1">
        <v>286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f t="shared" si="64"/>
        <v>286</v>
      </c>
      <c r="K1167" s="1">
        <v>135</v>
      </c>
      <c r="L1167" s="1">
        <v>0</v>
      </c>
      <c r="M1167" s="1">
        <v>0</v>
      </c>
      <c r="N1167" s="1">
        <f t="shared" si="66"/>
        <v>135</v>
      </c>
      <c r="O1167" s="14">
        <v>0</v>
      </c>
      <c r="P1167" s="17">
        <f t="shared" si="65"/>
        <v>421</v>
      </c>
      <c r="Q1167" s="1">
        <v>0</v>
      </c>
      <c r="R1167" s="1">
        <v>0</v>
      </c>
      <c r="S1167" s="20">
        <v>43800</v>
      </c>
      <c r="T1167" s="1">
        <v>421</v>
      </c>
      <c r="U1167" s="9">
        <v>286</v>
      </c>
      <c r="V1167" s="9" t="s">
        <v>21</v>
      </c>
    </row>
    <row r="1168" spans="1:22" x14ac:dyDescent="0.25">
      <c r="A1168" s="10" t="s">
        <v>20</v>
      </c>
      <c r="B1168" t="b">
        <v>0</v>
      </c>
      <c r="C1168" t="b">
        <v>0</v>
      </c>
      <c r="D1168" s="1">
        <v>248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f t="shared" si="64"/>
        <v>248</v>
      </c>
      <c r="K1168" s="1">
        <v>156</v>
      </c>
      <c r="L1168" s="1">
        <v>0</v>
      </c>
      <c r="M1168" s="1">
        <v>0</v>
      </c>
      <c r="N1168" s="1">
        <f t="shared" si="66"/>
        <v>156</v>
      </c>
      <c r="O1168" s="14">
        <v>0</v>
      </c>
      <c r="P1168" s="17">
        <f t="shared" si="65"/>
        <v>404</v>
      </c>
      <c r="Q1168" s="1">
        <v>0</v>
      </c>
      <c r="R1168" s="1">
        <v>0</v>
      </c>
      <c r="S1168" s="20">
        <v>43831</v>
      </c>
      <c r="T1168" s="1">
        <v>404</v>
      </c>
      <c r="U1168" s="9">
        <v>248</v>
      </c>
      <c r="V1168" s="9" t="s">
        <v>21</v>
      </c>
    </row>
    <row r="1169" spans="1:22" x14ac:dyDescent="0.25">
      <c r="A1169" s="10" t="s">
        <v>20</v>
      </c>
      <c r="B1169" t="b">
        <v>0</v>
      </c>
      <c r="C1169" t="b">
        <v>0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f t="shared" si="64"/>
        <v>0</v>
      </c>
      <c r="K1169" s="1">
        <v>0</v>
      </c>
      <c r="L1169" s="1">
        <v>0</v>
      </c>
      <c r="M1169" s="1">
        <v>0</v>
      </c>
      <c r="N1169" s="1">
        <f t="shared" si="66"/>
        <v>0</v>
      </c>
      <c r="O1169" s="14">
        <v>0</v>
      </c>
      <c r="P1169" s="17">
        <f t="shared" si="65"/>
        <v>0</v>
      </c>
      <c r="Q1169" s="1">
        <v>0</v>
      </c>
      <c r="R1169" s="1">
        <v>0</v>
      </c>
      <c r="S1169" s="20">
        <v>43862</v>
      </c>
      <c r="T1169" s="1">
        <v>0</v>
      </c>
      <c r="U1169" s="9">
        <v>0</v>
      </c>
      <c r="V1169" s="9" t="s">
        <v>21</v>
      </c>
    </row>
    <row r="1170" spans="1:22" x14ac:dyDescent="0.25">
      <c r="A1170" s="10" t="s">
        <v>20</v>
      </c>
      <c r="B1170" t="b">
        <v>0</v>
      </c>
      <c r="C1170" t="b">
        <v>0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f t="shared" si="64"/>
        <v>0</v>
      </c>
      <c r="K1170" s="1">
        <v>0</v>
      </c>
      <c r="L1170" s="1">
        <v>0</v>
      </c>
      <c r="M1170" s="1">
        <v>0</v>
      </c>
      <c r="N1170" s="1">
        <f t="shared" si="66"/>
        <v>0</v>
      </c>
      <c r="O1170" s="14">
        <v>0</v>
      </c>
      <c r="P1170" s="17">
        <f t="shared" si="65"/>
        <v>0</v>
      </c>
      <c r="Q1170" s="1">
        <v>0</v>
      </c>
      <c r="R1170" s="1">
        <v>0</v>
      </c>
      <c r="S1170" s="20">
        <v>43891</v>
      </c>
      <c r="T1170" s="1">
        <v>0</v>
      </c>
      <c r="U1170" s="9">
        <v>0</v>
      </c>
      <c r="V1170" s="9" t="s">
        <v>21</v>
      </c>
    </row>
    <row r="1171" spans="1:22" x14ac:dyDescent="0.25">
      <c r="A1171" s="10" t="s">
        <v>20</v>
      </c>
      <c r="B1171" t="b">
        <v>0</v>
      </c>
      <c r="C1171" t="b">
        <v>0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f t="shared" si="64"/>
        <v>0</v>
      </c>
      <c r="K1171" s="1">
        <v>0</v>
      </c>
      <c r="L1171" s="1">
        <v>0</v>
      </c>
      <c r="M1171" s="1">
        <v>0</v>
      </c>
      <c r="N1171" s="1">
        <f t="shared" si="66"/>
        <v>0</v>
      </c>
      <c r="O1171" s="14">
        <v>0</v>
      </c>
      <c r="P1171" s="17">
        <f t="shared" si="65"/>
        <v>0</v>
      </c>
      <c r="Q1171" s="1">
        <v>0</v>
      </c>
      <c r="R1171" s="1">
        <v>0</v>
      </c>
      <c r="S1171" s="20">
        <v>43922</v>
      </c>
      <c r="T1171" s="1">
        <v>0</v>
      </c>
      <c r="U1171" s="9">
        <v>0</v>
      </c>
      <c r="V1171" s="9" t="s">
        <v>21</v>
      </c>
    </row>
    <row r="1172" spans="1:22" x14ac:dyDescent="0.25">
      <c r="A1172" s="10" t="s">
        <v>20</v>
      </c>
      <c r="B1172" t="b">
        <v>0</v>
      </c>
      <c r="C1172" t="b">
        <v>0</v>
      </c>
      <c r="D1172" s="1">
        <v>1115</v>
      </c>
      <c r="E1172" s="1">
        <v>0</v>
      </c>
      <c r="F1172" s="1">
        <v>0</v>
      </c>
      <c r="G1172" s="1">
        <v>0</v>
      </c>
      <c r="H1172" s="1">
        <v>86</v>
      </c>
      <c r="I1172" s="1">
        <v>0</v>
      </c>
      <c r="J1172" s="1">
        <f t="shared" si="64"/>
        <v>1201</v>
      </c>
      <c r="K1172" s="1">
        <v>0</v>
      </c>
      <c r="L1172" s="1">
        <v>0</v>
      </c>
      <c r="M1172" s="1">
        <v>0</v>
      </c>
      <c r="N1172" s="1">
        <f t="shared" si="66"/>
        <v>0</v>
      </c>
      <c r="O1172" s="14">
        <v>0</v>
      </c>
      <c r="P1172" s="17">
        <f t="shared" si="65"/>
        <v>1201</v>
      </c>
      <c r="Q1172" s="1">
        <v>0</v>
      </c>
      <c r="R1172" s="1">
        <v>0</v>
      </c>
      <c r="S1172" s="20">
        <v>43952</v>
      </c>
      <c r="T1172" s="1">
        <v>1201</v>
      </c>
      <c r="U1172" s="9">
        <v>1201</v>
      </c>
      <c r="V1172" s="9" t="s">
        <v>21</v>
      </c>
    </row>
    <row r="1173" spans="1:22" x14ac:dyDescent="0.25">
      <c r="A1173" s="10" t="s">
        <v>20</v>
      </c>
      <c r="B1173" t="b">
        <v>0</v>
      </c>
      <c r="C1173" t="b">
        <v>0</v>
      </c>
      <c r="D1173" s="1">
        <v>2621</v>
      </c>
      <c r="E1173" s="1">
        <v>0</v>
      </c>
      <c r="F1173" s="1">
        <v>0</v>
      </c>
      <c r="G1173" s="1">
        <v>100</v>
      </c>
      <c r="H1173" s="1">
        <v>107</v>
      </c>
      <c r="I1173" s="1">
        <v>0</v>
      </c>
      <c r="J1173" s="1">
        <f t="shared" si="64"/>
        <v>2828</v>
      </c>
      <c r="K1173" s="1">
        <v>0</v>
      </c>
      <c r="L1173" s="1">
        <v>0</v>
      </c>
      <c r="M1173" s="1">
        <v>0</v>
      </c>
      <c r="N1173" s="1">
        <f t="shared" si="66"/>
        <v>0</v>
      </c>
      <c r="O1173" s="14">
        <v>0</v>
      </c>
      <c r="P1173" s="17">
        <f t="shared" si="65"/>
        <v>2828</v>
      </c>
      <c r="Q1173" s="1">
        <v>0</v>
      </c>
      <c r="R1173" s="1">
        <v>0</v>
      </c>
      <c r="S1173" s="20">
        <v>43983</v>
      </c>
      <c r="T1173" s="1">
        <v>2828</v>
      </c>
      <c r="U1173" s="9">
        <v>2828</v>
      </c>
      <c r="V1173" s="9" t="s">
        <v>21</v>
      </c>
    </row>
    <row r="1174" spans="1:22" x14ac:dyDescent="0.25">
      <c r="A1174" s="10" t="s">
        <v>20</v>
      </c>
      <c r="B1174" t="b">
        <v>0</v>
      </c>
      <c r="C1174" t="b">
        <v>0</v>
      </c>
      <c r="D1174" s="1">
        <v>2794</v>
      </c>
      <c r="E1174" s="1">
        <v>0</v>
      </c>
      <c r="F1174" s="1">
        <v>0</v>
      </c>
      <c r="G1174" s="1">
        <v>37</v>
      </c>
      <c r="H1174" s="1">
        <v>100</v>
      </c>
      <c r="I1174" s="1">
        <v>0</v>
      </c>
      <c r="J1174" s="1">
        <f t="shared" si="64"/>
        <v>2931</v>
      </c>
      <c r="K1174" s="1">
        <v>1192</v>
      </c>
      <c r="L1174" s="1">
        <v>973</v>
      </c>
      <c r="M1174" s="1">
        <v>0</v>
      </c>
      <c r="N1174" s="1">
        <f t="shared" si="66"/>
        <v>2165</v>
      </c>
      <c r="O1174" s="14">
        <v>0</v>
      </c>
      <c r="P1174" s="17">
        <f t="shared" si="65"/>
        <v>5096</v>
      </c>
      <c r="Q1174" s="1">
        <v>0</v>
      </c>
      <c r="R1174" s="1">
        <v>0</v>
      </c>
      <c r="S1174" s="20">
        <v>44013</v>
      </c>
      <c r="T1174" s="1">
        <v>5096</v>
      </c>
      <c r="U1174" s="9">
        <v>2931</v>
      </c>
      <c r="V1174" s="9" t="s">
        <v>21</v>
      </c>
    </row>
    <row r="1175" spans="1:22" x14ac:dyDescent="0.25">
      <c r="A1175" s="10" t="s">
        <v>20</v>
      </c>
      <c r="B1175" t="b">
        <v>0</v>
      </c>
      <c r="C1175" t="b">
        <v>0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f t="shared" si="64"/>
        <v>0</v>
      </c>
      <c r="K1175" s="1">
        <v>0</v>
      </c>
      <c r="L1175" s="1">
        <v>0</v>
      </c>
      <c r="M1175" s="1">
        <v>0</v>
      </c>
      <c r="N1175" s="1">
        <f t="shared" si="66"/>
        <v>0</v>
      </c>
      <c r="O1175" s="14">
        <v>0</v>
      </c>
      <c r="P1175" s="17">
        <f t="shared" si="65"/>
        <v>0</v>
      </c>
      <c r="Q1175" s="1">
        <v>0</v>
      </c>
      <c r="R1175" s="1">
        <v>0</v>
      </c>
      <c r="S1175" s="20">
        <v>44013</v>
      </c>
      <c r="T1175" s="1">
        <v>0</v>
      </c>
      <c r="U1175" s="9">
        <v>0</v>
      </c>
      <c r="V1175" s="9" t="s">
        <v>21</v>
      </c>
    </row>
    <row r="1176" spans="1:22" x14ac:dyDescent="0.25">
      <c r="A1176" s="10" t="s">
        <v>20</v>
      </c>
      <c r="B1176" t="b">
        <v>0</v>
      </c>
      <c r="C1176" t="b">
        <v>0</v>
      </c>
      <c r="D1176" s="1">
        <v>1964</v>
      </c>
      <c r="E1176" s="1">
        <v>88</v>
      </c>
      <c r="F1176" s="1">
        <v>0</v>
      </c>
      <c r="G1176" s="1">
        <v>69</v>
      </c>
      <c r="H1176" s="1">
        <v>0</v>
      </c>
      <c r="I1176" s="1">
        <v>0</v>
      </c>
      <c r="J1176" s="1">
        <f t="shared" si="64"/>
        <v>2121</v>
      </c>
      <c r="K1176" s="1">
        <v>883</v>
      </c>
      <c r="L1176" s="1">
        <v>495</v>
      </c>
      <c r="M1176" s="1">
        <v>0</v>
      </c>
      <c r="N1176" s="1">
        <f t="shared" si="66"/>
        <v>1378</v>
      </c>
      <c r="O1176" s="14">
        <v>0</v>
      </c>
      <c r="P1176" s="17">
        <f t="shared" si="65"/>
        <v>3499</v>
      </c>
      <c r="Q1176" s="1">
        <v>0</v>
      </c>
      <c r="R1176" s="1">
        <v>0</v>
      </c>
      <c r="S1176" s="20">
        <v>44044</v>
      </c>
      <c r="T1176" s="1">
        <v>3499</v>
      </c>
      <c r="U1176" s="9">
        <v>2121</v>
      </c>
      <c r="V1176" s="9" t="s">
        <v>21</v>
      </c>
    </row>
    <row r="1177" spans="1:22" x14ac:dyDescent="0.25">
      <c r="A1177" s="10" t="s">
        <v>20</v>
      </c>
      <c r="B1177" t="b">
        <v>0</v>
      </c>
      <c r="C1177" t="b">
        <v>0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f t="shared" si="64"/>
        <v>0</v>
      </c>
      <c r="K1177" s="1">
        <v>0</v>
      </c>
      <c r="L1177" s="1">
        <v>0</v>
      </c>
      <c r="M1177" s="1">
        <v>0</v>
      </c>
      <c r="N1177" s="1">
        <f t="shared" si="66"/>
        <v>0</v>
      </c>
      <c r="O1177" s="14">
        <v>0</v>
      </c>
      <c r="P1177" s="17">
        <f t="shared" si="65"/>
        <v>0</v>
      </c>
      <c r="Q1177" s="1">
        <v>0</v>
      </c>
      <c r="R1177" s="1">
        <v>0</v>
      </c>
      <c r="S1177" s="20">
        <v>44044</v>
      </c>
      <c r="T1177" s="1">
        <v>0</v>
      </c>
      <c r="U1177" s="9">
        <v>0</v>
      </c>
      <c r="V1177" s="9" t="s">
        <v>21</v>
      </c>
    </row>
    <row r="1178" spans="1:22" x14ac:dyDescent="0.25">
      <c r="A1178" s="10" t="s">
        <v>20</v>
      </c>
      <c r="B1178" t="b">
        <v>0</v>
      </c>
      <c r="C1178" t="b">
        <v>0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f t="shared" si="64"/>
        <v>0</v>
      </c>
      <c r="K1178" s="1">
        <v>0</v>
      </c>
      <c r="L1178" s="1">
        <v>0</v>
      </c>
      <c r="M1178" s="1">
        <v>0</v>
      </c>
      <c r="N1178" s="1">
        <f t="shared" si="66"/>
        <v>0</v>
      </c>
      <c r="O1178" s="14">
        <v>0</v>
      </c>
      <c r="P1178" s="17">
        <f t="shared" si="65"/>
        <v>0</v>
      </c>
      <c r="Q1178" s="1">
        <v>0</v>
      </c>
      <c r="R1178" s="1">
        <v>0</v>
      </c>
      <c r="S1178" s="20">
        <v>44075</v>
      </c>
      <c r="T1178" s="1">
        <v>0</v>
      </c>
      <c r="U1178" s="9">
        <v>0</v>
      </c>
      <c r="V1178" s="9" t="s">
        <v>21</v>
      </c>
    </row>
    <row r="1179" spans="1:22" x14ac:dyDescent="0.25">
      <c r="A1179" s="10" t="s">
        <v>20</v>
      </c>
      <c r="B1179" t="b">
        <v>0</v>
      </c>
      <c r="C1179" t="b">
        <v>0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f t="shared" si="64"/>
        <v>0</v>
      </c>
      <c r="K1179" s="1">
        <v>0</v>
      </c>
      <c r="L1179" s="1">
        <v>0</v>
      </c>
      <c r="M1179" s="1">
        <v>0</v>
      </c>
      <c r="N1179" s="1">
        <f t="shared" si="66"/>
        <v>0</v>
      </c>
      <c r="O1179" s="14">
        <v>0</v>
      </c>
      <c r="P1179" s="17">
        <f t="shared" si="65"/>
        <v>0</v>
      </c>
      <c r="Q1179" s="1">
        <v>0</v>
      </c>
      <c r="R1179" s="1">
        <v>0</v>
      </c>
      <c r="S1179" s="20">
        <v>44105</v>
      </c>
      <c r="T1179" s="1">
        <v>0</v>
      </c>
      <c r="U1179" s="9">
        <v>0</v>
      </c>
      <c r="V1179" s="9" t="s">
        <v>21</v>
      </c>
    </row>
    <row r="1180" spans="1:22" x14ac:dyDescent="0.25">
      <c r="A1180" s="10" t="s">
        <v>20</v>
      </c>
      <c r="B1180" t="b">
        <v>0</v>
      </c>
      <c r="C1180" t="b">
        <v>0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f t="shared" si="64"/>
        <v>0</v>
      </c>
      <c r="K1180" s="1">
        <v>0</v>
      </c>
      <c r="L1180" s="1">
        <v>0</v>
      </c>
      <c r="M1180" s="1">
        <v>0</v>
      </c>
      <c r="N1180" s="1">
        <f t="shared" si="66"/>
        <v>0</v>
      </c>
      <c r="O1180" s="14">
        <v>0</v>
      </c>
      <c r="P1180" s="17">
        <f t="shared" si="65"/>
        <v>0</v>
      </c>
      <c r="Q1180" s="1">
        <v>0</v>
      </c>
      <c r="R1180" s="1">
        <v>0</v>
      </c>
      <c r="S1180" s="20">
        <v>44136</v>
      </c>
      <c r="T1180" s="1">
        <v>0</v>
      </c>
      <c r="U1180" s="9">
        <v>0</v>
      </c>
      <c r="V1180" s="9" t="s">
        <v>21</v>
      </c>
    </row>
    <row r="1181" spans="1:22" x14ac:dyDescent="0.25">
      <c r="A1181" s="10" t="s">
        <v>20</v>
      </c>
      <c r="B1181" t="b">
        <v>0</v>
      </c>
      <c r="C1181" t="b">
        <v>0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f t="shared" si="64"/>
        <v>0</v>
      </c>
      <c r="K1181" s="1">
        <v>0</v>
      </c>
      <c r="L1181" s="1">
        <v>0</v>
      </c>
      <c r="M1181" s="1">
        <v>0</v>
      </c>
      <c r="N1181" s="1">
        <f t="shared" si="66"/>
        <v>0</v>
      </c>
      <c r="O1181" s="14">
        <v>0</v>
      </c>
      <c r="P1181" s="17">
        <f t="shared" si="65"/>
        <v>0</v>
      </c>
      <c r="Q1181" s="1">
        <v>0</v>
      </c>
      <c r="R1181" s="1">
        <v>0</v>
      </c>
      <c r="S1181" s="20">
        <v>44166</v>
      </c>
      <c r="T1181" s="1">
        <v>0</v>
      </c>
      <c r="U1181" s="9">
        <v>0</v>
      </c>
      <c r="V1181" s="9" t="s">
        <v>21</v>
      </c>
    </row>
    <row r="1182" spans="1:22" x14ac:dyDescent="0.25">
      <c r="A1182" s="10" t="s">
        <v>38</v>
      </c>
      <c r="B1182" t="b">
        <v>0</v>
      </c>
      <c r="C1182" t="b">
        <v>0</v>
      </c>
      <c r="D1182" s="1">
        <v>0</v>
      </c>
      <c r="E1182" s="1">
        <v>0</v>
      </c>
      <c r="F1182" s="1">
        <v>0</v>
      </c>
      <c r="G1182" s="1">
        <v>12366</v>
      </c>
      <c r="H1182" s="1">
        <v>9752</v>
      </c>
      <c r="I1182" s="1">
        <v>0</v>
      </c>
      <c r="J1182" s="3">
        <f>G1182+H1182</f>
        <v>22118</v>
      </c>
      <c r="K1182" s="1">
        <v>0</v>
      </c>
      <c r="L1182" s="1">
        <v>0</v>
      </c>
      <c r="M1182" s="1">
        <v>0</v>
      </c>
      <c r="O1182" s="14">
        <v>0</v>
      </c>
      <c r="P1182" s="17">
        <f>J1182</f>
        <v>22118</v>
      </c>
      <c r="Q1182" s="1">
        <v>0</v>
      </c>
      <c r="R1182" s="1">
        <v>0</v>
      </c>
      <c r="S1182" s="20">
        <v>37073</v>
      </c>
      <c r="T1182" s="1">
        <v>22118</v>
      </c>
      <c r="U1182" s="9">
        <v>22118</v>
      </c>
      <c r="V1182" s="9" t="s">
        <v>46</v>
      </c>
    </row>
    <row r="1183" spans="1:22" x14ac:dyDescent="0.25">
      <c r="A1183" s="10" t="s">
        <v>38</v>
      </c>
      <c r="B1183" t="b">
        <v>0</v>
      </c>
      <c r="C1183" t="b">
        <v>0</v>
      </c>
      <c r="D1183" s="1">
        <v>0</v>
      </c>
      <c r="E1183" s="1">
        <v>0</v>
      </c>
      <c r="F1183" s="1">
        <v>0</v>
      </c>
      <c r="G1183" s="1">
        <v>11835</v>
      </c>
      <c r="H1183" s="1">
        <v>9137</v>
      </c>
      <c r="I1183" s="1">
        <v>0</v>
      </c>
      <c r="J1183" s="3">
        <f t="shared" ref="J1183:J1246" si="67">G1183+H1183</f>
        <v>20972</v>
      </c>
      <c r="K1183" s="1">
        <v>0</v>
      </c>
      <c r="L1183" s="1">
        <v>0</v>
      </c>
      <c r="M1183" s="1">
        <v>0</v>
      </c>
      <c r="O1183" s="14">
        <v>0</v>
      </c>
      <c r="P1183" s="17">
        <f t="shared" ref="P1183:P1246" si="68">J1183</f>
        <v>20972</v>
      </c>
      <c r="Q1183" s="1">
        <v>0</v>
      </c>
      <c r="R1183" s="1">
        <v>0</v>
      </c>
      <c r="S1183" s="20">
        <v>37104</v>
      </c>
      <c r="T1183" s="1">
        <v>20972</v>
      </c>
      <c r="U1183" s="9">
        <v>20972</v>
      </c>
      <c r="V1183" s="9" t="s">
        <v>46</v>
      </c>
    </row>
    <row r="1184" spans="1:22" x14ac:dyDescent="0.25">
      <c r="A1184" s="10" t="s">
        <v>38</v>
      </c>
      <c r="B1184" t="b">
        <v>0</v>
      </c>
      <c r="C1184" t="b">
        <v>0</v>
      </c>
      <c r="D1184" s="1">
        <v>0</v>
      </c>
      <c r="E1184" s="1">
        <v>0</v>
      </c>
      <c r="F1184" s="1">
        <v>0</v>
      </c>
      <c r="G1184" s="1">
        <v>11876</v>
      </c>
      <c r="H1184" s="1">
        <v>9295</v>
      </c>
      <c r="I1184" s="1">
        <v>0</v>
      </c>
      <c r="J1184" s="3">
        <f t="shared" si="67"/>
        <v>21171</v>
      </c>
      <c r="K1184" s="1">
        <v>0</v>
      </c>
      <c r="L1184" s="1">
        <v>0</v>
      </c>
      <c r="M1184" s="1">
        <v>0</v>
      </c>
      <c r="O1184" s="14">
        <v>0</v>
      </c>
      <c r="P1184" s="17">
        <f t="shared" si="68"/>
        <v>21171</v>
      </c>
      <c r="Q1184" s="1">
        <v>0</v>
      </c>
      <c r="R1184" s="1">
        <v>0</v>
      </c>
      <c r="S1184" s="20">
        <v>37135</v>
      </c>
      <c r="T1184" s="1">
        <v>21171</v>
      </c>
      <c r="U1184" s="9">
        <v>21171</v>
      </c>
      <c r="V1184" s="9" t="s">
        <v>46</v>
      </c>
    </row>
    <row r="1185" spans="1:22" x14ac:dyDescent="0.25">
      <c r="A1185" s="10" t="s">
        <v>38</v>
      </c>
      <c r="B1185" t="b">
        <v>0</v>
      </c>
      <c r="C1185" t="b">
        <v>0</v>
      </c>
      <c r="D1185" s="1">
        <v>0</v>
      </c>
      <c r="E1185" s="1">
        <v>0</v>
      </c>
      <c r="F1185" s="1">
        <v>0</v>
      </c>
      <c r="G1185" s="1">
        <v>11835</v>
      </c>
      <c r="H1185" s="1">
        <v>9137</v>
      </c>
      <c r="I1185" s="1">
        <v>0</v>
      </c>
      <c r="J1185" s="3">
        <f t="shared" si="67"/>
        <v>20972</v>
      </c>
      <c r="K1185" s="1">
        <v>0</v>
      </c>
      <c r="L1185" s="1">
        <v>0</v>
      </c>
      <c r="M1185" s="1">
        <v>0</v>
      </c>
      <c r="O1185" s="14">
        <v>0</v>
      </c>
      <c r="P1185" s="17">
        <f t="shared" si="68"/>
        <v>20972</v>
      </c>
      <c r="Q1185" s="1">
        <v>0</v>
      </c>
      <c r="R1185" s="1">
        <v>0</v>
      </c>
      <c r="S1185" s="20">
        <v>37165</v>
      </c>
      <c r="T1185" s="1">
        <v>20972</v>
      </c>
      <c r="U1185" s="9">
        <v>20972</v>
      </c>
      <c r="V1185" s="9" t="s">
        <v>46</v>
      </c>
    </row>
    <row r="1186" spans="1:22" x14ac:dyDescent="0.25">
      <c r="A1186" s="10" t="s">
        <v>38</v>
      </c>
      <c r="B1186" t="b">
        <v>0</v>
      </c>
      <c r="C1186" t="b">
        <v>0</v>
      </c>
      <c r="D1186" s="1">
        <v>0</v>
      </c>
      <c r="E1186" s="1">
        <v>0</v>
      </c>
      <c r="F1186" s="1">
        <v>0</v>
      </c>
      <c r="G1186" s="1">
        <v>4210</v>
      </c>
      <c r="H1186" s="1">
        <v>9538</v>
      </c>
      <c r="I1186" s="1">
        <v>0</v>
      </c>
      <c r="J1186" s="3">
        <f t="shared" si="67"/>
        <v>13748</v>
      </c>
      <c r="K1186" s="1">
        <v>0</v>
      </c>
      <c r="L1186" s="1">
        <v>0</v>
      </c>
      <c r="M1186" s="1">
        <v>0</v>
      </c>
      <c r="O1186" s="14">
        <v>0</v>
      </c>
      <c r="P1186" s="17">
        <f t="shared" si="68"/>
        <v>13748</v>
      </c>
      <c r="Q1186" s="1">
        <v>0</v>
      </c>
      <c r="R1186" s="1">
        <v>0</v>
      </c>
      <c r="S1186" s="20">
        <v>37196</v>
      </c>
      <c r="T1186" s="1">
        <v>13748</v>
      </c>
      <c r="U1186" s="9">
        <v>13748</v>
      </c>
      <c r="V1186" s="9" t="s">
        <v>46</v>
      </c>
    </row>
    <row r="1187" spans="1:22" x14ac:dyDescent="0.25">
      <c r="A1187" s="10" t="s">
        <v>38</v>
      </c>
      <c r="B1187" t="b">
        <v>0</v>
      </c>
      <c r="C1187" t="b">
        <v>0</v>
      </c>
      <c r="D1187" s="1">
        <v>0</v>
      </c>
      <c r="E1187" s="1">
        <v>0</v>
      </c>
      <c r="F1187" s="1">
        <v>0</v>
      </c>
      <c r="G1187" s="1">
        <v>12209</v>
      </c>
      <c r="H1187" s="1">
        <v>9538</v>
      </c>
      <c r="I1187" s="1">
        <v>0</v>
      </c>
      <c r="J1187" s="3">
        <f t="shared" si="67"/>
        <v>21747</v>
      </c>
      <c r="K1187" s="1">
        <v>0</v>
      </c>
      <c r="L1187" s="1">
        <v>0</v>
      </c>
      <c r="M1187" s="1">
        <v>0</v>
      </c>
      <c r="O1187" s="14">
        <v>0</v>
      </c>
      <c r="P1187" s="17">
        <f t="shared" si="68"/>
        <v>21747</v>
      </c>
      <c r="Q1187" s="1">
        <v>0</v>
      </c>
      <c r="R1187" s="1">
        <v>0</v>
      </c>
      <c r="S1187" s="20">
        <v>37226</v>
      </c>
      <c r="T1187" s="1">
        <v>21747</v>
      </c>
      <c r="U1187" s="9">
        <v>21747</v>
      </c>
      <c r="V1187" s="9" t="s">
        <v>46</v>
      </c>
    </row>
    <row r="1188" spans="1:22" x14ac:dyDescent="0.25">
      <c r="A1188" s="10" t="s">
        <v>38</v>
      </c>
      <c r="B1188" t="b">
        <v>0</v>
      </c>
      <c r="C1188" t="b">
        <v>0</v>
      </c>
      <c r="D1188" s="1">
        <v>0</v>
      </c>
      <c r="E1188" s="1">
        <v>0</v>
      </c>
      <c r="F1188" s="1">
        <v>0</v>
      </c>
      <c r="G1188" s="1">
        <v>11835</v>
      </c>
      <c r="H1188" s="1">
        <v>9137</v>
      </c>
      <c r="I1188" s="1">
        <v>0</v>
      </c>
      <c r="J1188" s="3">
        <f t="shared" si="67"/>
        <v>20972</v>
      </c>
      <c r="K1188" s="1">
        <v>0</v>
      </c>
      <c r="L1188" s="1">
        <v>0</v>
      </c>
      <c r="M1188" s="1">
        <v>0</v>
      </c>
      <c r="O1188" s="14">
        <v>0</v>
      </c>
      <c r="P1188" s="17">
        <f t="shared" si="68"/>
        <v>20972</v>
      </c>
      <c r="Q1188" s="1">
        <v>0</v>
      </c>
      <c r="R1188" s="1">
        <v>0</v>
      </c>
      <c r="S1188" s="20">
        <v>37257</v>
      </c>
      <c r="T1188" s="1">
        <v>20972</v>
      </c>
      <c r="U1188" s="9">
        <v>20972</v>
      </c>
      <c r="V1188" s="9" t="s">
        <v>46</v>
      </c>
    </row>
    <row r="1189" spans="1:22" x14ac:dyDescent="0.25">
      <c r="A1189" s="10" t="s">
        <v>38</v>
      </c>
      <c r="B1189" t="b">
        <v>0</v>
      </c>
      <c r="C1189" t="b">
        <v>0</v>
      </c>
      <c r="D1189" s="1">
        <v>0</v>
      </c>
      <c r="E1189" s="1">
        <v>0</v>
      </c>
      <c r="F1189" s="1">
        <v>0</v>
      </c>
      <c r="G1189" s="1">
        <v>10834</v>
      </c>
      <c r="H1189" s="1">
        <v>8408</v>
      </c>
      <c r="I1189" s="1">
        <v>0</v>
      </c>
      <c r="J1189" s="3">
        <f t="shared" si="67"/>
        <v>19242</v>
      </c>
      <c r="K1189" s="1">
        <v>0</v>
      </c>
      <c r="L1189" s="1">
        <v>0</v>
      </c>
      <c r="M1189" s="1">
        <v>0</v>
      </c>
      <c r="O1189" s="14">
        <v>0</v>
      </c>
      <c r="P1189" s="17">
        <f t="shared" si="68"/>
        <v>19242</v>
      </c>
      <c r="Q1189" s="1">
        <v>0</v>
      </c>
      <c r="R1189" s="1">
        <v>0</v>
      </c>
      <c r="S1189" s="20">
        <v>37288</v>
      </c>
      <c r="T1189" s="1">
        <v>19242</v>
      </c>
      <c r="U1189" s="9">
        <v>19242</v>
      </c>
      <c r="V1189" s="9" t="s">
        <v>46</v>
      </c>
    </row>
    <row r="1190" spans="1:22" x14ac:dyDescent="0.25">
      <c r="A1190" s="10" t="s">
        <v>38</v>
      </c>
      <c r="B1190" t="b">
        <v>0</v>
      </c>
      <c r="C1190" t="b">
        <v>0</v>
      </c>
      <c r="D1190" s="1">
        <v>0</v>
      </c>
      <c r="E1190" s="1">
        <v>0</v>
      </c>
      <c r="F1190" s="1">
        <v>0</v>
      </c>
      <c r="G1190" s="1">
        <v>12209</v>
      </c>
      <c r="H1190" s="1">
        <v>9538</v>
      </c>
      <c r="I1190" s="1">
        <v>0</v>
      </c>
      <c r="J1190" s="3">
        <f t="shared" si="67"/>
        <v>21747</v>
      </c>
      <c r="K1190" s="1">
        <v>0</v>
      </c>
      <c r="L1190" s="1">
        <v>0</v>
      </c>
      <c r="M1190" s="1">
        <v>0</v>
      </c>
      <c r="O1190" s="14">
        <v>0</v>
      </c>
      <c r="P1190" s="17">
        <f t="shared" si="68"/>
        <v>21747</v>
      </c>
      <c r="Q1190" s="1">
        <v>0</v>
      </c>
      <c r="R1190" s="1">
        <v>0</v>
      </c>
      <c r="S1190" s="20">
        <v>37316</v>
      </c>
      <c r="T1190" s="1">
        <v>21747</v>
      </c>
      <c r="U1190" s="9">
        <v>21747</v>
      </c>
      <c r="V1190" s="9" t="s">
        <v>46</v>
      </c>
    </row>
    <row r="1191" spans="1:22" x14ac:dyDescent="0.25">
      <c r="A1191" s="10" t="s">
        <v>38</v>
      </c>
      <c r="B1191" t="b">
        <v>0</v>
      </c>
      <c r="C1191" t="b">
        <v>0</v>
      </c>
      <c r="D1191" s="1">
        <v>0</v>
      </c>
      <c r="E1191" s="1">
        <v>0</v>
      </c>
      <c r="F1191" s="1">
        <v>0</v>
      </c>
      <c r="G1191" s="1">
        <v>11835</v>
      </c>
      <c r="H1191" s="1">
        <v>9137</v>
      </c>
      <c r="I1191" s="1">
        <v>0</v>
      </c>
      <c r="J1191" s="3">
        <f t="shared" si="67"/>
        <v>20972</v>
      </c>
      <c r="K1191" s="1">
        <v>0</v>
      </c>
      <c r="L1191" s="1">
        <v>0</v>
      </c>
      <c r="M1191" s="1">
        <v>0</v>
      </c>
      <c r="O1191" s="14">
        <v>0</v>
      </c>
      <c r="P1191" s="17">
        <f t="shared" si="68"/>
        <v>20972</v>
      </c>
      <c r="Q1191" s="1">
        <v>0</v>
      </c>
      <c r="R1191" s="1">
        <v>0</v>
      </c>
      <c r="S1191" s="20">
        <v>37347</v>
      </c>
      <c r="T1191" s="1">
        <v>20972</v>
      </c>
      <c r="U1191" s="9">
        <v>20972</v>
      </c>
      <c r="V1191" s="9" t="s">
        <v>46</v>
      </c>
    </row>
    <row r="1192" spans="1:22" x14ac:dyDescent="0.25">
      <c r="A1192" s="10" t="s">
        <v>38</v>
      </c>
      <c r="B1192" t="b">
        <v>0</v>
      </c>
      <c r="C1192" t="b">
        <v>0</v>
      </c>
      <c r="D1192" s="1">
        <v>0</v>
      </c>
      <c r="E1192" s="1">
        <v>0</v>
      </c>
      <c r="F1192" s="1">
        <v>0</v>
      </c>
      <c r="G1192" s="1">
        <v>11835</v>
      </c>
      <c r="H1192" s="1">
        <v>9137</v>
      </c>
      <c r="I1192" s="1">
        <v>0</v>
      </c>
      <c r="J1192" s="3">
        <f t="shared" si="67"/>
        <v>20972</v>
      </c>
      <c r="K1192" s="1">
        <v>0</v>
      </c>
      <c r="L1192" s="1">
        <v>0</v>
      </c>
      <c r="M1192" s="1">
        <v>0</v>
      </c>
      <c r="O1192" s="14">
        <v>0</v>
      </c>
      <c r="P1192" s="17">
        <f t="shared" si="68"/>
        <v>20972</v>
      </c>
      <c r="Q1192" s="1">
        <v>0</v>
      </c>
      <c r="R1192" s="1">
        <v>0</v>
      </c>
      <c r="S1192" s="20">
        <v>37377</v>
      </c>
      <c r="T1192" s="1">
        <v>20972</v>
      </c>
      <c r="U1192" s="9">
        <v>20972</v>
      </c>
      <c r="V1192" s="9" t="s">
        <v>46</v>
      </c>
    </row>
    <row r="1193" spans="1:22" x14ac:dyDescent="0.25">
      <c r="A1193" s="10" t="s">
        <v>38</v>
      </c>
      <c r="B1193" t="b">
        <v>0</v>
      </c>
      <c r="C1193" t="b">
        <v>0</v>
      </c>
      <c r="D1193" s="1">
        <v>0</v>
      </c>
      <c r="E1193" s="1">
        <v>0</v>
      </c>
      <c r="F1193" s="1">
        <v>0</v>
      </c>
      <c r="G1193" s="1">
        <v>11876</v>
      </c>
      <c r="H1193" s="1">
        <v>9295</v>
      </c>
      <c r="I1193" s="1">
        <v>0</v>
      </c>
      <c r="J1193" s="3">
        <f t="shared" si="67"/>
        <v>21171</v>
      </c>
      <c r="K1193" s="1">
        <v>0</v>
      </c>
      <c r="L1193" s="1">
        <v>0</v>
      </c>
      <c r="M1193" s="1">
        <v>0</v>
      </c>
      <c r="O1193" s="14">
        <v>0</v>
      </c>
      <c r="P1193" s="17">
        <f t="shared" si="68"/>
        <v>21171</v>
      </c>
      <c r="Q1193" s="1">
        <v>0</v>
      </c>
      <c r="R1193" s="1">
        <v>0</v>
      </c>
      <c r="S1193" s="20">
        <v>37408</v>
      </c>
      <c r="T1193" s="1">
        <v>21171</v>
      </c>
      <c r="U1193" s="9">
        <v>21171</v>
      </c>
      <c r="V1193" s="9" t="s">
        <v>46</v>
      </c>
    </row>
    <row r="1194" spans="1:22" x14ac:dyDescent="0.25">
      <c r="A1194" s="10" t="s">
        <v>38</v>
      </c>
      <c r="B1194" t="b">
        <v>0</v>
      </c>
      <c r="C1194" t="b">
        <v>0</v>
      </c>
      <c r="D1194" s="1">
        <v>0</v>
      </c>
      <c r="E1194" s="1">
        <v>0</v>
      </c>
      <c r="F1194" s="1">
        <v>0</v>
      </c>
      <c r="G1194" s="1">
        <v>11835</v>
      </c>
      <c r="H1194" s="1">
        <v>9137</v>
      </c>
      <c r="I1194" s="1">
        <v>0</v>
      </c>
      <c r="J1194" s="3">
        <f t="shared" si="67"/>
        <v>20972</v>
      </c>
      <c r="K1194" s="1">
        <v>0</v>
      </c>
      <c r="L1194" s="1">
        <v>0</v>
      </c>
      <c r="M1194" s="1">
        <v>0</v>
      </c>
      <c r="O1194" s="14">
        <v>0</v>
      </c>
      <c r="P1194" s="17">
        <f t="shared" si="68"/>
        <v>20972</v>
      </c>
      <c r="Q1194" s="1">
        <v>0</v>
      </c>
      <c r="R1194" s="1">
        <v>0</v>
      </c>
      <c r="S1194" s="20">
        <v>37438</v>
      </c>
      <c r="T1194" s="1">
        <v>20972</v>
      </c>
      <c r="U1194" s="9">
        <v>20972</v>
      </c>
      <c r="V1194" s="9" t="s">
        <v>46</v>
      </c>
    </row>
    <row r="1195" spans="1:22" x14ac:dyDescent="0.25">
      <c r="A1195" s="10" t="s">
        <v>38</v>
      </c>
      <c r="B1195" t="b">
        <v>0</v>
      </c>
      <c r="C1195" t="b">
        <v>0</v>
      </c>
      <c r="D1195" s="1">
        <v>0</v>
      </c>
      <c r="E1195" s="1">
        <v>0</v>
      </c>
      <c r="F1195" s="1">
        <v>0</v>
      </c>
      <c r="G1195" s="1">
        <v>11925</v>
      </c>
      <c r="H1195" s="1">
        <v>9280</v>
      </c>
      <c r="I1195" s="1">
        <v>0</v>
      </c>
      <c r="J1195" s="3">
        <f t="shared" si="67"/>
        <v>21205</v>
      </c>
      <c r="K1195" s="1">
        <v>0</v>
      </c>
      <c r="L1195" s="1">
        <v>0</v>
      </c>
      <c r="M1195" s="1">
        <v>0</v>
      </c>
      <c r="O1195" s="14">
        <v>0</v>
      </c>
      <c r="P1195" s="17">
        <f t="shared" si="68"/>
        <v>21205</v>
      </c>
      <c r="Q1195" s="1">
        <v>0</v>
      </c>
      <c r="R1195" s="1">
        <v>0</v>
      </c>
      <c r="S1195" s="20">
        <v>37469</v>
      </c>
      <c r="T1195" s="1">
        <v>21205</v>
      </c>
      <c r="U1195" s="9">
        <v>21205</v>
      </c>
      <c r="V1195" s="9" t="s">
        <v>46</v>
      </c>
    </row>
    <row r="1196" spans="1:22" x14ac:dyDescent="0.25">
      <c r="A1196" s="10" t="s">
        <v>38</v>
      </c>
      <c r="B1196" t="b">
        <v>0</v>
      </c>
      <c r="C1196" t="b">
        <v>0</v>
      </c>
      <c r="D1196" s="1">
        <v>0</v>
      </c>
      <c r="E1196" s="1">
        <v>0</v>
      </c>
      <c r="F1196" s="1">
        <v>0</v>
      </c>
      <c r="G1196" s="1">
        <v>11501</v>
      </c>
      <c r="H1196" s="1">
        <v>8894</v>
      </c>
      <c r="I1196" s="1">
        <v>0</v>
      </c>
      <c r="J1196" s="3">
        <f t="shared" si="67"/>
        <v>20395</v>
      </c>
      <c r="K1196" s="1">
        <v>0</v>
      </c>
      <c r="L1196" s="1">
        <v>0</v>
      </c>
      <c r="M1196" s="1">
        <v>0</v>
      </c>
      <c r="O1196" s="14">
        <v>0</v>
      </c>
      <c r="P1196" s="17">
        <f t="shared" si="68"/>
        <v>20395</v>
      </c>
      <c r="Q1196" s="1">
        <v>0</v>
      </c>
      <c r="R1196" s="1">
        <v>0</v>
      </c>
      <c r="S1196" s="20">
        <v>37500</v>
      </c>
      <c r="T1196" s="1">
        <v>20395</v>
      </c>
      <c r="U1196" s="9">
        <v>20395</v>
      </c>
      <c r="V1196" s="9" t="s">
        <v>46</v>
      </c>
    </row>
    <row r="1197" spans="1:22" x14ac:dyDescent="0.25">
      <c r="A1197" s="10" t="s">
        <v>38</v>
      </c>
      <c r="B1197" t="b">
        <v>0</v>
      </c>
      <c r="C1197" t="b">
        <v>0</v>
      </c>
      <c r="D1197" s="1">
        <v>0</v>
      </c>
      <c r="E1197" s="1">
        <v>0</v>
      </c>
      <c r="F1197" s="1">
        <v>0</v>
      </c>
      <c r="G1197" s="1">
        <v>11835</v>
      </c>
      <c r="H1197" s="1">
        <v>9137</v>
      </c>
      <c r="I1197" s="1">
        <v>0</v>
      </c>
      <c r="J1197" s="3">
        <f t="shared" si="67"/>
        <v>20972</v>
      </c>
      <c r="K1197" s="1">
        <v>0</v>
      </c>
      <c r="L1197" s="1">
        <v>0</v>
      </c>
      <c r="M1197" s="1">
        <v>0</v>
      </c>
      <c r="O1197" s="14">
        <v>0</v>
      </c>
      <c r="P1197" s="17">
        <f t="shared" si="68"/>
        <v>20972</v>
      </c>
      <c r="Q1197" s="1">
        <v>0</v>
      </c>
      <c r="R1197" s="1">
        <v>0</v>
      </c>
      <c r="S1197" s="20">
        <v>37530</v>
      </c>
      <c r="T1197" s="1">
        <v>20972</v>
      </c>
      <c r="U1197" s="9">
        <v>20972</v>
      </c>
      <c r="V1197" s="9" t="s">
        <v>46</v>
      </c>
    </row>
    <row r="1198" spans="1:22" x14ac:dyDescent="0.25">
      <c r="A1198" s="10" t="s">
        <v>38</v>
      </c>
      <c r="B1198" t="b">
        <v>0</v>
      </c>
      <c r="C1198" t="b">
        <v>0</v>
      </c>
      <c r="D1198" s="1">
        <v>0</v>
      </c>
      <c r="E1198" s="1">
        <v>0</v>
      </c>
      <c r="F1198" s="1">
        <v>0</v>
      </c>
      <c r="G1198" s="1">
        <v>11591</v>
      </c>
      <c r="H1198" s="1">
        <v>9037</v>
      </c>
      <c r="I1198" s="1">
        <v>0</v>
      </c>
      <c r="J1198" s="3">
        <f t="shared" si="67"/>
        <v>20628</v>
      </c>
      <c r="K1198" s="1">
        <v>0</v>
      </c>
      <c r="L1198" s="1">
        <v>0</v>
      </c>
      <c r="M1198" s="1">
        <v>0</v>
      </c>
      <c r="O1198" s="14">
        <v>0</v>
      </c>
      <c r="P1198" s="17">
        <f t="shared" si="68"/>
        <v>20628</v>
      </c>
      <c r="Q1198" s="1">
        <v>0</v>
      </c>
      <c r="R1198" s="1">
        <v>0</v>
      </c>
      <c r="S1198" s="20">
        <v>37561</v>
      </c>
      <c r="T1198" s="1">
        <v>20628</v>
      </c>
      <c r="U1198" s="9">
        <v>20628</v>
      </c>
      <c r="V1198" s="9" t="s">
        <v>46</v>
      </c>
    </row>
    <row r="1199" spans="1:22" x14ac:dyDescent="0.25">
      <c r="A1199" s="10" t="s">
        <v>38</v>
      </c>
      <c r="B1199" t="b">
        <v>0</v>
      </c>
      <c r="C1199" t="b">
        <v>0</v>
      </c>
      <c r="D1199" s="1">
        <v>0</v>
      </c>
      <c r="E1199" s="1">
        <v>0</v>
      </c>
      <c r="F1199" s="1">
        <v>0</v>
      </c>
      <c r="G1199" s="1">
        <v>12119</v>
      </c>
      <c r="H1199" s="1">
        <v>9395</v>
      </c>
      <c r="I1199" s="1">
        <v>0</v>
      </c>
      <c r="J1199" s="3">
        <f t="shared" si="67"/>
        <v>21514</v>
      </c>
      <c r="K1199" s="1">
        <v>0</v>
      </c>
      <c r="L1199" s="1">
        <v>0</v>
      </c>
      <c r="M1199" s="1">
        <v>0</v>
      </c>
      <c r="O1199" s="14">
        <v>0</v>
      </c>
      <c r="P1199" s="17">
        <f t="shared" si="68"/>
        <v>21514</v>
      </c>
      <c r="Q1199" s="1">
        <v>0</v>
      </c>
      <c r="R1199" s="1">
        <v>0</v>
      </c>
      <c r="S1199" s="20">
        <v>37591</v>
      </c>
      <c r="T1199" s="1">
        <v>21514</v>
      </c>
      <c r="U1199" s="9">
        <v>21514</v>
      </c>
      <c r="V1199" s="9" t="s">
        <v>46</v>
      </c>
    </row>
    <row r="1200" spans="1:22" x14ac:dyDescent="0.25">
      <c r="A1200" s="10" t="s">
        <v>38</v>
      </c>
      <c r="B1200" t="b">
        <v>0</v>
      </c>
      <c r="C1200" t="b">
        <v>0</v>
      </c>
      <c r="D1200" s="1">
        <v>1417</v>
      </c>
      <c r="E1200" s="1">
        <v>0</v>
      </c>
      <c r="F1200" s="1">
        <v>0</v>
      </c>
      <c r="G1200" s="1">
        <v>10237</v>
      </c>
      <c r="H1200" s="1">
        <v>9137</v>
      </c>
      <c r="I1200" s="1">
        <v>0</v>
      </c>
      <c r="J1200" s="3">
        <f t="shared" si="67"/>
        <v>19374</v>
      </c>
      <c r="K1200" s="1">
        <v>0</v>
      </c>
      <c r="L1200" s="1">
        <v>0</v>
      </c>
      <c r="M1200" s="1">
        <v>0</v>
      </c>
      <c r="O1200" s="14">
        <v>0</v>
      </c>
      <c r="P1200" s="17">
        <f t="shared" si="68"/>
        <v>19374</v>
      </c>
      <c r="Q1200" s="1">
        <v>0</v>
      </c>
      <c r="R1200" s="1">
        <v>0</v>
      </c>
      <c r="S1200" s="20">
        <v>37622</v>
      </c>
      <c r="T1200" s="1">
        <v>20791</v>
      </c>
      <c r="U1200" s="9">
        <v>19374</v>
      </c>
      <c r="V1200" s="9" t="s">
        <v>21</v>
      </c>
    </row>
    <row r="1201" spans="1:22" x14ac:dyDescent="0.25">
      <c r="A1201" s="10" t="s">
        <v>38</v>
      </c>
      <c r="B1201" t="b">
        <v>0</v>
      </c>
      <c r="C1201" t="b">
        <v>0</v>
      </c>
      <c r="D1201" s="1">
        <v>2766</v>
      </c>
      <c r="E1201" s="1">
        <v>0</v>
      </c>
      <c r="F1201" s="1">
        <v>0</v>
      </c>
      <c r="G1201" s="1">
        <v>7749</v>
      </c>
      <c r="H1201" s="1">
        <v>8408</v>
      </c>
      <c r="I1201" s="1">
        <v>0</v>
      </c>
      <c r="J1201" s="3">
        <f t="shared" si="67"/>
        <v>16157</v>
      </c>
      <c r="K1201" s="1">
        <v>0</v>
      </c>
      <c r="L1201" s="1">
        <v>0</v>
      </c>
      <c r="M1201" s="1">
        <v>0</v>
      </c>
      <c r="O1201" s="14">
        <v>0</v>
      </c>
      <c r="P1201" s="17">
        <f t="shared" si="68"/>
        <v>16157</v>
      </c>
      <c r="Q1201" s="1">
        <v>0</v>
      </c>
      <c r="R1201" s="1">
        <v>0</v>
      </c>
      <c r="S1201" s="20">
        <v>37653</v>
      </c>
      <c r="T1201" s="1">
        <v>18923</v>
      </c>
      <c r="U1201" s="9">
        <v>16157</v>
      </c>
      <c r="V1201" s="9" t="s">
        <v>21</v>
      </c>
    </row>
    <row r="1202" spans="1:22" x14ac:dyDescent="0.25">
      <c r="A1202" s="10" t="s">
        <v>38</v>
      </c>
      <c r="B1202" t="b">
        <v>0</v>
      </c>
      <c r="C1202" t="b">
        <v>0</v>
      </c>
      <c r="D1202" s="1">
        <v>2980</v>
      </c>
      <c r="E1202" s="1">
        <v>0</v>
      </c>
      <c r="F1202" s="1">
        <v>0</v>
      </c>
      <c r="G1202" s="1">
        <v>8886</v>
      </c>
      <c r="H1202" s="1">
        <v>9538</v>
      </c>
      <c r="I1202" s="1">
        <v>0</v>
      </c>
      <c r="J1202" s="3">
        <f t="shared" si="67"/>
        <v>18424</v>
      </c>
      <c r="K1202" s="1">
        <v>0</v>
      </c>
      <c r="L1202" s="1">
        <v>0</v>
      </c>
      <c r="M1202" s="1">
        <v>0</v>
      </c>
      <c r="O1202" s="14">
        <v>0</v>
      </c>
      <c r="P1202" s="17">
        <f t="shared" si="68"/>
        <v>18424</v>
      </c>
      <c r="Q1202" s="1">
        <v>0</v>
      </c>
      <c r="R1202" s="1">
        <v>0</v>
      </c>
      <c r="S1202" s="20">
        <v>37681</v>
      </c>
      <c r="T1202" s="1">
        <v>21404</v>
      </c>
      <c r="U1202" s="9">
        <v>18424</v>
      </c>
      <c r="V1202" s="9" t="s">
        <v>21</v>
      </c>
    </row>
    <row r="1203" spans="1:22" x14ac:dyDescent="0.25">
      <c r="A1203" s="10" t="s">
        <v>38</v>
      </c>
      <c r="B1203" t="b">
        <v>0</v>
      </c>
      <c r="C1203" t="b">
        <v>0</v>
      </c>
      <c r="D1203" s="1">
        <v>3120</v>
      </c>
      <c r="E1203" s="1">
        <v>0</v>
      </c>
      <c r="F1203" s="1">
        <v>0</v>
      </c>
      <c r="G1203" s="1">
        <v>8030</v>
      </c>
      <c r="H1203" s="1">
        <v>8894</v>
      </c>
      <c r="I1203" s="1">
        <v>0</v>
      </c>
      <c r="J1203" s="3">
        <f t="shared" si="67"/>
        <v>16924</v>
      </c>
      <c r="K1203" s="1">
        <v>0</v>
      </c>
      <c r="L1203" s="1">
        <v>0</v>
      </c>
      <c r="M1203" s="1">
        <v>0</v>
      </c>
      <c r="O1203" s="14">
        <v>0</v>
      </c>
      <c r="P1203" s="17">
        <f t="shared" si="68"/>
        <v>16924</v>
      </c>
      <c r="Q1203" s="1">
        <v>0</v>
      </c>
      <c r="R1203" s="1">
        <v>0</v>
      </c>
      <c r="S1203" s="20">
        <v>37712</v>
      </c>
      <c r="T1203" s="1">
        <v>20044</v>
      </c>
      <c r="U1203" s="9">
        <v>16924</v>
      </c>
      <c r="V1203" s="9" t="s">
        <v>21</v>
      </c>
    </row>
    <row r="1204" spans="1:22" x14ac:dyDescent="0.25">
      <c r="A1204" s="10" t="s">
        <v>38</v>
      </c>
      <c r="B1204" t="b">
        <v>0</v>
      </c>
      <c r="C1204" t="b">
        <v>0</v>
      </c>
      <c r="D1204" s="1">
        <v>3063</v>
      </c>
      <c r="E1204" s="1">
        <v>0</v>
      </c>
      <c r="F1204" s="1">
        <v>0</v>
      </c>
      <c r="G1204" s="1">
        <v>8509</v>
      </c>
      <c r="H1204" s="1">
        <v>9280</v>
      </c>
      <c r="I1204" s="1">
        <v>0</v>
      </c>
      <c r="J1204" s="3">
        <f t="shared" si="67"/>
        <v>17789</v>
      </c>
      <c r="K1204" s="1">
        <v>0</v>
      </c>
      <c r="L1204" s="1">
        <v>0</v>
      </c>
      <c r="M1204" s="1">
        <v>0</v>
      </c>
      <c r="O1204" s="14">
        <v>0</v>
      </c>
      <c r="P1204" s="17">
        <f t="shared" si="68"/>
        <v>17789</v>
      </c>
      <c r="Q1204" s="1">
        <v>0</v>
      </c>
      <c r="R1204" s="1">
        <v>0</v>
      </c>
      <c r="S1204" s="20">
        <v>37742</v>
      </c>
      <c r="T1204" s="1">
        <v>20852</v>
      </c>
      <c r="U1204" s="9">
        <v>17789</v>
      </c>
      <c r="V1204" s="9" t="s">
        <v>21</v>
      </c>
    </row>
    <row r="1205" spans="1:22" x14ac:dyDescent="0.25">
      <c r="A1205" s="10" t="s">
        <v>38</v>
      </c>
      <c r="B1205" t="b">
        <v>0</v>
      </c>
      <c r="C1205" t="b">
        <v>0</v>
      </c>
      <c r="D1205" s="1">
        <v>3588</v>
      </c>
      <c r="E1205" s="1">
        <v>0</v>
      </c>
      <c r="F1205" s="1">
        <v>0</v>
      </c>
      <c r="G1205" s="1">
        <v>7784</v>
      </c>
      <c r="H1205" s="1">
        <v>9252</v>
      </c>
      <c r="I1205" s="1">
        <v>0</v>
      </c>
      <c r="J1205" s="3">
        <f t="shared" si="67"/>
        <v>17036</v>
      </c>
      <c r="K1205" s="1">
        <v>0</v>
      </c>
      <c r="L1205" s="1">
        <v>0</v>
      </c>
      <c r="M1205" s="1">
        <v>0</v>
      </c>
      <c r="O1205" s="14">
        <v>0</v>
      </c>
      <c r="P1205" s="17">
        <f t="shared" si="68"/>
        <v>17036</v>
      </c>
      <c r="Q1205" s="1">
        <v>0</v>
      </c>
      <c r="R1205" s="1">
        <v>0</v>
      </c>
      <c r="S1205" s="20">
        <v>37773</v>
      </c>
      <c r="T1205" s="1">
        <v>20624</v>
      </c>
      <c r="U1205" s="9">
        <v>17036</v>
      </c>
      <c r="V1205" s="9" t="s">
        <v>21</v>
      </c>
    </row>
    <row r="1206" spans="1:22" x14ac:dyDescent="0.25">
      <c r="A1206" s="10" t="s">
        <v>38</v>
      </c>
      <c r="B1206" t="b">
        <v>0</v>
      </c>
      <c r="C1206" t="b">
        <v>0</v>
      </c>
      <c r="D1206" s="1">
        <v>4272</v>
      </c>
      <c r="E1206" s="1">
        <v>0</v>
      </c>
      <c r="F1206" s="1">
        <v>0</v>
      </c>
      <c r="G1206" s="1">
        <v>7070</v>
      </c>
      <c r="H1206" s="1">
        <v>9137</v>
      </c>
      <c r="I1206" s="1">
        <v>0</v>
      </c>
      <c r="J1206" s="3">
        <f t="shared" si="67"/>
        <v>16207</v>
      </c>
      <c r="K1206" s="1">
        <v>0</v>
      </c>
      <c r="L1206" s="1">
        <v>0</v>
      </c>
      <c r="M1206" s="1">
        <v>0</v>
      </c>
      <c r="O1206" s="14">
        <v>0</v>
      </c>
      <c r="P1206" s="17">
        <f t="shared" si="68"/>
        <v>16207</v>
      </c>
      <c r="Q1206" s="1">
        <v>0</v>
      </c>
      <c r="R1206" s="1">
        <v>0</v>
      </c>
      <c r="S1206" s="20">
        <v>37803</v>
      </c>
      <c r="T1206" s="1">
        <v>20479</v>
      </c>
      <c r="U1206" s="9">
        <v>16207</v>
      </c>
      <c r="V1206" s="9" t="s">
        <v>21</v>
      </c>
    </row>
    <row r="1207" spans="1:22" x14ac:dyDescent="0.25">
      <c r="A1207" s="10" t="s">
        <v>38</v>
      </c>
      <c r="B1207" t="b">
        <v>0</v>
      </c>
      <c r="C1207" t="b">
        <v>0</v>
      </c>
      <c r="D1207" s="1">
        <v>5964</v>
      </c>
      <c r="E1207" s="1">
        <v>0</v>
      </c>
      <c r="F1207" s="1">
        <v>0</v>
      </c>
      <c r="G1207" s="1">
        <v>5556</v>
      </c>
      <c r="H1207" s="1">
        <v>9538</v>
      </c>
      <c r="I1207" s="1">
        <v>0</v>
      </c>
      <c r="J1207" s="3">
        <f t="shared" si="67"/>
        <v>15094</v>
      </c>
      <c r="K1207" s="1">
        <v>0</v>
      </c>
      <c r="L1207" s="1">
        <v>0</v>
      </c>
      <c r="M1207" s="1">
        <v>0</v>
      </c>
      <c r="O1207" s="14">
        <v>0</v>
      </c>
      <c r="P1207" s="17">
        <f t="shared" si="68"/>
        <v>15094</v>
      </c>
      <c r="Q1207" s="1">
        <v>0</v>
      </c>
      <c r="R1207" s="1">
        <v>0</v>
      </c>
      <c r="S1207" s="20">
        <v>37834</v>
      </c>
      <c r="T1207" s="1">
        <v>21058</v>
      </c>
      <c r="U1207" s="9">
        <v>15094</v>
      </c>
      <c r="V1207" s="9" t="s">
        <v>21</v>
      </c>
    </row>
    <row r="1208" spans="1:22" x14ac:dyDescent="0.25">
      <c r="A1208" s="10" t="s">
        <v>38</v>
      </c>
      <c r="B1208" t="b">
        <v>0</v>
      </c>
      <c r="C1208" t="b">
        <v>0</v>
      </c>
      <c r="D1208" s="1">
        <v>6318</v>
      </c>
      <c r="E1208" s="1">
        <v>0</v>
      </c>
      <c r="F1208" s="1">
        <v>0</v>
      </c>
      <c r="G1208" s="1">
        <v>4454</v>
      </c>
      <c r="H1208" s="1">
        <v>8885</v>
      </c>
      <c r="I1208" s="1">
        <v>0</v>
      </c>
      <c r="J1208" s="3">
        <f t="shared" si="67"/>
        <v>13339</v>
      </c>
      <c r="K1208" s="1">
        <v>0</v>
      </c>
      <c r="L1208" s="1">
        <v>0</v>
      </c>
      <c r="M1208" s="1">
        <v>0</v>
      </c>
      <c r="O1208" s="14">
        <v>0</v>
      </c>
      <c r="P1208" s="17">
        <f t="shared" si="68"/>
        <v>13339</v>
      </c>
      <c r="Q1208" s="1">
        <v>0</v>
      </c>
      <c r="R1208" s="1">
        <v>0</v>
      </c>
      <c r="S1208" s="20">
        <v>37865</v>
      </c>
      <c r="T1208" s="1">
        <v>19657</v>
      </c>
      <c r="U1208" s="9">
        <v>13339</v>
      </c>
      <c r="V1208" s="9" t="s">
        <v>21</v>
      </c>
    </row>
    <row r="1209" spans="1:22" x14ac:dyDescent="0.25">
      <c r="A1209" s="10" t="s">
        <v>38</v>
      </c>
      <c r="B1209" t="b">
        <v>0</v>
      </c>
      <c r="C1209" t="b">
        <v>0</v>
      </c>
      <c r="D1209" s="1">
        <v>5803</v>
      </c>
      <c r="E1209" s="1">
        <v>0</v>
      </c>
      <c r="F1209" s="1">
        <v>0</v>
      </c>
      <c r="G1209" s="1">
        <v>5362</v>
      </c>
      <c r="H1209" s="1">
        <v>9137</v>
      </c>
      <c r="I1209" s="1">
        <v>0</v>
      </c>
      <c r="J1209" s="3">
        <f t="shared" si="67"/>
        <v>14499</v>
      </c>
      <c r="K1209" s="1">
        <v>0</v>
      </c>
      <c r="L1209" s="1">
        <v>0</v>
      </c>
      <c r="M1209" s="1">
        <v>0</v>
      </c>
      <c r="O1209" s="14">
        <v>0</v>
      </c>
      <c r="P1209" s="17">
        <f t="shared" si="68"/>
        <v>14499</v>
      </c>
      <c r="Q1209" s="1">
        <v>0</v>
      </c>
      <c r="R1209" s="1">
        <v>0</v>
      </c>
      <c r="S1209" s="20">
        <v>37895</v>
      </c>
      <c r="T1209" s="1">
        <v>20302</v>
      </c>
      <c r="U1209" s="9">
        <v>14499</v>
      </c>
      <c r="V1209" s="9" t="s">
        <v>21</v>
      </c>
    </row>
    <row r="1210" spans="1:22" x14ac:dyDescent="0.25">
      <c r="A1210" s="10" t="s">
        <v>38</v>
      </c>
      <c r="B1210" t="b">
        <v>0</v>
      </c>
      <c r="C1210" t="b">
        <v>0</v>
      </c>
      <c r="D1210" s="1">
        <v>2262</v>
      </c>
      <c r="E1210" s="1">
        <v>0</v>
      </c>
      <c r="F1210" s="1">
        <v>0</v>
      </c>
      <c r="G1210" s="1">
        <v>9353</v>
      </c>
      <c r="H1210" s="1">
        <v>9295</v>
      </c>
      <c r="I1210" s="1">
        <v>0</v>
      </c>
      <c r="J1210" s="3">
        <f t="shared" si="67"/>
        <v>18648</v>
      </c>
      <c r="K1210" s="1">
        <v>0</v>
      </c>
      <c r="L1210" s="1">
        <v>0</v>
      </c>
      <c r="M1210" s="1">
        <v>0</v>
      </c>
      <c r="O1210" s="14">
        <v>0</v>
      </c>
      <c r="P1210" s="17">
        <f t="shared" si="68"/>
        <v>18648</v>
      </c>
      <c r="Q1210" s="1">
        <v>0</v>
      </c>
      <c r="R1210" s="1">
        <v>0</v>
      </c>
      <c r="S1210" s="20">
        <v>37926</v>
      </c>
      <c r="T1210" s="1">
        <v>20910</v>
      </c>
      <c r="U1210" s="9">
        <v>18648</v>
      </c>
      <c r="V1210" s="9" t="s">
        <v>21</v>
      </c>
    </row>
    <row r="1211" spans="1:22" x14ac:dyDescent="0.25">
      <c r="A1211" s="10" t="s">
        <v>38</v>
      </c>
      <c r="B1211" t="b">
        <v>0</v>
      </c>
      <c r="C1211" t="b">
        <v>0</v>
      </c>
      <c r="D1211" s="1">
        <v>2660</v>
      </c>
      <c r="E1211" s="1">
        <v>0</v>
      </c>
      <c r="F1211" s="1">
        <v>0</v>
      </c>
      <c r="G1211" s="1">
        <v>8868</v>
      </c>
      <c r="H1211" s="1">
        <v>0</v>
      </c>
      <c r="I1211" s="1">
        <v>0</v>
      </c>
      <c r="J1211" s="3">
        <f t="shared" si="67"/>
        <v>8868</v>
      </c>
      <c r="K1211" s="1">
        <v>0</v>
      </c>
      <c r="L1211" s="1">
        <v>0</v>
      </c>
      <c r="M1211" s="1">
        <v>0</v>
      </c>
      <c r="O1211" s="14">
        <v>0</v>
      </c>
      <c r="P1211" s="17">
        <f t="shared" si="68"/>
        <v>8868</v>
      </c>
      <c r="Q1211" s="1">
        <v>0</v>
      </c>
      <c r="R1211" s="1">
        <v>0</v>
      </c>
      <c r="S1211" s="20">
        <v>37956</v>
      </c>
      <c r="T1211" s="1">
        <v>11528</v>
      </c>
      <c r="U1211" s="9">
        <v>8868</v>
      </c>
      <c r="V1211" s="9" t="s">
        <v>21</v>
      </c>
    </row>
    <row r="1212" spans="1:22" x14ac:dyDescent="0.25">
      <c r="A1212" s="10" t="s">
        <v>38</v>
      </c>
      <c r="B1212" t="b">
        <v>0</v>
      </c>
      <c r="C1212" t="b">
        <v>0</v>
      </c>
      <c r="D1212" s="1">
        <v>2096</v>
      </c>
      <c r="E1212" s="1">
        <v>0</v>
      </c>
      <c r="F1212" s="1">
        <v>0</v>
      </c>
      <c r="G1212" s="1">
        <v>9587</v>
      </c>
      <c r="H1212" s="1">
        <v>9280</v>
      </c>
      <c r="I1212" s="1">
        <v>0</v>
      </c>
      <c r="J1212" s="3">
        <f t="shared" si="67"/>
        <v>18867</v>
      </c>
      <c r="K1212" s="1">
        <v>0</v>
      </c>
      <c r="L1212" s="1">
        <v>0</v>
      </c>
      <c r="M1212" s="1">
        <v>0</v>
      </c>
      <c r="O1212" s="14">
        <v>0</v>
      </c>
      <c r="P1212" s="17">
        <f t="shared" si="68"/>
        <v>18867</v>
      </c>
      <c r="Q1212" s="1">
        <v>0</v>
      </c>
      <c r="R1212" s="1">
        <v>0</v>
      </c>
      <c r="S1212" s="20">
        <v>37987</v>
      </c>
      <c r="T1212" s="1">
        <v>20963</v>
      </c>
      <c r="U1212" s="9">
        <v>18867</v>
      </c>
      <c r="V1212" s="9" t="s">
        <v>41</v>
      </c>
    </row>
    <row r="1213" spans="1:22" x14ac:dyDescent="0.25">
      <c r="A1213" s="10" t="s">
        <v>38</v>
      </c>
      <c r="B1213" t="b">
        <v>0</v>
      </c>
      <c r="C1213" t="b">
        <v>0</v>
      </c>
      <c r="D1213" s="1">
        <v>905</v>
      </c>
      <c r="E1213" s="1">
        <v>0</v>
      </c>
      <c r="F1213" s="1">
        <v>0</v>
      </c>
      <c r="G1213" s="1">
        <v>10443</v>
      </c>
      <c r="H1213" s="1">
        <v>8909</v>
      </c>
      <c r="I1213" s="1">
        <v>0</v>
      </c>
      <c r="J1213" s="3">
        <f t="shared" si="67"/>
        <v>19352</v>
      </c>
      <c r="K1213" s="1">
        <v>0</v>
      </c>
      <c r="L1213" s="1">
        <v>0</v>
      </c>
      <c r="M1213" s="1">
        <v>0</v>
      </c>
      <c r="O1213" s="14">
        <v>0</v>
      </c>
      <c r="P1213" s="17">
        <f t="shared" si="68"/>
        <v>19352</v>
      </c>
      <c r="Q1213" s="1">
        <v>0</v>
      </c>
      <c r="R1213" s="1">
        <v>0</v>
      </c>
      <c r="S1213" s="20">
        <v>38018</v>
      </c>
      <c r="T1213" s="1">
        <v>20257</v>
      </c>
      <c r="U1213" s="9">
        <v>19352</v>
      </c>
      <c r="V1213" s="9" t="s">
        <v>41</v>
      </c>
    </row>
    <row r="1214" spans="1:22" x14ac:dyDescent="0.25">
      <c r="A1214" s="10" t="s">
        <v>38</v>
      </c>
      <c r="B1214" t="b">
        <v>0</v>
      </c>
      <c r="C1214" t="b">
        <v>0</v>
      </c>
      <c r="D1214" s="1">
        <v>1531</v>
      </c>
      <c r="E1214" s="1">
        <v>0</v>
      </c>
      <c r="F1214" s="1">
        <v>0</v>
      </c>
      <c r="G1214" s="1">
        <v>9796</v>
      </c>
      <c r="H1214" s="1">
        <v>9137</v>
      </c>
      <c r="I1214" s="1">
        <v>0</v>
      </c>
      <c r="J1214" s="3">
        <f t="shared" si="67"/>
        <v>18933</v>
      </c>
      <c r="K1214" s="1">
        <v>0</v>
      </c>
      <c r="L1214" s="1">
        <v>0</v>
      </c>
      <c r="M1214" s="1">
        <v>0</v>
      </c>
      <c r="O1214" s="14">
        <v>0</v>
      </c>
      <c r="P1214" s="17">
        <f t="shared" si="68"/>
        <v>18933</v>
      </c>
      <c r="Q1214" s="1">
        <v>0</v>
      </c>
      <c r="R1214" s="1">
        <v>0</v>
      </c>
      <c r="S1214" s="20">
        <v>38047</v>
      </c>
      <c r="T1214" s="1">
        <v>20464</v>
      </c>
      <c r="U1214" s="9">
        <v>18933</v>
      </c>
      <c r="V1214" s="9" t="s">
        <v>41</v>
      </c>
    </row>
    <row r="1215" spans="1:22" x14ac:dyDescent="0.25">
      <c r="A1215" s="10" t="s">
        <v>38</v>
      </c>
      <c r="B1215" t="b">
        <v>0</v>
      </c>
      <c r="C1215" t="b">
        <v>0</v>
      </c>
      <c r="D1215" s="1">
        <v>1638</v>
      </c>
      <c r="E1215" s="1">
        <v>0</v>
      </c>
      <c r="F1215" s="1">
        <v>0</v>
      </c>
      <c r="G1215" s="1">
        <v>9674</v>
      </c>
      <c r="H1215" s="1">
        <v>8894</v>
      </c>
      <c r="I1215" s="1">
        <v>0</v>
      </c>
      <c r="J1215" s="3">
        <f t="shared" si="67"/>
        <v>18568</v>
      </c>
      <c r="K1215" s="1">
        <v>0</v>
      </c>
      <c r="L1215" s="1">
        <v>0</v>
      </c>
      <c r="M1215" s="1">
        <v>0</v>
      </c>
      <c r="O1215" s="14">
        <v>0</v>
      </c>
      <c r="P1215" s="17">
        <f t="shared" si="68"/>
        <v>18568</v>
      </c>
      <c r="Q1215" s="1">
        <v>0</v>
      </c>
      <c r="R1215" s="1">
        <v>0</v>
      </c>
      <c r="S1215" s="20">
        <v>38078</v>
      </c>
      <c r="T1215" s="1">
        <v>20206</v>
      </c>
      <c r="U1215" s="9">
        <v>18568</v>
      </c>
      <c r="V1215" s="9" t="s">
        <v>41</v>
      </c>
    </row>
    <row r="1216" spans="1:22" x14ac:dyDescent="0.25">
      <c r="A1216" s="10" t="s">
        <v>38</v>
      </c>
      <c r="B1216" t="b">
        <v>0</v>
      </c>
      <c r="C1216" t="b">
        <v>0</v>
      </c>
      <c r="D1216" s="1">
        <v>3949</v>
      </c>
      <c r="E1216" s="1">
        <v>0</v>
      </c>
      <c r="F1216" s="1">
        <v>0</v>
      </c>
      <c r="G1216" s="1">
        <v>6963</v>
      </c>
      <c r="H1216" s="1">
        <v>9538</v>
      </c>
      <c r="I1216" s="1">
        <v>0</v>
      </c>
      <c r="J1216" s="3">
        <f t="shared" si="67"/>
        <v>16501</v>
      </c>
      <c r="K1216" s="1">
        <v>0</v>
      </c>
      <c r="L1216" s="1">
        <v>0</v>
      </c>
      <c r="M1216" s="1">
        <v>0</v>
      </c>
      <c r="O1216" s="14">
        <v>0</v>
      </c>
      <c r="P1216" s="17">
        <f t="shared" si="68"/>
        <v>16501</v>
      </c>
      <c r="Q1216" s="1">
        <v>0</v>
      </c>
      <c r="R1216" s="1">
        <v>0</v>
      </c>
      <c r="S1216" s="20">
        <v>38108</v>
      </c>
      <c r="T1216" s="1">
        <v>20450</v>
      </c>
      <c r="U1216" s="9">
        <v>16501</v>
      </c>
      <c r="V1216" s="9" t="s">
        <v>41</v>
      </c>
    </row>
    <row r="1217" spans="1:22" x14ac:dyDescent="0.25">
      <c r="A1217" s="10" t="s">
        <v>38</v>
      </c>
      <c r="B1217" t="b">
        <v>0</v>
      </c>
      <c r="C1217" t="b">
        <v>0</v>
      </c>
      <c r="D1217" s="1">
        <v>3042</v>
      </c>
      <c r="E1217" s="1">
        <v>0</v>
      </c>
      <c r="F1217" s="1">
        <v>0</v>
      </c>
      <c r="G1217" s="1">
        <v>8108</v>
      </c>
      <c r="H1217" s="1">
        <v>8894</v>
      </c>
      <c r="I1217" s="1">
        <v>0</v>
      </c>
      <c r="J1217" s="3">
        <f t="shared" si="67"/>
        <v>17002</v>
      </c>
      <c r="K1217" s="1">
        <v>0</v>
      </c>
      <c r="L1217" s="1">
        <v>0</v>
      </c>
      <c r="M1217" s="1">
        <v>0</v>
      </c>
      <c r="O1217" s="14">
        <v>0</v>
      </c>
      <c r="P1217" s="17">
        <f t="shared" si="68"/>
        <v>17002</v>
      </c>
      <c r="Q1217" s="1">
        <v>0</v>
      </c>
      <c r="R1217" s="1">
        <v>0</v>
      </c>
      <c r="S1217" s="20">
        <v>38139</v>
      </c>
      <c r="T1217" s="1">
        <v>20044</v>
      </c>
      <c r="U1217" s="9">
        <v>17002</v>
      </c>
      <c r="V1217" s="9" t="s">
        <v>41</v>
      </c>
    </row>
    <row r="1218" spans="1:22" x14ac:dyDescent="0.25">
      <c r="A1218" s="10" t="s">
        <v>38</v>
      </c>
      <c r="B1218" t="b">
        <v>0</v>
      </c>
      <c r="C1218" t="b">
        <v>0</v>
      </c>
      <c r="D1218" s="1">
        <v>1128</v>
      </c>
      <c r="E1218" s="1">
        <v>0</v>
      </c>
      <c r="F1218" s="1">
        <v>0</v>
      </c>
      <c r="G1218" s="1">
        <v>10666</v>
      </c>
      <c r="H1218" s="1">
        <v>9395</v>
      </c>
      <c r="I1218" s="1">
        <v>0</v>
      </c>
      <c r="J1218" s="3">
        <f t="shared" si="67"/>
        <v>20061</v>
      </c>
      <c r="K1218" s="1">
        <v>0</v>
      </c>
      <c r="L1218" s="1">
        <v>0</v>
      </c>
      <c r="M1218" s="1">
        <v>0</v>
      </c>
      <c r="O1218" s="14">
        <v>0</v>
      </c>
      <c r="P1218" s="17">
        <f t="shared" si="68"/>
        <v>20061</v>
      </c>
      <c r="Q1218" s="1">
        <v>0</v>
      </c>
      <c r="R1218" s="1">
        <v>0</v>
      </c>
      <c r="S1218" s="20">
        <v>38169</v>
      </c>
      <c r="T1218" s="1">
        <v>21189</v>
      </c>
      <c r="U1218" s="9">
        <v>20061</v>
      </c>
      <c r="V1218" s="9" t="s">
        <v>41</v>
      </c>
    </row>
    <row r="1219" spans="1:22" x14ac:dyDescent="0.25">
      <c r="A1219" s="10" t="s">
        <v>38</v>
      </c>
      <c r="B1219" t="b">
        <v>0</v>
      </c>
      <c r="C1219" t="b">
        <v>0</v>
      </c>
      <c r="D1219" s="1">
        <v>1370</v>
      </c>
      <c r="E1219" s="1">
        <v>0</v>
      </c>
      <c r="F1219" s="1">
        <v>0</v>
      </c>
      <c r="G1219" s="1">
        <v>10591</v>
      </c>
      <c r="H1219" s="1">
        <v>9395</v>
      </c>
      <c r="I1219" s="1">
        <v>0</v>
      </c>
      <c r="J1219" s="3">
        <f t="shared" si="67"/>
        <v>19986</v>
      </c>
      <c r="K1219" s="1">
        <v>0</v>
      </c>
      <c r="L1219" s="1">
        <v>0</v>
      </c>
      <c r="M1219" s="1">
        <v>0</v>
      </c>
      <c r="O1219" s="14">
        <v>0</v>
      </c>
      <c r="P1219" s="17">
        <f t="shared" si="68"/>
        <v>19986</v>
      </c>
      <c r="Q1219" s="1">
        <v>0</v>
      </c>
      <c r="R1219" s="1">
        <v>0</v>
      </c>
      <c r="S1219" s="20">
        <v>38200</v>
      </c>
      <c r="T1219" s="1">
        <v>21356</v>
      </c>
      <c r="U1219" s="9">
        <v>19986</v>
      </c>
      <c r="V1219" s="9" t="s">
        <v>41</v>
      </c>
    </row>
    <row r="1220" spans="1:22" x14ac:dyDescent="0.25">
      <c r="A1220" s="10" t="s">
        <v>38</v>
      </c>
      <c r="B1220" t="b">
        <v>0</v>
      </c>
      <c r="C1220" t="b">
        <v>0</v>
      </c>
      <c r="D1220" s="1">
        <v>3432</v>
      </c>
      <c r="E1220" s="1">
        <v>0</v>
      </c>
      <c r="F1220" s="1">
        <v>0</v>
      </c>
      <c r="G1220" s="1">
        <v>7673</v>
      </c>
      <c r="H1220" s="1">
        <v>8894</v>
      </c>
      <c r="I1220" s="1">
        <v>0</v>
      </c>
      <c r="J1220" s="3">
        <f t="shared" si="67"/>
        <v>16567</v>
      </c>
      <c r="K1220" s="1">
        <v>0</v>
      </c>
      <c r="L1220" s="1">
        <v>0</v>
      </c>
      <c r="M1220" s="1">
        <v>0</v>
      </c>
      <c r="O1220" s="14">
        <v>0</v>
      </c>
      <c r="P1220" s="17">
        <f t="shared" si="68"/>
        <v>16567</v>
      </c>
      <c r="Q1220" s="1">
        <v>0</v>
      </c>
      <c r="R1220" s="1">
        <v>0</v>
      </c>
      <c r="S1220" s="20">
        <v>38231</v>
      </c>
      <c r="T1220" s="1">
        <v>19999</v>
      </c>
      <c r="U1220" s="9">
        <v>16567</v>
      </c>
      <c r="V1220" s="9" t="s">
        <v>41</v>
      </c>
    </row>
    <row r="1221" spans="1:22" x14ac:dyDescent="0.25">
      <c r="A1221" s="10" t="s">
        <v>38</v>
      </c>
      <c r="B1221" t="b">
        <v>0</v>
      </c>
      <c r="C1221" t="b">
        <v>0</v>
      </c>
      <c r="D1221" s="1">
        <v>4433</v>
      </c>
      <c r="E1221" s="1">
        <v>0</v>
      </c>
      <c r="F1221" s="1">
        <v>0</v>
      </c>
      <c r="G1221" s="1">
        <v>12209</v>
      </c>
      <c r="H1221" s="1">
        <v>9538</v>
      </c>
      <c r="I1221" s="1">
        <v>0</v>
      </c>
      <c r="J1221" s="3">
        <f t="shared" si="67"/>
        <v>21747</v>
      </c>
      <c r="K1221" s="1">
        <v>0</v>
      </c>
      <c r="L1221" s="1">
        <v>0</v>
      </c>
      <c r="M1221" s="1">
        <v>0</v>
      </c>
      <c r="O1221" s="14">
        <v>0</v>
      </c>
      <c r="P1221" s="17">
        <f t="shared" si="68"/>
        <v>21747</v>
      </c>
      <c r="Q1221" s="1">
        <v>0</v>
      </c>
      <c r="R1221" s="1">
        <v>0</v>
      </c>
      <c r="S1221" s="20">
        <v>38261</v>
      </c>
      <c r="T1221" s="1">
        <v>26180</v>
      </c>
      <c r="U1221" s="9">
        <v>21747</v>
      </c>
      <c r="V1221" s="9" t="s">
        <v>41</v>
      </c>
    </row>
    <row r="1222" spans="1:22" x14ac:dyDescent="0.25">
      <c r="A1222" s="10" t="s">
        <v>38</v>
      </c>
      <c r="B1222" t="b">
        <v>0</v>
      </c>
      <c r="C1222" t="b">
        <v>0</v>
      </c>
      <c r="D1222" s="1">
        <v>546</v>
      </c>
      <c r="E1222" s="1">
        <v>0</v>
      </c>
      <c r="F1222" s="1">
        <v>0</v>
      </c>
      <c r="G1222" s="1">
        <v>10892</v>
      </c>
      <c r="H1222" s="1">
        <v>8894</v>
      </c>
      <c r="I1222" s="1">
        <v>0</v>
      </c>
      <c r="J1222" s="3">
        <f t="shared" si="67"/>
        <v>19786</v>
      </c>
      <c r="K1222" s="1">
        <v>0</v>
      </c>
      <c r="L1222" s="1">
        <v>0</v>
      </c>
      <c r="M1222" s="1">
        <v>0</v>
      </c>
      <c r="O1222" s="14">
        <v>0</v>
      </c>
      <c r="P1222" s="17">
        <f t="shared" si="68"/>
        <v>19786</v>
      </c>
      <c r="Q1222" s="1">
        <v>0</v>
      </c>
      <c r="R1222" s="1">
        <v>0</v>
      </c>
      <c r="S1222" s="20">
        <v>38292</v>
      </c>
      <c r="T1222" s="1">
        <v>20332</v>
      </c>
      <c r="U1222" s="9">
        <v>19786</v>
      </c>
      <c r="V1222" s="9" t="s">
        <v>41</v>
      </c>
    </row>
    <row r="1223" spans="1:22" x14ac:dyDescent="0.25">
      <c r="A1223" s="10" t="s">
        <v>38</v>
      </c>
      <c r="B1223" t="b">
        <v>0</v>
      </c>
      <c r="C1223" t="b">
        <v>0</v>
      </c>
      <c r="D1223" s="1">
        <v>645</v>
      </c>
      <c r="E1223" s="1">
        <v>0</v>
      </c>
      <c r="F1223" s="1">
        <v>0</v>
      </c>
      <c r="G1223" s="1">
        <v>11116</v>
      </c>
      <c r="H1223" s="1">
        <v>9137</v>
      </c>
      <c r="I1223" s="1">
        <v>0</v>
      </c>
      <c r="J1223" s="3">
        <f t="shared" si="67"/>
        <v>20253</v>
      </c>
      <c r="K1223" s="1">
        <v>0</v>
      </c>
      <c r="L1223" s="1">
        <v>0</v>
      </c>
      <c r="M1223" s="1">
        <v>0</v>
      </c>
      <c r="O1223" s="14">
        <v>0</v>
      </c>
      <c r="P1223" s="17">
        <f t="shared" si="68"/>
        <v>20253</v>
      </c>
      <c r="Q1223" s="1">
        <v>0</v>
      </c>
      <c r="R1223" s="1">
        <v>0</v>
      </c>
      <c r="S1223" s="20">
        <v>38322</v>
      </c>
      <c r="T1223" s="1">
        <v>20898</v>
      </c>
      <c r="U1223" s="9">
        <v>20253</v>
      </c>
      <c r="V1223" s="9" t="s">
        <v>41</v>
      </c>
    </row>
    <row r="1224" spans="1:22" x14ac:dyDescent="0.25">
      <c r="A1224" s="10" t="s">
        <v>38</v>
      </c>
      <c r="B1224" t="b">
        <v>0</v>
      </c>
      <c r="C1224" t="b">
        <v>0</v>
      </c>
      <c r="D1224" s="1">
        <v>403</v>
      </c>
      <c r="E1224" s="1">
        <v>0</v>
      </c>
      <c r="F1224" s="1">
        <v>0</v>
      </c>
      <c r="G1224" s="1">
        <v>11760</v>
      </c>
      <c r="H1224" s="1">
        <v>9538</v>
      </c>
      <c r="I1224" s="1">
        <v>0</v>
      </c>
      <c r="J1224" s="3">
        <f t="shared" si="67"/>
        <v>21298</v>
      </c>
      <c r="K1224" s="1">
        <v>0</v>
      </c>
      <c r="L1224" s="1">
        <v>0</v>
      </c>
      <c r="M1224" s="1">
        <v>0</v>
      </c>
      <c r="O1224" s="14">
        <v>0</v>
      </c>
      <c r="P1224" s="17">
        <f t="shared" si="68"/>
        <v>21298</v>
      </c>
      <c r="Q1224" s="1">
        <v>0</v>
      </c>
      <c r="R1224" s="1">
        <v>0</v>
      </c>
      <c r="S1224" s="20">
        <v>38353</v>
      </c>
      <c r="T1224" s="1">
        <v>21701</v>
      </c>
      <c r="U1224" s="9">
        <v>21298</v>
      </c>
      <c r="V1224" s="9" t="s">
        <v>21</v>
      </c>
    </row>
    <row r="1225" spans="1:22" x14ac:dyDescent="0.25">
      <c r="A1225" s="10" t="s">
        <v>38</v>
      </c>
      <c r="B1225" t="b">
        <v>0</v>
      </c>
      <c r="C1225" t="b">
        <v>0</v>
      </c>
      <c r="D1225" s="1">
        <v>364</v>
      </c>
      <c r="E1225" s="1">
        <v>0</v>
      </c>
      <c r="F1225" s="1">
        <v>0</v>
      </c>
      <c r="G1225" s="1">
        <v>10428</v>
      </c>
      <c r="H1225" s="1">
        <v>8408</v>
      </c>
      <c r="I1225" s="1">
        <v>0</v>
      </c>
      <c r="J1225" s="3">
        <f t="shared" si="67"/>
        <v>18836</v>
      </c>
      <c r="K1225" s="1">
        <v>0</v>
      </c>
      <c r="L1225" s="1">
        <v>0</v>
      </c>
      <c r="M1225" s="1">
        <v>0</v>
      </c>
      <c r="O1225" s="14">
        <v>0</v>
      </c>
      <c r="P1225" s="17">
        <f t="shared" si="68"/>
        <v>18836</v>
      </c>
      <c r="Q1225" s="1">
        <v>0</v>
      </c>
      <c r="R1225" s="1">
        <v>0</v>
      </c>
      <c r="S1225" s="20">
        <v>38384</v>
      </c>
      <c r="T1225" s="1">
        <v>19200</v>
      </c>
      <c r="U1225" s="9">
        <v>18836</v>
      </c>
      <c r="V1225" s="9" t="s">
        <v>21</v>
      </c>
    </row>
    <row r="1226" spans="1:22" x14ac:dyDescent="0.25">
      <c r="A1226" s="10" t="s">
        <v>38</v>
      </c>
      <c r="B1226" t="b">
        <v>0</v>
      </c>
      <c r="C1226" t="b">
        <v>0</v>
      </c>
      <c r="D1226" s="1">
        <v>967</v>
      </c>
      <c r="E1226" s="1">
        <v>0</v>
      </c>
      <c r="F1226" s="1">
        <v>0</v>
      </c>
      <c r="G1226" s="1">
        <v>10756</v>
      </c>
      <c r="H1226" s="1">
        <v>9137</v>
      </c>
      <c r="I1226" s="1">
        <v>0</v>
      </c>
      <c r="J1226" s="3">
        <f t="shared" si="67"/>
        <v>19893</v>
      </c>
      <c r="K1226" s="1">
        <v>0</v>
      </c>
      <c r="L1226" s="1">
        <v>0</v>
      </c>
      <c r="M1226" s="1">
        <v>0</v>
      </c>
      <c r="O1226" s="14">
        <v>0</v>
      </c>
      <c r="P1226" s="17">
        <f t="shared" si="68"/>
        <v>19893</v>
      </c>
      <c r="Q1226" s="1">
        <v>0</v>
      </c>
      <c r="R1226" s="1">
        <v>0</v>
      </c>
      <c r="S1226" s="20">
        <v>38412</v>
      </c>
      <c r="T1226" s="1">
        <v>20860</v>
      </c>
      <c r="U1226" s="9">
        <v>19893</v>
      </c>
      <c r="V1226" s="9" t="s">
        <v>21</v>
      </c>
    </row>
    <row r="1227" spans="1:22" x14ac:dyDescent="0.25">
      <c r="A1227" s="10" t="s">
        <v>38</v>
      </c>
      <c r="B1227" t="b">
        <v>0</v>
      </c>
      <c r="C1227" t="b">
        <v>0</v>
      </c>
      <c r="D1227" s="1">
        <v>1794</v>
      </c>
      <c r="E1227" s="1">
        <v>0</v>
      </c>
      <c r="F1227" s="1">
        <v>0</v>
      </c>
      <c r="G1227" s="1">
        <v>9590</v>
      </c>
      <c r="H1227" s="1">
        <v>9037</v>
      </c>
      <c r="I1227" s="1">
        <v>0</v>
      </c>
      <c r="J1227" s="3">
        <f t="shared" si="67"/>
        <v>18627</v>
      </c>
      <c r="K1227" s="1">
        <v>0</v>
      </c>
      <c r="L1227" s="1">
        <v>0</v>
      </c>
      <c r="M1227" s="1">
        <v>0</v>
      </c>
      <c r="O1227" s="14">
        <v>0</v>
      </c>
      <c r="P1227" s="17">
        <f t="shared" si="68"/>
        <v>18627</v>
      </c>
      <c r="Q1227" s="1">
        <v>0</v>
      </c>
      <c r="R1227" s="1">
        <v>0</v>
      </c>
      <c r="S1227" s="20">
        <v>38443</v>
      </c>
      <c r="T1227" s="1">
        <v>20421</v>
      </c>
      <c r="U1227" s="9">
        <v>18627</v>
      </c>
      <c r="V1227" s="9" t="s">
        <v>21</v>
      </c>
    </row>
    <row r="1228" spans="1:22" x14ac:dyDescent="0.25">
      <c r="A1228" s="10" t="s">
        <v>38</v>
      </c>
      <c r="B1228" t="b">
        <v>0</v>
      </c>
      <c r="C1228" t="b">
        <v>0</v>
      </c>
      <c r="D1228" s="1">
        <v>2248</v>
      </c>
      <c r="E1228" s="1">
        <v>0</v>
      </c>
      <c r="F1228" s="1">
        <v>0</v>
      </c>
      <c r="G1228" s="1">
        <v>9677</v>
      </c>
      <c r="H1228" s="1">
        <v>9395</v>
      </c>
      <c r="I1228" s="1">
        <v>0</v>
      </c>
      <c r="J1228" s="3">
        <f t="shared" si="67"/>
        <v>19072</v>
      </c>
      <c r="K1228" s="1">
        <v>0</v>
      </c>
      <c r="L1228" s="1">
        <v>0</v>
      </c>
      <c r="M1228" s="1">
        <v>0</v>
      </c>
      <c r="O1228" s="14">
        <v>0</v>
      </c>
      <c r="P1228" s="17">
        <f t="shared" si="68"/>
        <v>19072</v>
      </c>
      <c r="Q1228" s="1">
        <v>0</v>
      </c>
      <c r="R1228" s="1">
        <v>0</v>
      </c>
      <c r="S1228" s="20">
        <v>38473</v>
      </c>
      <c r="T1228" s="1">
        <v>21320</v>
      </c>
      <c r="U1228" s="9">
        <v>19072</v>
      </c>
      <c r="V1228" s="9" t="s">
        <v>21</v>
      </c>
    </row>
    <row r="1229" spans="1:22" x14ac:dyDescent="0.25">
      <c r="A1229" s="10" t="s">
        <v>38</v>
      </c>
      <c r="B1229" t="b">
        <v>0</v>
      </c>
      <c r="C1229" t="b">
        <v>0</v>
      </c>
      <c r="D1229" s="1">
        <v>1950</v>
      </c>
      <c r="E1229" s="1">
        <v>0</v>
      </c>
      <c r="F1229" s="1">
        <v>0</v>
      </c>
      <c r="G1229" s="1">
        <v>9326</v>
      </c>
      <c r="H1229" s="1">
        <v>8894</v>
      </c>
      <c r="I1229" s="1">
        <v>0</v>
      </c>
      <c r="J1229" s="3">
        <f t="shared" si="67"/>
        <v>18220</v>
      </c>
      <c r="K1229" s="1">
        <v>0</v>
      </c>
      <c r="L1229" s="1">
        <v>0</v>
      </c>
      <c r="M1229" s="1">
        <v>0</v>
      </c>
      <c r="O1229" s="14">
        <v>0</v>
      </c>
      <c r="P1229" s="17">
        <f t="shared" si="68"/>
        <v>18220</v>
      </c>
      <c r="Q1229" s="1">
        <v>0</v>
      </c>
      <c r="R1229" s="1">
        <v>0</v>
      </c>
      <c r="S1229" s="20">
        <v>38504</v>
      </c>
      <c r="T1229" s="1">
        <v>20170</v>
      </c>
      <c r="U1229" s="9">
        <v>18220</v>
      </c>
      <c r="V1229" s="9" t="s">
        <v>21</v>
      </c>
    </row>
    <row r="1230" spans="1:22" x14ac:dyDescent="0.25">
      <c r="A1230" s="10" t="s">
        <v>38</v>
      </c>
      <c r="B1230" t="b">
        <v>0</v>
      </c>
      <c r="C1230" t="b">
        <v>0</v>
      </c>
      <c r="D1230" s="1">
        <v>3416</v>
      </c>
      <c r="E1230" s="1">
        <v>0</v>
      </c>
      <c r="F1230" s="1">
        <v>0</v>
      </c>
      <c r="G1230" s="1">
        <v>8793</v>
      </c>
      <c r="H1230" s="1">
        <v>9538</v>
      </c>
      <c r="I1230" s="1">
        <v>0</v>
      </c>
      <c r="J1230" s="3">
        <f t="shared" si="67"/>
        <v>18331</v>
      </c>
      <c r="K1230" s="1">
        <v>0</v>
      </c>
      <c r="L1230" s="1">
        <v>0</v>
      </c>
      <c r="M1230" s="1">
        <v>0</v>
      </c>
      <c r="O1230" s="14">
        <v>0</v>
      </c>
      <c r="P1230" s="17">
        <f t="shared" si="68"/>
        <v>18331</v>
      </c>
      <c r="Q1230" s="1">
        <v>0</v>
      </c>
      <c r="R1230" s="1">
        <v>0</v>
      </c>
      <c r="S1230" s="20">
        <v>38534</v>
      </c>
      <c r="T1230" s="1">
        <v>21747</v>
      </c>
      <c r="U1230" s="9">
        <v>18331</v>
      </c>
      <c r="V1230" s="9" t="s">
        <v>21</v>
      </c>
    </row>
    <row r="1231" spans="1:22" x14ac:dyDescent="0.25">
      <c r="A1231" s="10" t="s">
        <v>38</v>
      </c>
      <c r="B1231" t="b">
        <v>0</v>
      </c>
      <c r="C1231" t="b">
        <v>0</v>
      </c>
      <c r="D1231" s="1">
        <v>3234</v>
      </c>
      <c r="E1231" s="1">
        <v>0</v>
      </c>
      <c r="F1231" s="1">
        <v>0</v>
      </c>
      <c r="G1231" s="1">
        <v>8599</v>
      </c>
      <c r="H1231" s="1">
        <v>9137</v>
      </c>
      <c r="I1231" s="1">
        <v>0</v>
      </c>
      <c r="J1231" s="3">
        <f t="shared" si="67"/>
        <v>17736</v>
      </c>
      <c r="K1231" s="1">
        <v>0</v>
      </c>
      <c r="L1231" s="1">
        <v>0</v>
      </c>
      <c r="M1231" s="1">
        <v>0</v>
      </c>
      <c r="O1231" s="14">
        <v>0</v>
      </c>
      <c r="P1231" s="17">
        <f t="shared" si="68"/>
        <v>17736</v>
      </c>
      <c r="Q1231" s="1">
        <v>0</v>
      </c>
      <c r="R1231" s="1">
        <v>0</v>
      </c>
      <c r="S1231" s="20">
        <v>38565</v>
      </c>
      <c r="T1231" s="1">
        <v>20970</v>
      </c>
      <c r="U1231" s="9">
        <v>17736</v>
      </c>
      <c r="V1231" s="9" t="s">
        <v>21</v>
      </c>
    </row>
    <row r="1232" spans="1:22" x14ac:dyDescent="0.25">
      <c r="A1232" s="10" t="s">
        <v>38</v>
      </c>
      <c r="B1232" t="b">
        <v>0</v>
      </c>
      <c r="C1232" t="b">
        <v>0</v>
      </c>
      <c r="D1232" s="1">
        <v>3219</v>
      </c>
      <c r="E1232" s="1">
        <v>0</v>
      </c>
      <c r="F1232" s="1">
        <v>0</v>
      </c>
      <c r="G1232" s="1">
        <v>8282</v>
      </c>
      <c r="H1232" s="1">
        <v>8894</v>
      </c>
      <c r="I1232" s="1">
        <v>0</v>
      </c>
      <c r="J1232" s="3">
        <f t="shared" si="67"/>
        <v>17176</v>
      </c>
      <c r="K1232" s="1">
        <v>0</v>
      </c>
      <c r="L1232" s="1">
        <v>0</v>
      </c>
      <c r="M1232" s="1">
        <v>0</v>
      </c>
      <c r="O1232" s="14">
        <v>0</v>
      </c>
      <c r="P1232" s="17">
        <f t="shared" si="68"/>
        <v>17176</v>
      </c>
      <c r="Q1232" s="1">
        <v>0</v>
      </c>
      <c r="R1232" s="1">
        <v>0</v>
      </c>
      <c r="S1232" s="20">
        <v>38596</v>
      </c>
      <c r="T1232" s="1">
        <v>20395</v>
      </c>
      <c r="U1232" s="9">
        <v>17176</v>
      </c>
      <c r="V1232" s="9" t="s">
        <v>21</v>
      </c>
    </row>
    <row r="1233" spans="1:22" x14ac:dyDescent="0.25">
      <c r="A1233" s="10" t="s">
        <v>38</v>
      </c>
      <c r="B1233" t="b">
        <v>0</v>
      </c>
      <c r="C1233" t="b">
        <v>0</v>
      </c>
      <c r="D1233" s="1">
        <v>1978</v>
      </c>
      <c r="E1233" s="1">
        <v>0</v>
      </c>
      <c r="F1233" s="1">
        <v>0</v>
      </c>
      <c r="G1233" s="1">
        <v>10231</v>
      </c>
      <c r="H1233" s="1">
        <v>9538</v>
      </c>
      <c r="I1233" s="1">
        <v>0</v>
      </c>
      <c r="J1233" s="3">
        <f t="shared" si="67"/>
        <v>19769</v>
      </c>
      <c r="K1233" s="1">
        <v>0</v>
      </c>
      <c r="L1233" s="1">
        <v>0</v>
      </c>
      <c r="M1233" s="1">
        <v>0</v>
      </c>
      <c r="O1233" s="14">
        <v>0</v>
      </c>
      <c r="P1233" s="17">
        <f t="shared" si="68"/>
        <v>19769</v>
      </c>
      <c r="Q1233" s="1">
        <v>0</v>
      </c>
      <c r="R1233" s="1">
        <v>0</v>
      </c>
      <c r="S1233" s="20">
        <v>38626</v>
      </c>
      <c r="T1233" s="1">
        <v>21747</v>
      </c>
      <c r="U1233" s="9">
        <v>19769</v>
      </c>
      <c r="V1233" s="9" t="s">
        <v>21</v>
      </c>
    </row>
    <row r="1234" spans="1:22" x14ac:dyDescent="0.25">
      <c r="A1234" s="10" t="s">
        <v>38</v>
      </c>
      <c r="B1234" t="b">
        <v>0</v>
      </c>
      <c r="C1234" t="b">
        <v>0</v>
      </c>
      <c r="D1234" s="1">
        <v>1392</v>
      </c>
      <c r="E1234" s="1">
        <v>0</v>
      </c>
      <c r="F1234" s="1">
        <v>0</v>
      </c>
      <c r="G1234" s="1">
        <v>10109</v>
      </c>
      <c r="H1234" s="1">
        <v>8894</v>
      </c>
      <c r="I1234" s="1">
        <v>0</v>
      </c>
      <c r="J1234" s="3">
        <f t="shared" si="67"/>
        <v>19003</v>
      </c>
      <c r="K1234" s="1">
        <v>0</v>
      </c>
      <c r="L1234" s="1">
        <v>0</v>
      </c>
      <c r="M1234" s="1">
        <v>0</v>
      </c>
      <c r="O1234" s="14">
        <v>0</v>
      </c>
      <c r="P1234" s="17">
        <f t="shared" si="68"/>
        <v>19003</v>
      </c>
      <c r="Q1234" s="1">
        <v>0</v>
      </c>
      <c r="R1234" s="1">
        <v>0</v>
      </c>
      <c r="S1234" s="20">
        <v>38657</v>
      </c>
      <c r="T1234" s="1">
        <v>20395</v>
      </c>
      <c r="U1234" s="9">
        <v>19003</v>
      </c>
      <c r="V1234" s="9" t="s">
        <v>21</v>
      </c>
    </row>
    <row r="1235" spans="1:22" x14ac:dyDescent="0.25">
      <c r="A1235" s="10" t="s">
        <v>38</v>
      </c>
      <c r="B1235" t="b">
        <v>0</v>
      </c>
      <c r="C1235" t="b">
        <v>0</v>
      </c>
      <c r="D1235" s="1">
        <v>539</v>
      </c>
      <c r="E1235" s="1">
        <v>0</v>
      </c>
      <c r="F1235" s="1">
        <v>0</v>
      </c>
      <c r="G1235" s="1">
        <v>11385</v>
      </c>
      <c r="H1235" s="1">
        <v>9280</v>
      </c>
      <c r="I1235" s="1">
        <v>0</v>
      </c>
      <c r="J1235" s="3">
        <f t="shared" si="67"/>
        <v>20665</v>
      </c>
      <c r="K1235" s="1">
        <v>0</v>
      </c>
      <c r="L1235" s="1">
        <v>0</v>
      </c>
      <c r="M1235" s="1">
        <v>0</v>
      </c>
      <c r="O1235" s="14">
        <v>0</v>
      </c>
      <c r="P1235" s="17">
        <f t="shared" si="68"/>
        <v>20665</v>
      </c>
      <c r="Q1235" s="1">
        <v>0</v>
      </c>
      <c r="R1235" s="1">
        <v>0</v>
      </c>
      <c r="S1235" s="20">
        <v>38687</v>
      </c>
      <c r="T1235" s="1">
        <v>21204</v>
      </c>
      <c r="U1235" s="9">
        <v>20665</v>
      </c>
      <c r="V1235" s="9" t="s">
        <v>21</v>
      </c>
    </row>
    <row r="1236" spans="1:22" x14ac:dyDescent="0.25">
      <c r="A1236" s="10" t="s">
        <v>38</v>
      </c>
      <c r="B1236" t="b">
        <v>0</v>
      </c>
      <c r="C1236" t="b">
        <v>0</v>
      </c>
      <c r="D1236" s="1">
        <v>899</v>
      </c>
      <c r="E1236" s="1">
        <v>0</v>
      </c>
      <c r="F1236" s="1">
        <v>0</v>
      </c>
      <c r="G1236" s="1">
        <v>10936</v>
      </c>
      <c r="H1236" s="1">
        <v>9137</v>
      </c>
      <c r="I1236" s="1">
        <v>0</v>
      </c>
      <c r="J1236" s="3">
        <f t="shared" si="67"/>
        <v>20073</v>
      </c>
      <c r="K1236" s="1">
        <v>0</v>
      </c>
      <c r="L1236" s="1">
        <v>0</v>
      </c>
      <c r="M1236" s="1">
        <v>0</v>
      </c>
      <c r="O1236" s="14">
        <v>0</v>
      </c>
      <c r="P1236" s="17">
        <f t="shared" si="68"/>
        <v>20073</v>
      </c>
      <c r="Q1236" s="1">
        <v>0</v>
      </c>
      <c r="R1236" s="1">
        <v>0</v>
      </c>
      <c r="S1236" s="20">
        <v>38718</v>
      </c>
      <c r="T1236" s="1">
        <v>20972</v>
      </c>
      <c r="U1236" s="9">
        <v>20073</v>
      </c>
      <c r="V1236" s="9" t="s">
        <v>21</v>
      </c>
    </row>
    <row r="1237" spans="1:22" x14ac:dyDescent="0.25">
      <c r="A1237" s="10" t="s">
        <v>38</v>
      </c>
      <c r="B1237" t="b">
        <v>0</v>
      </c>
      <c r="C1237" t="b">
        <v>0</v>
      </c>
      <c r="D1237" s="1">
        <v>1330</v>
      </c>
      <c r="E1237" s="1">
        <v>0</v>
      </c>
      <c r="F1237" s="1">
        <v>0</v>
      </c>
      <c r="G1237" s="1">
        <v>9292</v>
      </c>
      <c r="H1237" s="1">
        <v>8408</v>
      </c>
      <c r="I1237" s="1">
        <v>0</v>
      </c>
      <c r="J1237" s="3">
        <f t="shared" si="67"/>
        <v>17700</v>
      </c>
      <c r="K1237" s="1">
        <v>0</v>
      </c>
      <c r="L1237" s="1">
        <v>0</v>
      </c>
      <c r="M1237" s="1">
        <v>0</v>
      </c>
      <c r="O1237" s="14">
        <v>0</v>
      </c>
      <c r="P1237" s="17">
        <f t="shared" si="68"/>
        <v>17700</v>
      </c>
      <c r="Q1237" s="1">
        <v>0</v>
      </c>
      <c r="R1237" s="1">
        <v>0</v>
      </c>
      <c r="S1237" s="20">
        <v>38749</v>
      </c>
      <c r="T1237" s="1">
        <v>19030</v>
      </c>
      <c r="U1237" s="9">
        <v>17700</v>
      </c>
      <c r="V1237" s="9" t="s">
        <v>21</v>
      </c>
    </row>
    <row r="1238" spans="1:22" x14ac:dyDescent="0.25">
      <c r="A1238" s="10" t="s">
        <v>38</v>
      </c>
      <c r="B1238" t="b">
        <v>0</v>
      </c>
      <c r="C1238" t="b">
        <v>0</v>
      </c>
      <c r="D1238" s="1">
        <v>1169</v>
      </c>
      <c r="E1238" s="1">
        <v>0</v>
      </c>
      <c r="F1238" s="1">
        <v>0</v>
      </c>
      <c r="G1238" s="1">
        <v>10666</v>
      </c>
      <c r="H1238" s="1">
        <v>9137</v>
      </c>
      <c r="I1238" s="1">
        <v>0</v>
      </c>
      <c r="J1238" s="3">
        <f t="shared" si="67"/>
        <v>19803</v>
      </c>
      <c r="K1238" s="1">
        <v>0</v>
      </c>
      <c r="L1238" s="1">
        <v>0</v>
      </c>
      <c r="M1238" s="1">
        <v>0</v>
      </c>
      <c r="O1238" s="14">
        <v>0</v>
      </c>
      <c r="P1238" s="17">
        <f t="shared" si="68"/>
        <v>19803</v>
      </c>
      <c r="Q1238" s="1">
        <v>0</v>
      </c>
      <c r="R1238" s="1">
        <v>0</v>
      </c>
      <c r="S1238" s="20">
        <v>38777</v>
      </c>
      <c r="T1238" s="1">
        <v>20972</v>
      </c>
      <c r="U1238" s="9">
        <v>19803</v>
      </c>
      <c r="V1238" s="9" t="s">
        <v>21</v>
      </c>
    </row>
    <row r="1239" spans="1:22" x14ac:dyDescent="0.25">
      <c r="A1239" s="10" t="s">
        <v>38</v>
      </c>
      <c r="B1239" t="b">
        <v>0</v>
      </c>
      <c r="C1239" t="b">
        <v>0</v>
      </c>
      <c r="D1239" s="1">
        <v>1479</v>
      </c>
      <c r="E1239" s="1">
        <v>0</v>
      </c>
      <c r="F1239" s="1">
        <v>0</v>
      </c>
      <c r="G1239" s="1">
        <v>10397</v>
      </c>
      <c r="H1239" s="1">
        <v>9295</v>
      </c>
      <c r="I1239" s="1">
        <v>0</v>
      </c>
      <c r="J1239" s="3">
        <f t="shared" si="67"/>
        <v>19692</v>
      </c>
      <c r="K1239" s="1">
        <v>0</v>
      </c>
      <c r="L1239" s="1">
        <v>0</v>
      </c>
      <c r="M1239" s="1">
        <v>0</v>
      </c>
      <c r="O1239" s="14">
        <v>0</v>
      </c>
      <c r="P1239" s="17">
        <f t="shared" si="68"/>
        <v>19692</v>
      </c>
      <c r="Q1239" s="1">
        <v>0</v>
      </c>
      <c r="R1239" s="1">
        <v>0</v>
      </c>
      <c r="S1239" s="20">
        <v>38808</v>
      </c>
      <c r="T1239" s="1">
        <v>21171</v>
      </c>
      <c r="U1239" s="9">
        <v>19692</v>
      </c>
      <c r="V1239" s="9" t="s">
        <v>21</v>
      </c>
    </row>
    <row r="1240" spans="1:22" x14ac:dyDescent="0.25">
      <c r="A1240" s="10" t="s">
        <v>38</v>
      </c>
      <c r="B1240" t="b">
        <v>0</v>
      </c>
      <c r="C1240" t="b">
        <v>0</v>
      </c>
      <c r="D1240" s="1">
        <v>1163</v>
      </c>
      <c r="E1240" s="1">
        <v>0</v>
      </c>
      <c r="F1240" s="1">
        <v>0</v>
      </c>
      <c r="G1240" s="1">
        <v>10486</v>
      </c>
      <c r="H1240" s="1">
        <v>9137</v>
      </c>
      <c r="I1240" s="1">
        <v>0</v>
      </c>
      <c r="J1240" s="3">
        <f t="shared" si="67"/>
        <v>19623</v>
      </c>
      <c r="K1240" s="1">
        <v>0</v>
      </c>
      <c r="L1240" s="1">
        <v>0</v>
      </c>
      <c r="M1240" s="1">
        <v>0</v>
      </c>
      <c r="O1240" s="14">
        <v>0</v>
      </c>
      <c r="P1240" s="17">
        <f t="shared" si="68"/>
        <v>19623</v>
      </c>
      <c r="Q1240" s="1">
        <v>0</v>
      </c>
      <c r="R1240" s="1">
        <v>0</v>
      </c>
      <c r="S1240" s="20">
        <v>38838</v>
      </c>
      <c r="T1240" s="1">
        <v>20786</v>
      </c>
      <c r="U1240" s="9">
        <v>19623</v>
      </c>
      <c r="V1240" s="9" t="s">
        <v>21</v>
      </c>
    </row>
    <row r="1241" spans="1:22" x14ac:dyDescent="0.25">
      <c r="A1241" s="10" t="s">
        <v>38</v>
      </c>
      <c r="B1241" t="b">
        <v>0</v>
      </c>
      <c r="C1241" t="b">
        <v>0</v>
      </c>
      <c r="D1241" s="1">
        <v>1914</v>
      </c>
      <c r="E1241" s="1">
        <v>0</v>
      </c>
      <c r="F1241" s="1">
        <v>0</v>
      </c>
      <c r="G1241" s="1">
        <v>9587</v>
      </c>
      <c r="H1241" s="1">
        <v>8894</v>
      </c>
      <c r="I1241" s="1">
        <v>0</v>
      </c>
      <c r="J1241" s="3">
        <f t="shared" si="67"/>
        <v>18481</v>
      </c>
      <c r="K1241" s="1">
        <v>0</v>
      </c>
      <c r="L1241" s="1">
        <v>0</v>
      </c>
      <c r="M1241" s="1">
        <v>0</v>
      </c>
      <c r="O1241" s="14">
        <v>0</v>
      </c>
      <c r="P1241" s="17">
        <f t="shared" si="68"/>
        <v>18481</v>
      </c>
      <c r="Q1241" s="1">
        <v>0</v>
      </c>
      <c r="R1241" s="1">
        <v>0</v>
      </c>
      <c r="S1241" s="20">
        <v>38869</v>
      </c>
      <c r="T1241" s="1">
        <v>20395</v>
      </c>
      <c r="U1241" s="9">
        <v>18481</v>
      </c>
      <c r="V1241" s="9" t="s">
        <v>21</v>
      </c>
    </row>
    <row r="1242" spans="1:22" x14ac:dyDescent="0.25">
      <c r="A1242" s="10" t="s">
        <v>38</v>
      </c>
      <c r="B1242" t="b">
        <v>0</v>
      </c>
      <c r="C1242" t="b">
        <v>0</v>
      </c>
      <c r="D1242" s="1">
        <v>2427</v>
      </c>
      <c r="E1242" s="1">
        <v>0</v>
      </c>
      <c r="F1242" s="1">
        <v>0</v>
      </c>
      <c r="G1242" s="1">
        <v>9782</v>
      </c>
      <c r="H1242" s="1">
        <v>9538</v>
      </c>
      <c r="I1242" s="1">
        <v>0</v>
      </c>
      <c r="J1242" s="3">
        <f t="shared" si="67"/>
        <v>19320</v>
      </c>
      <c r="K1242" s="1">
        <v>0</v>
      </c>
      <c r="L1242" s="1">
        <v>0</v>
      </c>
      <c r="M1242" s="1">
        <v>0</v>
      </c>
      <c r="O1242" s="14">
        <v>0</v>
      </c>
      <c r="P1242" s="17">
        <f t="shared" si="68"/>
        <v>19320</v>
      </c>
      <c r="Q1242" s="1">
        <v>0</v>
      </c>
      <c r="R1242" s="1">
        <v>0</v>
      </c>
      <c r="S1242" s="20">
        <v>38899</v>
      </c>
      <c r="T1242" s="1">
        <v>21747</v>
      </c>
      <c r="U1242" s="9">
        <v>19320</v>
      </c>
      <c r="V1242" s="9" t="s">
        <v>21</v>
      </c>
    </row>
    <row r="1243" spans="1:22" x14ac:dyDescent="0.25">
      <c r="A1243" s="10" t="s">
        <v>38</v>
      </c>
      <c r="B1243" t="b">
        <v>0</v>
      </c>
      <c r="C1243" t="b">
        <v>0</v>
      </c>
      <c r="D1243" s="1">
        <v>2248</v>
      </c>
      <c r="E1243" s="1">
        <v>0</v>
      </c>
      <c r="F1243" s="1">
        <v>0</v>
      </c>
      <c r="G1243" s="1">
        <v>9228</v>
      </c>
      <c r="H1243" s="1">
        <v>9137</v>
      </c>
      <c r="I1243" s="1">
        <v>0</v>
      </c>
      <c r="J1243" s="3">
        <f t="shared" si="67"/>
        <v>18365</v>
      </c>
      <c r="K1243" s="1">
        <v>0</v>
      </c>
      <c r="L1243" s="1">
        <v>0</v>
      </c>
      <c r="M1243" s="1">
        <v>0</v>
      </c>
      <c r="O1243" s="14">
        <v>0</v>
      </c>
      <c r="P1243" s="17">
        <f t="shared" si="68"/>
        <v>18365</v>
      </c>
      <c r="Q1243" s="1">
        <v>0</v>
      </c>
      <c r="R1243" s="1">
        <v>0</v>
      </c>
      <c r="S1243" s="20">
        <v>38930</v>
      </c>
      <c r="T1243" s="1">
        <v>20613</v>
      </c>
      <c r="U1243" s="9">
        <v>18365</v>
      </c>
      <c r="V1243" s="9" t="s">
        <v>21</v>
      </c>
    </row>
    <row r="1244" spans="1:22" x14ac:dyDescent="0.25">
      <c r="A1244" s="10" t="s">
        <v>38</v>
      </c>
      <c r="B1244" t="b">
        <v>0</v>
      </c>
      <c r="C1244" t="b">
        <v>0</v>
      </c>
      <c r="D1244" s="1">
        <v>2784</v>
      </c>
      <c r="E1244" s="1">
        <v>0</v>
      </c>
      <c r="F1244" s="1">
        <v>0</v>
      </c>
      <c r="G1244" s="1">
        <v>5029</v>
      </c>
      <c r="H1244" s="1">
        <v>9037</v>
      </c>
      <c r="I1244" s="1">
        <v>0</v>
      </c>
      <c r="J1244" s="3">
        <f t="shared" si="67"/>
        <v>14066</v>
      </c>
      <c r="K1244" s="1">
        <v>0</v>
      </c>
      <c r="L1244" s="1">
        <v>0</v>
      </c>
      <c r="M1244" s="1">
        <v>0</v>
      </c>
      <c r="O1244" s="14">
        <v>0</v>
      </c>
      <c r="P1244" s="17">
        <f t="shared" si="68"/>
        <v>14066</v>
      </c>
      <c r="Q1244" s="1">
        <v>0</v>
      </c>
      <c r="R1244" s="1">
        <v>0</v>
      </c>
      <c r="S1244" s="20">
        <v>38961</v>
      </c>
      <c r="T1244" s="1">
        <v>16850</v>
      </c>
      <c r="U1244" s="9">
        <v>14066</v>
      </c>
      <c r="V1244" s="9" t="s">
        <v>21</v>
      </c>
    </row>
    <row r="1245" spans="1:22" x14ac:dyDescent="0.25">
      <c r="A1245" s="10" t="s">
        <v>38</v>
      </c>
      <c r="B1245" t="b">
        <v>0</v>
      </c>
      <c r="C1245" t="b">
        <v>0</v>
      </c>
      <c r="D1245" s="1">
        <v>2248</v>
      </c>
      <c r="E1245" s="1">
        <v>0</v>
      </c>
      <c r="F1245" s="1">
        <v>0</v>
      </c>
      <c r="G1245" s="1">
        <v>9872</v>
      </c>
      <c r="H1245" s="1">
        <v>9395</v>
      </c>
      <c r="I1245" s="1">
        <v>0</v>
      </c>
      <c r="J1245" s="3">
        <f t="shared" si="67"/>
        <v>19267</v>
      </c>
      <c r="K1245" s="1">
        <v>0</v>
      </c>
      <c r="L1245" s="1">
        <v>0</v>
      </c>
      <c r="M1245" s="1">
        <v>0</v>
      </c>
      <c r="O1245" s="14">
        <v>0</v>
      </c>
      <c r="P1245" s="17">
        <f t="shared" si="68"/>
        <v>19267</v>
      </c>
      <c r="Q1245" s="1">
        <v>0</v>
      </c>
      <c r="R1245" s="1">
        <v>0</v>
      </c>
      <c r="S1245" s="20">
        <v>38991</v>
      </c>
      <c r="T1245" s="1">
        <v>21515</v>
      </c>
      <c r="U1245" s="9">
        <v>19267</v>
      </c>
      <c r="V1245" s="9" t="s">
        <v>21</v>
      </c>
    </row>
    <row r="1246" spans="1:22" x14ac:dyDescent="0.25">
      <c r="A1246" s="10" t="s">
        <v>38</v>
      </c>
      <c r="B1246" t="b">
        <v>0</v>
      </c>
      <c r="C1246" t="b">
        <v>0</v>
      </c>
      <c r="D1246" s="1">
        <v>1044</v>
      </c>
      <c r="E1246" s="1">
        <v>0</v>
      </c>
      <c r="F1246" s="1">
        <v>0</v>
      </c>
      <c r="G1246" s="1">
        <v>10457</v>
      </c>
      <c r="H1246" s="1">
        <v>8894</v>
      </c>
      <c r="I1246" s="1">
        <v>0</v>
      </c>
      <c r="J1246" s="3">
        <f t="shared" si="67"/>
        <v>19351</v>
      </c>
      <c r="K1246" s="1">
        <v>0</v>
      </c>
      <c r="L1246" s="1">
        <v>0</v>
      </c>
      <c r="M1246" s="1">
        <v>0</v>
      </c>
      <c r="O1246" s="14">
        <v>0</v>
      </c>
      <c r="P1246" s="17">
        <f t="shared" si="68"/>
        <v>19351</v>
      </c>
      <c r="Q1246" s="1">
        <v>0</v>
      </c>
      <c r="R1246" s="1">
        <v>0</v>
      </c>
      <c r="S1246" s="20">
        <v>39022</v>
      </c>
      <c r="T1246" s="1">
        <v>20395</v>
      </c>
      <c r="U1246" s="9">
        <v>19351</v>
      </c>
      <c r="V1246" s="9" t="s">
        <v>21</v>
      </c>
    </row>
    <row r="1247" spans="1:22" x14ac:dyDescent="0.25">
      <c r="A1247" s="10" t="s">
        <v>38</v>
      </c>
      <c r="B1247" t="b">
        <v>0</v>
      </c>
      <c r="C1247" t="b">
        <v>0</v>
      </c>
      <c r="D1247" s="1">
        <v>809</v>
      </c>
      <c r="E1247" s="1">
        <v>0</v>
      </c>
      <c r="F1247" s="1">
        <v>0</v>
      </c>
      <c r="G1247" s="1">
        <v>11400</v>
      </c>
      <c r="H1247" s="1">
        <v>9538</v>
      </c>
      <c r="I1247" s="1">
        <v>0</v>
      </c>
      <c r="J1247" s="3">
        <f t="shared" ref="J1247:J1310" si="69">G1247+H1247</f>
        <v>20938</v>
      </c>
      <c r="K1247" s="1">
        <v>0</v>
      </c>
      <c r="L1247" s="1">
        <v>0</v>
      </c>
      <c r="M1247" s="1">
        <v>0</v>
      </c>
      <c r="O1247" s="14">
        <v>0</v>
      </c>
      <c r="P1247" s="17">
        <f t="shared" ref="P1247:P1310" si="70">J1247</f>
        <v>20938</v>
      </c>
      <c r="Q1247" s="1">
        <v>0</v>
      </c>
      <c r="R1247" s="1">
        <v>0</v>
      </c>
      <c r="S1247" s="20">
        <v>39052</v>
      </c>
      <c r="T1247" s="1">
        <v>21747</v>
      </c>
      <c r="U1247" s="9">
        <v>20938</v>
      </c>
      <c r="V1247" s="9" t="s">
        <v>21</v>
      </c>
    </row>
    <row r="1248" spans="1:22" x14ac:dyDescent="0.25">
      <c r="A1248" s="10" t="s">
        <v>38</v>
      </c>
      <c r="B1248" t="b">
        <v>0</v>
      </c>
      <c r="C1248" t="b">
        <v>0</v>
      </c>
      <c r="D1248" s="1">
        <v>1079</v>
      </c>
      <c r="E1248" s="1">
        <v>0</v>
      </c>
      <c r="F1248" s="1">
        <v>0</v>
      </c>
      <c r="G1248" s="1">
        <v>10756</v>
      </c>
      <c r="H1248" s="1">
        <v>9137</v>
      </c>
      <c r="I1248" s="1">
        <v>0</v>
      </c>
      <c r="J1248" s="3">
        <f t="shared" si="69"/>
        <v>19893</v>
      </c>
      <c r="K1248" s="1">
        <v>0</v>
      </c>
      <c r="L1248" s="1">
        <v>0</v>
      </c>
      <c r="M1248" s="1">
        <v>0</v>
      </c>
      <c r="O1248" s="14">
        <v>0</v>
      </c>
      <c r="P1248" s="17">
        <f t="shared" si="70"/>
        <v>19893</v>
      </c>
      <c r="Q1248" s="1">
        <v>0</v>
      </c>
      <c r="R1248" s="1">
        <v>0</v>
      </c>
      <c r="S1248" s="20">
        <v>39083</v>
      </c>
      <c r="T1248" s="1">
        <v>20972</v>
      </c>
      <c r="U1248" s="9">
        <v>19893</v>
      </c>
      <c r="V1248" s="9" t="s">
        <v>41</v>
      </c>
    </row>
    <row r="1249" spans="1:22" x14ac:dyDescent="0.25">
      <c r="A1249" s="10" t="s">
        <v>38</v>
      </c>
      <c r="B1249" t="b">
        <v>0</v>
      </c>
      <c r="C1249" t="b">
        <v>0</v>
      </c>
      <c r="D1249" s="1">
        <v>1137</v>
      </c>
      <c r="E1249" s="1">
        <v>0</v>
      </c>
      <c r="F1249" s="1">
        <v>0</v>
      </c>
      <c r="G1249" s="1">
        <v>9698</v>
      </c>
      <c r="H1249" s="1">
        <v>8408</v>
      </c>
      <c r="I1249" s="1">
        <v>0</v>
      </c>
      <c r="J1249" s="3">
        <f t="shared" si="69"/>
        <v>18106</v>
      </c>
      <c r="K1249" s="1">
        <v>0</v>
      </c>
      <c r="L1249" s="1">
        <v>0</v>
      </c>
      <c r="M1249" s="1">
        <v>0</v>
      </c>
      <c r="O1249" s="14">
        <v>0</v>
      </c>
      <c r="P1249" s="17">
        <f t="shared" si="70"/>
        <v>18106</v>
      </c>
      <c r="Q1249" s="1">
        <v>0</v>
      </c>
      <c r="R1249" s="1">
        <v>0</v>
      </c>
      <c r="S1249" s="20">
        <v>39114</v>
      </c>
      <c r="T1249" s="1">
        <v>19243</v>
      </c>
      <c r="U1249" s="9">
        <v>18106</v>
      </c>
      <c r="V1249" s="9" t="s">
        <v>41</v>
      </c>
    </row>
    <row r="1250" spans="1:22" x14ac:dyDescent="0.25">
      <c r="A1250" s="10" t="s">
        <v>38</v>
      </c>
      <c r="B1250" t="b">
        <v>0</v>
      </c>
      <c r="C1250" t="b">
        <v>0</v>
      </c>
      <c r="D1250" s="1">
        <v>1798</v>
      </c>
      <c r="E1250" s="1">
        <v>0</v>
      </c>
      <c r="F1250" s="1">
        <v>0</v>
      </c>
      <c r="G1250" s="1">
        <v>10127</v>
      </c>
      <c r="H1250" s="1">
        <v>9280</v>
      </c>
      <c r="I1250" s="1">
        <v>0</v>
      </c>
      <c r="J1250" s="3">
        <f t="shared" si="69"/>
        <v>19407</v>
      </c>
      <c r="K1250" s="1">
        <v>0</v>
      </c>
      <c r="L1250" s="1">
        <v>0</v>
      </c>
      <c r="M1250" s="1">
        <v>0</v>
      </c>
      <c r="O1250" s="14">
        <v>0</v>
      </c>
      <c r="P1250" s="17">
        <f t="shared" si="70"/>
        <v>19407</v>
      </c>
      <c r="Q1250" s="1">
        <v>0</v>
      </c>
      <c r="R1250" s="1">
        <v>0</v>
      </c>
      <c r="S1250" s="20">
        <v>39142</v>
      </c>
      <c r="T1250" s="1">
        <v>21205</v>
      </c>
      <c r="U1250" s="9">
        <v>19407</v>
      </c>
      <c r="V1250" s="9" t="s">
        <v>41</v>
      </c>
    </row>
    <row r="1251" spans="1:22" x14ac:dyDescent="0.25">
      <c r="A1251" s="10" t="s">
        <v>38</v>
      </c>
      <c r="B1251" t="b">
        <v>0</v>
      </c>
      <c r="C1251" t="b">
        <v>0</v>
      </c>
      <c r="D1251" s="1">
        <v>2349</v>
      </c>
      <c r="E1251" s="1">
        <v>0</v>
      </c>
      <c r="F1251" s="1">
        <v>0</v>
      </c>
      <c r="G1251" s="1">
        <v>9437</v>
      </c>
      <c r="H1251" s="1">
        <v>9152</v>
      </c>
      <c r="I1251" s="1">
        <v>0</v>
      </c>
      <c r="J1251" s="3">
        <f t="shared" si="69"/>
        <v>18589</v>
      </c>
      <c r="K1251" s="1">
        <v>0</v>
      </c>
      <c r="L1251" s="1">
        <v>0</v>
      </c>
      <c r="M1251" s="1">
        <v>0</v>
      </c>
      <c r="O1251" s="14">
        <v>0</v>
      </c>
      <c r="P1251" s="17">
        <f t="shared" si="70"/>
        <v>18589</v>
      </c>
      <c r="Q1251" s="1">
        <v>0</v>
      </c>
      <c r="R1251" s="1">
        <v>0</v>
      </c>
      <c r="S1251" s="20">
        <v>39173</v>
      </c>
      <c r="T1251" s="1">
        <v>20938</v>
      </c>
      <c r="U1251" s="9">
        <v>18589</v>
      </c>
      <c r="V1251" s="9" t="s">
        <v>41</v>
      </c>
    </row>
    <row r="1252" spans="1:22" x14ac:dyDescent="0.25">
      <c r="A1252" s="10" t="s">
        <v>38</v>
      </c>
      <c r="B1252" t="b">
        <v>0</v>
      </c>
      <c r="C1252" t="b">
        <v>0</v>
      </c>
      <c r="D1252" s="1">
        <v>2427</v>
      </c>
      <c r="E1252" s="1">
        <v>0</v>
      </c>
      <c r="F1252" s="1">
        <v>0</v>
      </c>
      <c r="G1252" s="1">
        <v>9408</v>
      </c>
      <c r="H1252" s="1">
        <v>9137</v>
      </c>
      <c r="I1252" s="1">
        <v>0</v>
      </c>
      <c r="J1252" s="3">
        <f t="shared" si="69"/>
        <v>18545</v>
      </c>
      <c r="K1252" s="1">
        <v>0</v>
      </c>
      <c r="L1252" s="1">
        <v>0</v>
      </c>
      <c r="M1252" s="1">
        <v>0</v>
      </c>
      <c r="O1252" s="14">
        <v>0</v>
      </c>
      <c r="P1252" s="17">
        <f t="shared" si="70"/>
        <v>18545</v>
      </c>
      <c r="Q1252" s="1">
        <v>0</v>
      </c>
      <c r="R1252" s="1">
        <v>0</v>
      </c>
      <c r="S1252" s="20">
        <v>39203</v>
      </c>
      <c r="T1252" s="1">
        <v>20972</v>
      </c>
      <c r="U1252" s="9">
        <v>18545</v>
      </c>
      <c r="V1252" s="9" t="s">
        <v>41</v>
      </c>
    </row>
    <row r="1253" spans="1:22" x14ac:dyDescent="0.25">
      <c r="A1253" s="10" t="s">
        <v>38</v>
      </c>
      <c r="B1253" t="b">
        <v>0</v>
      </c>
      <c r="C1253" t="b">
        <v>0</v>
      </c>
      <c r="D1253" s="1">
        <v>2088</v>
      </c>
      <c r="E1253" s="1">
        <v>0</v>
      </c>
      <c r="F1253" s="1">
        <v>0</v>
      </c>
      <c r="G1253" s="1">
        <v>9503</v>
      </c>
      <c r="H1253" s="1">
        <v>9037</v>
      </c>
      <c r="I1253" s="1">
        <v>0</v>
      </c>
      <c r="J1253" s="3">
        <f t="shared" si="69"/>
        <v>18540</v>
      </c>
      <c r="K1253" s="1">
        <v>0</v>
      </c>
      <c r="L1253" s="1">
        <v>0</v>
      </c>
      <c r="M1253" s="1">
        <v>0</v>
      </c>
      <c r="O1253" s="14">
        <v>0</v>
      </c>
      <c r="P1253" s="17">
        <f t="shared" si="70"/>
        <v>18540</v>
      </c>
      <c r="Q1253" s="1">
        <v>0</v>
      </c>
      <c r="R1253" s="1">
        <v>0</v>
      </c>
      <c r="S1253" s="20">
        <v>39234</v>
      </c>
      <c r="T1253" s="1">
        <v>20628</v>
      </c>
      <c r="U1253" s="9">
        <v>18540</v>
      </c>
      <c r="V1253" s="9" t="s">
        <v>41</v>
      </c>
    </row>
    <row r="1254" spans="1:22" x14ac:dyDescent="0.25">
      <c r="A1254" s="10" t="s">
        <v>38</v>
      </c>
      <c r="B1254" t="b">
        <v>0</v>
      </c>
      <c r="C1254" t="b">
        <v>0</v>
      </c>
      <c r="D1254" s="1">
        <v>2068</v>
      </c>
      <c r="E1254" s="1">
        <v>0</v>
      </c>
      <c r="F1254" s="1">
        <v>0</v>
      </c>
      <c r="G1254" s="1">
        <v>9767</v>
      </c>
      <c r="H1254" s="1">
        <v>9137</v>
      </c>
      <c r="I1254" s="1">
        <v>0</v>
      </c>
      <c r="J1254" s="3">
        <f t="shared" si="69"/>
        <v>18904</v>
      </c>
      <c r="K1254" s="1">
        <v>0</v>
      </c>
      <c r="L1254" s="1">
        <v>0</v>
      </c>
      <c r="M1254" s="1">
        <v>0</v>
      </c>
      <c r="O1254" s="14">
        <v>0</v>
      </c>
      <c r="P1254" s="17">
        <f t="shared" si="70"/>
        <v>18904</v>
      </c>
      <c r="Q1254" s="1">
        <v>0</v>
      </c>
      <c r="R1254" s="1">
        <v>0</v>
      </c>
      <c r="S1254" s="20">
        <v>39264</v>
      </c>
      <c r="T1254" s="1">
        <v>20972</v>
      </c>
      <c r="U1254" s="9">
        <v>18904</v>
      </c>
      <c r="V1254" s="9" t="s">
        <v>41</v>
      </c>
    </row>
    <row r="1255" spans="1:22" x14ac:dyDescent="0.25">
      <c r="A1255" s="10" t="s">
        <v>38</v>
      </c>
      <c r="B1255" t="b">
        <v>0</v>
      </c>
      <c r="C1255" t="b">
        <v>0</v>
      </c>
      <c r="D1255" s="1">
        <v>2337</v>
      </c>
      <c r="E1255" s="1">
        <v>0</v>
      </c>
      <c r="F1255" s="1">
        <v>0</v>
      </c>
      <c r="G1255" s="1">
        <v>9498</v>
      </c>
      <c r="H1255" s="1">
        <v>9137</v>
      </c>
      <c r="I1255" s="1">
        <v>0</v>
      </c>
      <c r="J1255" s="3">
        <f t="shared" si="69"/>
        <v>18635</v>
      </c>
      <c r="K1255" s="1">
        <v>0</v>
      </c>
      <c r="L1255" s="1">
        <v>0</v>
      </c>
      <c r="M1255" s="1">
        <v>0</v>
      </c>
      <c r="O1255" s="14">
        <v>0</v>
      </c>
      <c r="P1255" s="17">
        <f t="shared" si="70"/>
        <v>18635</v>
      </c>
      <c r="Q1255" s="1">
        <v>0</v>
      </c>
      <c r="R1255" s="1">
        <v>0</v>
      </c>
      <c r="S1255" s="20">
        <v>39295</v>
      </c>
      <c r="T1255" s="1">
        <v>20972</v>
      </c>
      <c r="U1255" s="9">
        <v>18635</v>
      </c>
      <c r="V1255" s="9" t="s">
        <v>41</v>
      </c>
    </row>
    <row r="1256" spans="1:22" x14ac:dyDescent="0.25">
      <c r="A1256" s="10" t="s">
        <v>38</v>
      </c>
      <c r="B1256" t="b">
        <v>0</v>
      </c>
      <c r="C1256" t="b">
        <v>0</v>
      </c>
      <c r="D1256" s="1">
        <v>2349</v>
      </c>
      <c r="E1256" s="1">
        <v>0</v>
      </c>
      <c r="F1256" s="1">
        <v>0</v>
      </c>
      <c r="G1256" s="1">
        <v>9527</v>
      </c>
      <c r="H1256" s="1">
        <v>9295</v>
      </c>
      <c r="I1256" s="1">
        <v>0</v>
      </c>
      <c r="J1256" s="3">
        <f t="shared" si="69"/>
        <v>18822</v>
      </c>
      <c r="K1256" s="1">
        <v>0</v>
      </c>
      <c r="L1256" s="1">
        <v>0</v>
      </c>
      <c r="M1256" s="1">
        <v>0</v>
      </c>
      <c r="O1256" s="14">
        <v>0</v>
      </c>
      <c r="P1256" s="17">
        <f t="shared" si="70"/>
        <v>18822</v>
      </c>
      <c r="Q1256" s="1">
        <v>0</v>
      </c>
      <c r="R1256" s="1">
        <v>0</v>
      </c>
      <c r="S1256" s="20">
        <v>39326</v>
      </c>
      <c r="T1256" s="1">
        <v>21171</v>
      </c>
      <c r="U1256" s="9">
        <v>18822</v>
      </c>
      <c r="V1256" s="9" t="s">
        <v>41</v>
      </c>
    </row>
    <row r="1257" spans="1:22" x14ac:dyDescent="0.25">
      <c r="A1257" s="10" t="s">
        <v>38</v>
      </c>
      <c r="B1257" t="b">
        <v>0</v>
      </c>
      <c r="C1257" t="b">
        <v>0</v>
      </c>
      <c r="D1257" s="1">
        <v>2068</v>
      </c>
      <c r="E1257" s="1">
        <v>0</v>
      </c>
      <c r="F1257" s="1">
        <v>0</v>
      </c>
      <c r="G1257" s="1">
        <v>9767</v>
      </c>
      <c r="H1257" s="1">
        <v>9137</v>
      </c>
      <c r="I1257" s="1">
        <v>0</v>
      </c>
      <c r="J1257" s="3">
        <f t="shared" si="69"/>
        <v>18904</v>
      </c>
      <c r="K1257" s="1">
        <v>0</v>
      </c>
      <c r="L1257" s="1">
        <v>0</v>
      </c>
      <c r="M1257" s="1">
        <v>0</v>
      </c>
      <c r="O1257" s="14">
        <v>0</v>
      </c>
      <c r="P1257" s="17">
        <f t="shared" si="70"/>
        <v>18904</v>
      </c>
      <c r="Q1257" s="1">
        <v>0</v>
      </c>
      <c r="R1257" s="1">
        <v>0</v>
      </c>
      <c r="S1257" s="20">
        <v>39356</v>
      </c>
      <c r="T1257" s="1">
        <v>20972</v>
      </c>
      <c r="U1257" s="9">
        <v>18904</v>
      </c>
      <c r="V1257" s="9" t="s">
        <v>41</v>
      </c>
    </row>
    <row r="1258" spans="1:22" x14ac:dyDescent="0.25">
      <c r="A1258" s="10" t="s">
        <v>38</v>
      </c>
      <c r="B1258" t="b">
        <v>0</v>
      </c>
      <c r="C1258" t="b">
        <v>0</v>
      </c>
      <c r="D1258" s="1">
        <v>1131</v>
      </c>
      <c r="E1258" s="1">
        <v>0</v>
      </c>
      <c r="F1258" s="1">
        <v>0</v>
      </c>
      <c r="G1258" s="1">
        <v>10370</v>
      </c>
      <c r="H1258" s="1">
        <v>8894</v>
      </c>
      <c r="I1258" s="1">
        <v>0</v>
      </c>
      <c r="J1258" s="3">
        <f t="shared" si="69"/>
        <v>19264</v>
      </c>
      <c r="K1258" s="1">
        <v>0</v>
      </c>
      <c r="L1258" s="1">
        <v>0</v>
      </c>
      <c r="M1258" s="1">
        <v>0</v>
      </c>
      <c r="O1258" s="14">
        <v>0</v>
      </c>
      <c r="P1258" s="17">
        <f t="shared" si="70"/>
        <v>19264</v>
      </c>
      <c r="Q1258" s="1">
        <v>0</v>
      </c>
      <c r="R1258" s="1">
        <v>0</v>
      </c>
      <c r="S1258" s="20">
        <v>39387</v>
      </c>
      <c r="T1258" s="1">
        <v>20395</v>
      </c>
      <c r="U1258" s="9">
        <v>19264</v>
      </c>
      <c r="V1258" s="9" t="s">
        <v>41</v>
      </c>
    </row>
    <row r="1259" spans="1:22" x14ac:dyDescent="0.25">
      <c r="A1259" s="10" t="s">
        <v>38</v>
      </c>
      <c r="B1259" t="b">
        <v>0</v>
      </c>
      <c r="C1259" t="b">
        <v>0</v>
      </c>
      <c r="D1259" s="1">
        <v>635</v>
      </c>
      <c r="E1259" s="1">
        <v>0</v>
      </c>
      <c r="F1259" s="1">
        <v>0</v>
      </c>
      <c r="G1259" s="1">
        <v>11580</v>
      </c>
      <c r="H1259" s="1">
        <v>9538</v>
      </c>
      <c r="I1259" s="1">
        <v>0</v>
      </c>
      <c r="J1259" s="3">
        <f t="shared" si="69"/>
        <v>21118</v>
      </c>
      <c r="K1259" s="1">
        <v>0</v>
      </c>
      <c r="L1259" s="1">
        <v>0</v>
      </c>
      <c r="M1259" s="1">
        <v>0</v>
      </c>
      <c r="O1259" s="14">
        <v>0</v>
      </c>
      <c r="P1259" s="17">
        <f t="shared" si="70"/>
        <v>21118</v>
      </c>
      <c r="Q1259" s="1">
        <v>0</v>
      </c>
      <c r="R1259" s="1">
        <v>0</v>
      </c>
      <c r="S1259" s="20">
        <v>39417</v>
      </c>
      <c r="T1259" s="1">
        <v>21753</v>
      </c>
      <c r="U1259" s="9">
        <v>21118</v>
      </c>
      <c r="V1259" s="9" t="s">
        <v>41</v>
      </c>
    </row>
    <row r="1260" spans="1:22" x14ac:dyDescent="0.25">
      <c r="A1260" s="10" t="s">
        <v>38</v>
      </c>
      <c r="B1260" t="b">
        <v>0</v>
      </c>
      <c r="C1260" t="b">
        <v>0</v>
      </c>
      <c r="D1260" s="1">
        <v>899</v>
      </c>
      <c r="E1260" s="1">
        <v>0</v>
      </c>
      <c r="F1260" s="1">
        <v>0</v>
      </c>
      <c r="G1260" s="1">
        <v>10953</v>
      </c>
      <c r="H1260" s="1">
        <v>9137</v>
      </c>
      <c r="I1260" s="1">
        <v>0</v>
      </c>
      <c r="J1260" s="3">
        <f t="shared" si="69"/>
        <v>20090</v>
      </c>
      <c r="K1260" s="1">
        <v>0</v>
      </c>
      <c r="L1260" s="1">
        <v>0</v>
      </c>
      <c r="M1260" s="1">
        <v>0</v>
      </c>
      <c r="O1260" s="14">
        <v>0</v>
      </c>
      <c r="P1260" s="17">
        <f t="shared" si="70"/>
        <v>20090</v>
      </c>
      <c r="Q1260" s="1">
        <v>0</v>
      </c>
      <c r="R1260" s="1">
        <v>0</v>
      </c>
      <c r="S1260" s="20">
        <v>39448</v>
      </c>
      <c r="T1260" s="1">
        <v>20989</v>
      </c>
      <c r="U1260" s="9">
        <v>20090</v>
      </c>
      <c r="V1260" s="9" t="s">
        <v>46</v>
      </c>
    </row>
    <row r="1261" spans="1:22" x14ac:dyDescent="0.25">
      <c r="A1261" s="10" t="s">
        <v>38</v>
      </c>
      <c r="B1261" t="b">
        <v>0</v>
      </c>
      <c r="C1261" t="b">
        <v>0</v>
      </c>
      <c r="D1261" s="1">
        <v>1177</v>
      </c>
      <c r="E1261" s="1">
        <v>0</v>
      </c>
      <c r="F1261" s="1">
        <v>0</v>
      </c>
      <c r="G1261" s="1">
        <v>9991</v>
      </c>
      <c r="H1261" s="1">
        <v>8651</v>
      </c>
      <c r="I1261" s="1">
        <v>0</v>
      </c>
      <c r="J1261" s="3">
        <f t="shared" si="69"/>
        <v>18642</v>
      </c>
      <c r="K1261" s="1">
        <v>0</v>
      </c>
      <c r="L1261" s="1">
        <v>0</v>
      </c>
      <c r="M1261" s="1">
        <v>0</v>
      </c>
      <c r="O1261" s="14">
        <v>0</v>
      </c>
      <c r="P1261" s="17">
        <f t="shared" si="70"/>
        <v>18642</v>
      </c>
      <c r="Q1261" s="1">
        <v>0</v>
      </c>
      <c r="R1261" s="1">
        <v>0</v>
      </c>
      <c r="S1261" s="20">
        <v>39479</v>
      </c>
      <c r="T1261" s="1">
        <v>19819</v>
      </c>
      <c r="U1261" s="9">
        <v>18642</v>
      </c>
      <c r="V1261" s="9" t="s">
        <v>46</v>
      </c>
    </row>
    <row r="1262" spans="1:22" x14ac:dyDescent="0.25">
      <c r="A1262" s="10" t="s">
        <v>38</v>
      </c>
      <c r="B1262" t="b">
        <v>0</v>
      </c>
      <c r="C1262" t="b">
        <v>0</v>
      </c>
      <c r="D1262" s="1">
        <v>2158</v>
      </c>
      <c r="E1262" s="1">
        <v>0</v>
      </c>
      <c r="F1262" s="1">
        <v>0</v>
      </c>
      <c r="G1262" s="1">
        <v>10051</v>
      </c>
      <c r="H1262" s="1">
        <v>9538</v>
      </c>
      <c r="I1262" s="1">
        <v>0</v>
      </c>
      <c r="J1262" s="3">
        <f t="shared" si="69"/>
        <v>19589</v>
      </c>
      <c r="K1262" s="1">
        <v>0</v>
      </c>
      <c r="L1262" s="1">
        <v>0</v>
      </c>
      <c r="M1262" s="1">
        <v>0</v>
      </c>
      <c r="O1262" s="14">
        <v>0</v>
      </c>
      <c r="P1262" s="17">
        <f t="shared" si="70"/>
        <v>19589</v>
      </c>
      <c r="Q1262" s="1">
        <v>0</v>
      </c>
      <c r="R1262" s="1">
        <v>0</v>
      </c>
      <c r="S1262" s="20">
        <v>39508</v>
      </c>
      <c r="T1262" s="1">
        <v>21747</v>
      </c>
      <c r="U1262" s="9">
        <v>19589</v>
      </c>
      <c r="V1262" s="9" t="s">
        <v>46</v>
      </c>
    </row>
    <row r="1263" spans="1:22" x14ac:dyDescent="0.25">
      <c r="A1263" s="10" t="s">
        <v>38</v>
      </c>
      <c r="B1263" t="b">
        <v>0</v>
      </c>
      <c r="C1263" t="b">
        <v>0</v>
      </c>
      <c r="D1263" s="1">
        <v>2175</v>
      </c>
      <c r="E1263" s="1">
        <v>0</v>
      </c>
      <c r="F1263" s="1">
        <v>0</v>
      </c>
      <c r="G1263" s="1">
        <v>9326</v>
      </c>
      <c r="H1263" s="1">
        <v>8894</v>
      </c>
      <c r="I1263" s="1">
        <v>0</v>
      </c>
      <c r="J1263" s="3">
        <f t="shared" si="69"/>
        <v>18220</v>
      </c>
      <c r="K1263" s="1">
        <v>0</v>
      </c>
      <c r="L1263" s="1">
        <v>0</v>
      </c>
      <c r="M1263" s="1">
        <v>0</v>
      </c>
      <c r="O1263" s="14">
        <v>0</v>
      </c>
      <c r="P1263" s="17">
        <f t="shared" si="70"/>
        <v>18220</v>
      </c>
      <c r="Q1263" s="1">
        <v>0</v>
      </c>
      <c r="R1263" s="1">
        <v>0</v>
      </c>
      <c r="S1263" s="20">
        <v>39539</v>
      </c>
      <c r="T1263" s="1">
        <v>20395</v>
      </c>
      <c r="U1263" s="9">
        <v>18220</v>
      </c>
      <c r="V1263" s="9" t="s">
        <v>46</v>
      </c>
    </row>
    <row r="1264" spans="1:22" x14ac:dyDescent="0.25">
      <c r="A1264" s="10" t="s">
        <v>38</v>
      </c>
      <c r="B1264" t="b">
        <v>0</v>
      </c>
      <c r="C1264" t="b">
        <v>0</v>
      </c>
      <c r="D1264" s="1">
        <v>2517</v>
      </c>
      <c r="E1264" s="1">
        <v>0</v>
      </c>
      <c r="F1264" s="1">
        <v>0</v>
      </c>
      <c r="G1264" s="1">
        <v>9408</v>
      </c>
      <c r="H1264" s="1">
        <v>9280</v>
      </c>
      <c r="I1264" s="1">
        <v>0</v>
      </c>
      <c r="J1264" s="3">
        <f t="shared" si="69"/>
        <v>18688</v>
      </c>
      <c r="K1264" s="1">
        <v>0</v>
      </c>
      <c r="L1264" s="1">
        <v>0</v>
      </c>
      <c r="M1264" s="1">
        <v>0</v>
      </c>
      <c r="O1264" s="14">
        <v>0</v>
      </c>
      <c r="P1264" s="17">
        <f t="shared" si="70"/>
        <v>18688</v>
      </c>
      <c r="Q1264" s="1">
        <v>0</v>
      </c>
      <c r="R1264" s="1">
        <v>0</v>
      </c>
      <c r="S1264" s="20">
        <v>39569</v>
      </c>
      <c r="T1264" s="1">
        <v>21205</v>
      </c>
      <c r="U1264" s="9">
        <v>18688</v>
      </c>
      <c r="V1264" s="9" t="s">
        <v>46</v>
      </c>
    </row>
    <row r="1265" spans="1:22" x14ac:dyDescent="0.25">
      <c r="A1265" s="10" t="s">
        <v>38</v>
      </c>
      <c r="B1265" t="b">
        <v>0</v>
      </c>
      <c r="C1265" t="b">
        <v>0</v>
      </c>
      <c r="D1265" s="1">
        <v>1914</v>
      </c>
      <c r="E1265" s="1">
        <v>0</v>
      </c>
      <c r="F1265" s="1">
        <v>0</v>
      </c>
      <c r="G1265" s="1">
        <v>9872</v>
      </c>
      <c r="H1265" s="1">
        <v>9152</v>
      </c>
      <c r="I1265" s="1">
        <v>0</v>
      </c>
      <c r="J1265" s="3">
        <f t="shared" si="69"/>
        <v>19024</v>
      </c>
      <c r="K1265" s="1">
        <v>0</v>
      </c>
      <c r="L1265" s="1">
        <v>0</v>
      </c>
      <c r="M1265" s="1">
        <v>0</v>
      </c>
      <c r="O1265" s="14">
        <v>0</v>
      </c>
      <c r="P1265" s="17">
        <f t="shared" si="70"/>
        <v>19024</v>
      </c>
      <c r="Q1265" s="1">
        <v>0</v>
      </c>
      <c r="R1265" s="1">
        <v>0</v>
      </c>
      <c r="S1265" s="20">
        <v>39600</v>
      </c>
      <c r="T1265" s="1">
        <v>20938</v>
      </c>
      <c r="U1265" s="9">
        <v>19024</v>
      </c>
      <c r="V1265" s="9" t="s">
        <v>46</v>
      </c>
    </row>
    <row r="1266" spans="1:22" x14ac:dyDescent="0.25">
      <c r="A1266" s="10" t="s">
        <v>38</v>
      </c>
      <c r="B1266" t="b">
        <v>0</v>
      </c>
      <c r="C1266" t="b">
        <v>0</v>
      </c>
      <c r="D1266" s="1">
        <v>2248</v>
      </c>
      <c r="E1266" s="1">
        <v>0</v>
      </c>
      <c r="F1266" s="1">
        <v>0</v>
      </c>
      <c r="G1266" s="1">
        <v>9587</v>
      </c>
      <c r="H1266" s="1">
        <v>9137</v>
      </c>
      <c r="I1266" s="1">
        <v>0</v>
      </c>
      <c r="J1266" s="3">
        <f t="shared" si="69"/>
        <v>18724</v>
      </c>
      <c r="K1266" s="1">
        <v>0</v>
      </c>
      <c r="L1266" s="1">
        <v>0</v>
      </c>
      <c r="M1266" s="1">
        <v>0</v>
      </c>
      <c r="O1266" s="14">
        <v>0</v>
      </c>
      <c r="P1266" s="17">
        <f t="shared" si="70"/>
        <v>18724</v>
      </c>
      <c r="Q1266" s="1">
        <v>0</v>
      </c>
      <c r="R1266" s="1">
        <v>0</v>
      </c>
      <c r="S1266" s="20">
        <v>39630</v>
      </c>
      <c r="T1266" s="1">
        <v>20972</v>
      </c>
      <c r="U1266" s="9">
        <v>18724</v>
      </c>
      <c r="V1266" s="9" t="s">
        <v>46</v>
      </c>
    </row>
    <row r="1267" spans="1:22" x14ac:dyDescent="0.25">
      <c r="A1267" s="10" t="s">
        <v>38</v>
      </c>
      <c r="B1267" t="b">
        <v>0</v>
      </c>
      <c r="C1267" t="b">
        <v>0</v>
      </c>
      <c r="D1267" s="1">
        <v>2427</v>
      </c>
      <c r="E1267" s="1">
        <v>0</v>
      </c>
      <c r="F1267" s="1">
        <v>0</v>
      </c>
      <c r="G1267" s="1">
        <v>9782</v>
      </c>
      <c r="H1267" s="1">
        <v>9538</v>
      </c>
      <c r="I1267" s="1">
        <v>0</v>
      </c>
      <c r="J1267" s="3">
        <f t="shared" si="69"/>
        <v>19320</v>
      </c>
      <c r="K1267" s="1">
        <v>0</v>
      </c>
      <c r="L1267" s="1">
        <v>0</v>
      </c>
      <c r="M1267" s="1">
        <v>0</v>
      </c>
      <c r="O1267" s="14">
        <v>0</v>
      </c>
      <c r="P1267" s="17">
        <f t="shared" si="70"/>
        <v>19320</v>
      </c>
      <c r="Q1267" s="1">
        <v>0</v>
      </c>
      <c r="R1267" s="1">
        <v>0</v>
      </c>
      <c r="S1267" s="20">
        <v>39661</v>
      </c>
      <c r="T1267" s="1">
        <v>21747</v>
      </c>
      <c r="U1267" s="9">
        <v>19320</v>
      </c>
      <c r="V1267" s="9" t="s">
        <v>46</v>
      </c>
    </row>
    <row r="1268" spans="1:22" x14ac:dyDescent="0.25">
      <c r="A1268" s="10" t="s">
        <v>38</v>
      </c>
      <c r="B1268" t="b">
        <v>0</v>
      </c>
      <c r="C1268" t="b">
        <v>0</v>
      </c>
      <c r="D1268" s="1">
        <v>2088</v>
      </c>
      <c r="E1268" s="1">
        <v>0</v>
      </c>
      <c r="F1268" s="1">
        <v>0</v>
      </c>
      <c r="G1268" s="1">
        <v>9413</v>
      </c>
      <c r="H1268" s="1">
        <v>8894</v>
      </c>
      <c r="I1268" s="1">
        <v>0</v>
      </c>
      <c r="J1268" s="3">
        <f t="shared" si="69"/>
        <v>18307</v>
      </c>
      <c r="K1268" s="1">
        <v>0</v>
      </c>
      <c r="L1268" s="1">
        <v>0</v>
      </c>
      <c r="M1268" s="1">
        <v>0</v>
      </c>
      <c r="O1268" s="14">
        <v>0</v>
      </c>
      <c r="P1268" s="17">
        <f t="shared" si="70"/>
        <v>18307</v>
      </c>
      <c r="Q1268" s="1">
        <v>0</v>
      </c>
      <c r="R1268" s="1">
        <v>0</v>
      </c>
      <c r="S1268" s="20">
        <v>39692</v>
      </c>
      <c r="T1268" s="1">
        <v>20395</v>
      </c>
      <c r="U1268" s="9">
        <v>18307</v>
      </c>
      <c r="V1268" s="9" t="s">
        <v>46</v>
      </c>
    </row>
    <row r="1269" spans="1:22" x14ac:dyDescent="0.25">
      <c r="A1269" s="10" t="s">
        <v>38</v>
      </c>
      <c r="B1269" t="b">
        <v>0</v>
      </c>
      <c r="C1269" t="b">
        <v>0</v>
      </c>
      <c r="D1269" s="1">
        <v>2248</v>
      </c>
      <c r="E1269" s="1">
        <v>0</v>
      </c>
      <c r="F1269" s="1">
        <v>0</v>
      </c>
      <c r="G1269" s="1">
        <v>9587</v>
      </c>
      <c r="H1269" s="1">
        <v>9137</v>
      </c>
      <c r="I1269" s="1">
        <v>0</v>
      </c>
      <c r="J1269" s="3">
        <f t="shared" si="69"/>
        <v>18724</v>
      </c>
      <c r="K1269" s="1">
        <v>0</v>
      </c>
      <c r="L1269" s="1">
        <v>0</v>
      </c>
      <c r="M1269" s="1">
        <v>0</v>
      </c>
      <c r="O1269" s="14">
        <v>0</v>
      </c>
      <c r="P1269" s="17">
        <f t="shared" si="70"/>
        <v>18724</v>
      </c>
      <c r="Q1269" s="1">
        <v>0</v>
      </c>
      <c r="R1269" s="1">
        <v>0</v>
      </c>
      <c r="S1269" s="20">
        <v>39722</v>
      </c>
      <c r="T1269" s="1">
        <v>20972</v>
      </c>
      <c r="U1269" s="9">
        <v>18724</v>
      </c>
      <c r="V1269" s="9" t="s">
        <v>46</v>
      </c>
    </row>
    <row r="1270" spans="1:22" x14ac:dyDescent="0.25">
      <c r="A1270" s="10" t="s">
        <v>38</v>
      </c>
      <c r="B1270" t="b">
        <v>0</v>
      </c>
      <c r="C1270" t="b">
        <v>0</v>
      </c>
      <c r="D1270" s="1">
        <v>1320</v>
      </c>
      <c r="E1270" s="1">
        <v>0</v>
      </c>
      <c r="F1270" s="1">
        <v>0</v>
      </c>
      <c r="G1270" s="1">
        <v>8683</v>
      </c>
      <c r="H1270" s="1">
        <v>8025</v>
      </c>
      <c r="I1270" s="1">
        <v>0</v>
      </c>
      <c r="J1270" s="3">
        <f t="shared" si="69"/>
        <v>16708</v>
      </c>
      <c r="K1270" s="1">
        <v>0</v>
      </c>
      <c r="L1270" s="1">
        <v>0</v>
      </c>
      <c r="M1270" s="1">
        <v>0</v>
      </c>
      <c r="O1270" s="14">
        <v>0</v>
      </c>
      <c r="P1270" s="17">
        <f t="shared" si="70"/>
        <v>16708</v>
      </c>
      <c r="Q1270" s="1">
        <v>0</v>
      </c>
      <c r="R1270" s="1">
        <v>0</v>
      </c>
      <c r="S1270" s="20">
        <v>39753</v>
      </c>
      <c r="T1270" s="1">
        <v>18028</v>
      </c>
      <c r="U1270" s="9">
        <v>16708</v>
      </c>
      <c r="V1270" s="9" t="s">
        <v>46</v>
      </c>
    </row>
    <row r="1271" spans="1:22" x14ac:dyDescent="0.25">
      <c r="A1271" s="10" t="s">
        <v>38</v>
      </c>
      <c r="B1271" t="b">
        <v>0</v>
      </c>
      <c r="C1271" t="b">
        <v>0</v>
      </c>
      <c r="D1271" s="1">
        <v>774</v>
      </c>
      <c r="E1271" s="1">
        <v>0</v>
      </c>
      <c r="F1271" s="1">
        <v>0</v>
      </c>
      <c r="G1271" s="1">
        <v>8294</v>
      </c>
      <c r="H1271" s="1">
        <v>7800</v>
      </c>
      <c r="I1271" s="1">
        <v>0</v>
      </c>
      <c r="J1271" s="3">
        <f t="shared" si="69"/>
        <v>16094</v>
      </c>
      <c r="K1271" s="1">
        <v>0</v>
      </c>
      <c r="L1271" s="1">
        <v>0</v>
      </c>
      <c r="M1271" s="1">
        <v>0</v>
      </c>
      <c r="O1271" s="14">
        <v>0</v>
      </c>
      <c r="P1271" s="17">
        <f t="shared" si="70"/>
        <v>16094</v>
      </c>
      <c r="Q1271" s="1">
        <v>0</v>
      </c>
      <c r="R1271" s="1">
        <v>0</v>
      </c>
      <c r="S1271" s="20">
        <v>39783</v>
      </c>
      <c r="T1271" s="1">
        <v>16868</v>
      </c>
      <c r="U1271" s="9">
        <v>16094</v>
      </c>
      <c r="V1271" s="9" t="s">
        <v>46</v>
      </c>
    </row>
    <row r="1272" spans="1:22" x14ac:dyDescent="0.25">
      <c r="A1272" s="10" t="s">
        <v>38</v>
      </c>
      <c r="B1272" t="b">
        <v>0</v>
      </c>
      <c r="C1272" t="b">
        <v>0</v>
      </c>
      <c r="D1272" s="1">
        <v>832</v>
      </c>
      <c r="E1272" s="1">
        <v>0</v>
      </c>
      <c r="F1272" s="1">
        <v>0</v>
      </c>
      <c r="G1272" s="1">
        <v>10353</v>
      </c>
      <c r="H1272" s="1">
        <v>9030</v>
      </c>
      <c r="I1272" s="1">
        <v>0</v>
      </c>
      <c r="J1272" s="3">
        <f t="shared" si="69"/>
        <v>19383</v>
      </c>
      <c r="K1272" s="1">
        <v>0</v>
      </c>
      <c r="L1272" s="1">
        <v>0</v>
      </c>
      <c r="M1272" s="1">
        <v>0</v>
      </c>
      <c r="O1272" s="14">
        <v>0</v>
      </c>
      <c r="P1272" s="17">
        <f t="shared" si="70"/>
        <v>19383</v>
      </c>
      <c r="Q1272" s="1">
        <v>10</v>
      </c>
      <c r="R1272" s="1">
        <v>0</v>
      </c>
      <c r="S1272" s="20">
        <v>39814</v>
      </c>
      <c r="T1272" s="1">
        <v>20225</v>
      </c>
      <c r="U1272" s="9">
        <v>19383</v>
      </c>
      <c r="V1272" s="9" t="s">
        <v>41</v>
      </c>
    </row>
    <row r="1273" spans="1:22" x14ac:dyDescent="0.25">
      <c r="A1273" s="10" t="s">
        <v>38</v>
      </c>
      <c r="B1273" t="b">
        <v>0</v>
      </c>
      <c r="C1273" t="b">
        <v>0</v>
      </c>
      <c r="D1273" s="1">
        <v>966</v>
      </c>
      <c r="E1273" s="1">
        <v>0</v>
      </c>
      <c r="F1273" s="1">
        <v>0</v>
      </c>
      <c r="G1273" s="1">
        <v>7917</v>
      </c>
      <c r="H1273" s="1">
        <v>7020</v>
      </c>
      <c r="I1273" s="1">
        <v>0</v>
      </c>
      <c r="J1273" s="3">
        <f t="shared" si="69"/>
        <v>14937</v>
      </c>
      <c r="K1273" s="1">
        <v>0</v>
      </c>
      <c r="L1273" s="1">
        <v>0</v>
      </c>
      <c r="M1273" s="1">
        <v>0</v>
      </c>
      <c r="O1273" s="14">
        <v>0</v>
      </c>
      <c r="P1273" s="17">
        <f t="shared" si="70"/>
        <v>14937</v>
      </c>
      <c r="Q1273" s="1">
        <v>6</v>
      </c>
      <c r="R1273" s="1">
        <v>0</v>
      </c>
      <c r="S1273" s="20">
        <v>39845</v>
      </c>
      <c r="T1273" s="1">
        <v>15909</v>
      </c>
      <c r="U1273" s="9">
        <v>14937</v>
      </c>
      <c r="V1273" s="9" t="s">
        <v>41</v>
      </c>
    </row>
    <row r="1274" spans="1:22" x14ac:dyDescent="0.25">
      <c r="A1274" s="10" t="s">
        <v>38</v>
      </c>
      <c r="B1274" t="b">
        <v>0</v>
      </c>
      <c r="C1274" t="b">
        <v>0</v>
      </c>
      <c r="D1274" s="1">
        <v>1412</v>
      </c>
      <c r="E1274" s="1">
        <v>0</v>
      </c>
      <c r="F1274" s="1">
        <v>0</v>
      </c>
      <c r="G1274" s="1">
        <v>9324</v>
      </c>
      <c r="H1274" s="1">
        <v>8000</v>
      </c>
      <c r="I1274" s="1">
        <v>0</v>
      </c>
      <c r="J1274" s="3">
        <f t="shared" si="69"/>
        <v>17324</v>
      </c>
      <c r="K1274" s="1">
        <v>0</v>
      </c>
      <c r="L1274" s="1">
        <v>0</v>
      </c>
      <c r="M1274" s="1">
        <v>0</v>
      </c>
      <c r="O1274" s="14">
        <v>0</v>
      </c>
      <c r="P1274" s="17">
        <f t="shared" si="70"/>
        <v>17324</v>
      </c>
      <c r="Q1274" s="1">
        <v>22</v>
      </c>
      <c r="R1274" s="1">
        <v>0</v>
      </c>
      <c r="S1274" s="20">
        <v>39873</v>
      </c>
      <c r="T1274" s="1">
        <v>18758</v>
      </c>
      <c r="U1274" s="9">
        <v>17324</v>
      </c>
      <c r="V1274" s="9" t="s">
        <v>41</v>
      </c>
    </row>
    <row r="1275" spans="1:22" x14ac:dyDescent="0.25">
      <c r="A1275" s="10" t="s">
        <v>38</v>
      </c>
      <c r="B1275" t="b">
        <v>0</v>
      </c>
      <c r="C1275" t="b">
        <v>0</v>
      </c>
      <c r="D1275" s="1">
        <v>1894</v>
      </c>
      <c r="E1275" s="1">
        <v>0</v>
      </c>
      <c r="F1275" s="1">
        <v>0</v>
      </c>
      <c r="G1275" s="1">
        <v>9686</v>
      </c>
      <c r="H1275" s="1">
        <v>6600</v>
      </c>
      <c r="I1275" s="1">
        <v>0</v>
      </c>
      <c r="J1275" s="3">
        <f t="shared" si="69"/>
        <v>16286</v>
      </c>
      <c r="K1275" s="1">
        <v>0</v>
      </c>
      <c r="L1275" s="1">
        <v>0</v>
      </c>
      <c r="M1275" s="1">
        <v>0</v>
      </c>
      <c r="O1275" s="14">
        <v>0</v>
      </c>
      <c r="P1275" s="17">
        <f t="shared" si="70"/>
        <v>16286</v>
      </c>
      <c r="Q1275" s="1">
        <v>0</v>
      </c>
      <c r="R1275" s="1">
        <v>0</v>
      </c>
      <c r="S1275" s="20">
        <v>39904</v>
      </c>
      <c r="T1275" s="1">
        <v>18180</v>
      </c>
      <c r="U1275" s="9">
        <v>16286</v>
      </c>
      <c r="V1275" s="9" t="s">
        <v>41</v>
      </c>
    </row>
    <row r="1276" spans="1:22" x14ac:dyDescent="0.25">
      <c r="A1276" s="10" t="s">
        <v>38</v>
      </c>
      <c r="B1276" t="b">
        <v>0</v>
      </c>
      <c r="C1276" t="b">
        <v>0</v>
      </c>
      <c r="D1276" s="1">
        <v>2535</v>
      </c>
      <c r="E1276" s="1">
        <v>0</v>
      </c>
      <c r="F1276" s="1">
        <v>0</v>
      </c>
      <c r="G1276" s="1">
        <v>10498</v>
      </c>
      <c r="H1276" s="1">
        <v>7200</v>
      </c>
      <c r="I1276" s="1">
        <v>0</v>
      </c>
      <c r="J1276" s="3">
        <f t="shared" si="69"/>
        <v>17698</v>
      </c>
      <c r="K1276" s="1">
        <v>0</v>
      </c>
      <c r="L1276" s="1">
        <v>0</v>
      </c>
      <c r="M1276" s="1">
        <v>0</v>
      </c>
      <c r="O1276" s="14">
        <v>0</v>
      </c>
      <c r="P1276" s="17">
        <f t="shared" si="70"/>
        <v>17698</v>
      </c>
      <c r="Q1276" s="1">
        <v>9</v>
      </c>
      <c r="R1276" s="1">
        <v>0</v>
      </c>
      <c r="S1276" s="20">
        <v>39934</v>
      </c>
      <c r="T1276" s="1">
        <v>20242</v>
      </c>
      <c r="U1276" s="9">
        <v>17698</v>
      </c>
      <c r="V1276" s="9" t="s">
        <v>41</v>
      </c>
    </row>
    <row r="1277" spans="1:22" x14ac:dyDescent="0.25">
      <c r="A1277" s="10" t="s">
        <v>38</v>
      </c>
      <c r="B1277" t="b">
        <v>0</v>
      </c>
      <c r="C1277" t="b">
        <v>0</v>
      </c>
      <c r="D1277" s="1">
        <v>1821</v>
      </c>
      <c r="E1277" s="1">
        <v>0</v>
      </c>
      <c r="F1277" s="1">
        <v>0</v>
      </c>
      <c r="G1277" s="1">
        <v>9947</v>
      </c>
      <c r="H1277" s="1">
        <v>6800</v>
      </c>
      <c r="I1277" s="1">
        <v>0</v>
      </c>
      <c r="J1277" s="3">
        <f t="shared" si="69"/>
        <v>16747</v>
      </c>
      <c r="K1277" s="1">
        <v>0</v>
      </c>
      <c r="L1277" s="1">
        <v>0</v>
      </c>
      <c r="M1277" s="1">
        <v>0</v>
      </c>
      <c r="O1277" s="14">
        <v>0</v>
      </c>
      <c r="P1277" s="17">
        <f t="shared" si="70"/>
        <v>16747</v>
      </c>
      <c r="Q1277" s="1">
        <v>20</v>
      </c>
      <c r="R1277" s="1">
        <v>0</v>
      </c>
      <c r="S1277" s="20">
        <v>39965</v>
      </c>
      <c r="T1277" s="1">
        <v>18588</v>
      </c>
      <c r="U1277" s="9">
        <v>16747</v>
      </c>
      <c r="V1277" s="9" t="s">
        <v>41</v>
      </c>
    </row>
    <row r="1278" spans="1:22" x14ac:dyDescent="0.25">
      <c r="A1278" s="10" t="s">
        <v>38</v>
      </c>
      <c r="B1278" t="b">
        <v>0</v>
      </c>
      <c r="C1278" t="b">
        <v>0</v>
      </c>
      <c r="D1278" s="1">
        <v>2216</v>
      </c>
      <c r="E1278" s="1">
        <v>0</v>
      </c>
      <c r="F1278" s="1">
        <v>0</v>
      </c>
      <c r="G1278" s="1">
        <v>10092</v>
      </c>
      <c r="H1278" s="1">
        <v>7000</v>
      </c>
      <c r="I1278" s="1">
        <v>0</v>
      </c>
      <c r="J1278" s="3">
        <f t="shared" si="69"/>
        <v>17092</v>
      </c>
      <c r="K1278" s="1">
        <v>0</v>
      </c>
      <c r="L1278" s="1">
        <v>0</v>
      </c>
      <c r="M1278" s="1">
        <v>0</v>
      </c>
      <c r="O1278" s="14">
        <v>0</v>
      </c>
      <c r="P1278" s="17">
        <f t="shared" si="70"/>
        <v>17092</v>
      </c>
      <c r="Q1278" s="1">
        <v>17</v>
      </c>
      <c r="R1278" s="1">
        <v>0</v>
      </c>
      <c r="S1278" s="20">
        <v>39995</v>
      </c>
      <c r="T1278" s="1">
        <v>19325</v>
      </c>
      <c r="U1278" s="9">
        <v>17092</v>
      </c>
      <c r="V1278" s="9" t="s">
        <v>41</v>
      </c>
    </row>
    <row r="1279" spans="1:22" x14ac:dyDescent="0.25">
      <c r="A1279" s="10" t="s">
        <v>38</v>
      </c>
      <c r="B1279" t="b">
        <v>0</v>
      </c>
      <c r="C1279" t="b">
        <v>0</v>
      </c>
      <c r="D1279" s="1">
        <v>2079</v>
      </c>
      <c r="E1279" s="1">
        <v>0</v>
      </c>
      <c r="F1279" s="1">
        <v>0</v>
      </c>
      <c r="G1279" s="1">
        <v>10295</v>
      </c>
      <c r="H1279" s="1">
        <v>6950</v>
      </c>
      <c r="I1279" s="1">
        <v>0</v>
      </c>
      <c r="J1279" s="3">
        <f t="shared" si="69"/>
        <v>17245</v>
      </c>
      <c r="K1279" s="1">
        <v>0</v>
      </c>
      <c r="L1279" s="1">
        <v>0</v>
      </c>
      <c r="M1279" s="1">
        <v>0</v>
      </c>
      <c r="O1279" s="14">
        <v>0</v>
      </c>
      <c r="P1279" s="17">
        <f t="shared" si="70"/>
        <v>17245</v>
      </c>
      <c r="Q1279" s="1">
        <v>24</v>
      </c>
      <c r="R1279" s="1">
        <v>0</v>
      </c>
      <c r="S1279" s="20">
        <v>40026</v>
      </c>
      <c r="T1279" s="1">
        <v>19348</v>
      </c>
      <c r="U1279" s="9">
        <v>17245</v>
      </c>
      <c r="V1279" s="9" t="s">
        <v>41</v>
      </c>
    </row>
    <row r="1280" spans="1:22" x14ac:dyDescent="0.25">
      <c r="A1280" s="10" t="s">
        <v>38</v>
      </c>
      <c r="B1280" t="b">
        <v>0</v>
      </c>
      <c r="C1280" t="b">
        <v>0</v>
      </c>
      <c r="D1280" s="1">
        <v>1902</v>
      </c>
      <c r="E1280" s="1">
        <v>0</v>
      </c>
      <c r="F1280" s="1">
        <v>0</v>
      </c>
      <c r="G1280" s="1">
        <v>10034</v>
      </c>
      <c r="H1280" s="1">
        <v>6800</v>
      </c>
      <c r="I1280" s="1">
        <v>0</v>
      </c>
      <c r="J1280" s="3">
        <f t="shared" si="69"/>
        <v>16834</v>
      </c>
      <c r="K1280" s="1">
        <v>0</v>
      </c>
      <c r="L1280" s="1">
        <v>0</v>
      </c>
      <c r="M1280" s="1">
        <v>0</v>
      </c>
      <c r="O1280" s="14">
        <v>0</v>
      </c>
      <c r="P1280" s="17">
        <f t="shared" si="70"/>
        <v>16834</v>
      </c>
      <c r="Q1280" s="1">
        <v>15</v>
      </c>
      <c r="R1280" s="1">
        <v>0</v>
      </c>
      <c r="S1280" s="20">
        <v>40057</v>
      </c>
      <c r="T1280" s="1">
        <v>18751</v>
      </c>
      <c r="U1280" s="9">
        <v>16834</v>
      </c>
      <c r="V1280" s="9" t="s">
        <v>41</v>
      </c>
    </row>
    <row r="1281" spans="1:22" x14ac:dyDescent="0.25">
      <c r="A1281" s="10" t="s">
        <v>38</v>
      </c>
      <c r="B1281" t="b">
        <v>0</v>
      </c>
      <c r="C1281" t="b">
        <v>0</v>
      </c>
      <c r="D1281" s="1">
        <v>1157</v>
      </c>
      <c r="E1281" s="1">
        <v>0</v>
      </c>
      <c r="F1281" s="1">
        <v>0</v>
      </c>
      <c r="G1281" s="1">
        <v>8802</v>
      </c>
      <c r="H1281" s="1">
        <v>6050</v>
      </c>
      <c r="I1281" s="1">
        <v>0</v>
      </c>
      <c r="J1281" s="3">
        <f t="shared" si="69"/>
        <v>14852</v>
      </c>
      <c r="K1281" s="1">
        <v>0</v>
      </c>
      <c r="L1281" s="1">
        <v>0</v>
      </c>
      <c r="M1281" s="1">
        <v>0</v>
      </c>
      <c r="O1281" s="14">
        <v>0</v>
      </c>
      <c r="P1281" s="17">
        <f t="shared" si="70"/>
        <v>14852</v>
      </c>
      <c r="Q1281" s="1">
        <v>9</v>
      </c>
      <c r="R1281" s="1">
        <v>0</v>
      </c>
      <c r="S1281" s="20">
        <v>40087</v>
      </c>
      <c r="T1281" s="1">
        <v>16018</v>
      </c>
      <c r="U1281" s="9">
        <v>14852</v>
      </c>
      <c r="V1281" s="9" t="s">
        <v>41</v>
      </c>
    </row>
    <row r="1282" spans="1:22" x14ac:dyDescent="0.25">
      <c r="A1282" s="10" t="s">
        <v>38</v>
      </c>
      <c r="B1282" t="b">
        <v>0</v>
      </c>
      <c r="C1282" t="b">
        <v>0</v>
      </c>
      <c r="D1282" s="1">
        <v>1148</v>
      </c>
      <c r="E1282" s="1">
        <v>0</v>
      </c>
      <c r="F1282" s="1">
        <v>0</v>
      </c>
      <c r="G1282" s="1">
        <v>8352</v>
      </c>
      <c r="H1282" s="1">
        <v>5650</v>
      </c>
      <c r="I1282" s="1">
        <v>0</v>
      </c>
      <c r="J1282" s="3">
        <f t="shared" si="69"/>
        <v>14002</v>
      </c>
      <c r="K1282" s="1">
        <v>0</v>
      </c>
      <c r="L1282" s="1">
        <v>0</v>
      </c>
      <c r="M1282" s="1">
        <v>0</v>
      </c>
      <c r="O1282" s="14">
        <v>0</v>
      </c>
      <c r="P1282" s="17">
        <f t="shared" si="70"/>
        <v>14002</v>
      </c>
      <c r="Q1282" s="1">
        <v>10</v>
      </c>
      <c r="R1282" s="1">
        <v>0</v>
      </c>
      <c r="S1282" s="20">
        <v>40118</v>
      </c>
      <c r="T1282" s="1">
        <v>15160</v>
      </c>
      <c r="U1282" s="9">
        <v>14002</v>
      </c>
      <c r="V1282" s="9" t="s">
        <v>41</v>
      </c>
    </row>
    <row r="1283" spans="1:22" x14ac:dyDescent="0.25">
      <c r="A1283" s="10" t="s">
        <v>38</v>
      </c>
      <c r="B1283" t="b">
        <v>0</v>
      </c>
      <c r="C1283" t="b">
        <v>0</v>
      </c>
      <c r="D1283" s="1">
        <v>711</v>
      </c>
      <c r="E1283" s="1">
        <v>0</v>
      </c>
      <c r="F1283" s="1">
        <v>0</v>
      </c>
      <c r="G1283" s="1">
        <v>7685</v>
      </c>
      <c r="H1283" s="1">
        <v>3400</v>
      </c>
      <c r="I1283" s="1">
        <v>0</v>
      </c>
      <c r="J1283" s="3">
        <f t="shared" si="69"/>
        <v>11085</v>
      </c>
      <c r="K1283" s="1">
        <v>0</v>
      </c>
      <c r="L1283" s="1">
        <v>0</v>
      </c>
      <c r="M1283" s="1">
        <v>0</v>
      </c>
      <c r="O1283" s="14">
        <v>0</v>
      </c>
      <c r="P1283" s="17">
        <f t="shared" si="70"/>
        <v>11085</v>
      </c>
      <c r="Q1283" s="1">
        <v>3</v>
      </c>
      <c r="R1283" s="1">
        <v>0</v>
      </c>
      <c r="S1283" s="20">
        <v>40148</v>
      </c>
      <c r="T1283" s="1">
        <v>11799</v>
      </c>
      <c r="U1283" s="9">
        <v>11085</v>
      </c>
      <c r="V1283" s="9" t="s">
        <v>41</v>
      </c>
    </row>
    <row r="1284" spans="1:22" x14ac:dyDescent="0.25">
      <c r="A1284" s="10" t="s">
        <v>38</v>
      </c>
      <c r="B1284" t="b">
        <v>0</v>
      </c>
      <c r="C1284" t="b">
        <v>0</v>
      </c>
      <c r="D1284" s="1">
        <v>216</v>
      </c>
      <c r="E1284" s="1">
        <v>0</v>
      </c>
      <c r="F1284" s="1">
        <v>0</v>
      </c>
      <c r="G1284" s="1">
        <v>2690</v>
      </c>
      <c r="H1284" s="1">
        <v>3475</v>
      </c>
      <c r="I1284" s="1">
        <v>0</v>
      </c>
      <c r="J1284" s="3">
        <f t="shared" si="69"/>
        <v>6165</v>
      </c>
      <c r="K1284" s="1">
        <v>0</v>
      </c>
      <c r="L1284" s="1">
        <v>0</v>
      </c>
      <c r="M1284" s="1">
        <v>0</v>
      </c>
      <c r="O1284" s="14">
        <v>0</v>
      </c>
      <c r="P1284" s="17">
        <f t="shared" si="70"/>
        <v>6165</v>
      </c>
      <c r="Q1284" s="1">
        <v>7</v>
      </c>
      <c r="R1284" s="1">
        <v>0</v>
      </c>
      <c r="S1284" s="20">
        <v>40179</v>
      </c>
      <c r="T1284" s="1">
        <v>6388</v>
      </c>
      <c r="U1284" s="9">
        <v>6165</v>
      </c>
      <c r="V1284" s="9" t="s">
        <v>21</v>
      </c>
    </row>
    <row r="1285" spans="1:22" x14ac:dyDescent="0.25">
      <c r="A1285" s="10" t="s">
        <v>38</v>
      </c>
      <c r="B1285" t="b">
        <v>0</v>
      </c>
      <c r="C1285" t="b">
        <v>0</v>
      </c>
      <c r="D1285" s="1">
        <v>934</v>
      </c>
      <c r="E1285" s="1">
        <v>0</v>
      </c>
      <c r="F1285" s="1">
        <v>0</v>
      </c>
      <c r="G1285" s="1">
        <v>6989</v>
      </c>
      <c r="H1285" s="1">
        <v>3100</v>
      </c>
      <c r="I1285" s="1">
        <v>0</v>
      </c>
      <c r="J1285" s="3">
        <f t="shared" si="69"/>
        <v>10089</v>
      </c>
      <c r="K1285" s="1">
        <v>0</v>
      </c>
      <c r="L1285" s="1">
        <v>0</v>
      </c>
      <c r="M1285" s="1">
        <v>0</v>
      </c>
      <c r="O1285" s="14">
        <v>0</v>
      </c>
      <c r="P1285" s="17">
        <f t="shared" si="70"/>
        <v>10089</v>
      </c>
      <c r="Q1285" s="1">
        <v>10</v>
      </c>
      <c r="R1285" s="1">
        <v>0</v>
      </c>
      <c r="S1285" s="20">
        <v>40210</v>
      </c>
      <c r="T1285" s="1">
        <v>11033</v>
      </c>
      <c r="U1285" s="9">
        <v>10089</v>
      </c>
      <c r="V1285" s="9" t="s">
        <v>21</v>
      </c>
    </row>
    <row r="1286" spans="1:22" x14ac:dyDescent="0.25">
      <c r="A1286" s="10" t="s">
        <v>38</v>
      </c>
      <c r="B1286" t="b">
        <v>0</v>
      </c>
      <c r="C1286" t="b">
        <v>0</v>
      </c>
      <c r="D1286" s="1">
        <v>1244</v>
      </c>
      <c r="E1286" s="1">
        <v>0</v>
      </c>
      <c r="F1286" s="1">
        <v>0</v>
      </c>
      <c r="G1286" s="1">
        <v>9459</v>
      </c>
      <c r="H1286" s="1">
        <v>3980</v>
      </c>
      <c r="I1286" s="1">
        <v>0</v>
      </c>
      <c r="J1286" s="3">
        <f t="shared" si="69"/>
        <v>13439</v>
      </c>
      <c r="K1286" s="1">
        <v>0</v>
      </c>
      <c r="L1286" s="1">
        <v>0</v>
      </c>
      <c r="M1286" s="1">
        <v>0</v>
      </c>
      <c r="O1286" s="14">
        <v>0</v>
      </c>
      <c r="P1286" s="17">
        <f t="shared" si="70"/>
        <v>13439</v>
      </c>
      <c r="Q1286" s="1">
        <v>12</v>
      </c>
      <c r="R1286" s="1">
        <v>0</v>
      </c>
      <c r="S1286" s="20">
        <v>40238</v>
      </c>
      <c r="T1286" s="1">
        <v>14695</v>
      </c>
      <c r="U1286" s="9">
        <v>13439</v>
      </c>
      <c r="V1286" s="9" t="s">
        <v>21</v>
      </c>
    </row>
    <row r="1287" spans="1:22" x14ac:dyDescent="0.25">
      <c r="A1287" s="10" t="s">
        <v>38</v>
      </c>
      <c r="B1287" t="b">
        <v>0</v>
      </c>
      <c r="C1287" t="b">
        <v>0</v>
      </c>
      <c r="D1287" s="1">
        <v>1195</v>
      </c>
      <c r="E1287" s="1">
        <v>0</v>
      </c>
      <c r="F1287" s="1">
        <v>0</v>
      </c>
      <c r="G1287" s="1">
        <v>9454</v>
      </c>
      <c r="H1287" s="1">
        <v>3980</v>
      </c>
      <c r="I1287" s="1">
        <v>0</v>
      </c>
      <c r="J1287" s="3">
        <f t="shared" si="69"/>
        <v>13434</v>
      </c>
      <c r="K1287" s="1">
        <v>0</v>
      </c>
      <c r="L1287" s="1">
        <v>0</v>
      </c>
      <c r="M1287" s="1">
        <v>0</v>
      </c>
      <c r="O1287" s="14">
        <v>0</v>
      </c>
      <c r="P1287" s="17">
        <f t="shared" si="70"/>
        <v>13434</v>
      </c>
      <c r="Q1287" s="1">
        <v>12</v>
      </c>
      <c r="R1287" s="1">
        <v>0</v>
      </c>
      <c r="S1287" s="20">
        <v>40269</v>
      </c>
      <c r="T1287" s="1">
        <v>14641</v>
      </c>
      <c r="U1287" s="9">
        <v>13434</v>
      </c>
      <c r="V1287" s="9" t="s">
        <v>21</v>
      </c>
    </row>
    <row r="1288" spans="1:22" x14ac:dyDescent="0.25">
      <c r="A1288" s="10" t="s">
        <v>38</v>
      </c>
      <c r="B1288" t="b">
        <v>0</v>
      </c>
      <c r="C1288" t="b">
        <v>0</v>
      </c>
      <c r="D1288" s="1">
        <v>1433</v>
      </c>
      <c r="E1288" s="1">
        <v>0</v>
      </c>
      <c r="F1288" s="1">
        <v>0</v>
      </c>
      <c r="G1288" s="1">
        <v>11249</v>
      </c>
      <c r="H1288" s="1">
        <v>6750</v>
      </c>
      <c r="I1288" s="1">
        <v>0</v>
      </c>
      <c r="J1288" s="3">
        <f t="shared" si="69"/>
        <v>17999</v>
      </c>
      <c r="K1288" s="1">
        <v>0</v>
      </c>
      <c r="L1288" s="1">
        <v>0</v>
      </c>
      <c r="M1288" s="1">
        <v>0</v>
      </c>
      <c r="O1288" s="14">
        <v>0</v>
      </c>
      <c r="P1288" s="17">
        <f t="shared" si="70"/>
        <v>17999</v>
      </c>
      <c r="Q1288" s="1">
        <v>7</v>
      </c>
      <c r="R1288" s="1">
        <v>0</v>
      </c>
      <c r="S1288" s="20">
        <v>40299</v>
      </c>
      <c r="T1288" s="1">
        <v>19439</v>
      </c>
      <c r="U1288" s="9">
        <v>17999</v>
      </c>
      <c r="V1288" s="9" t="s">
        <v>21</v>
      </c>
    </row>
    <row r="1289" spans="1:22" x14ac:dyDescent="0.25">
      <c r="A1289" s="10" t="s">
        <v>38</v>
      </c>
      <c r="B1289" t="b">
        <v>0</v>
      </c>
      <c r="C1289" t="b">
        <v>0</v>
      </c>
      <c r="D1289" s="1">
        <v>1215</v>
      </c>
      <c r="E1289" s="1">
        <v>0</v>
      </c>
      <c r="F1289" s="1">
        <v>0</v>
      </c>
      <c r="G1289" s="1">
        <v>9280</v>
      </c>
      <c r="H1289" s="1">
        <v>3930</v>
      </c>
      <c r="I1289" s="1">
        <v>0</v>
      </c>
      <c r="J1289" s="3">
        <f t="shared" si="69"/>
        <v>13210</v>
      </c>
      <c r="K1289" s="1">
        <v>0</v>
      </c>
      <c r="L1289" s="1">
        <v>0</v>
      </c>
      <c r="M1289" s="1">
        <v>0</v>
      </c>
      <c r="O1289" s="14">
        <v>0</v>
      </c>
      <c r="P1289" s="17">
        <f t="shared" si="70"/>
        <v>13210</v>
      </c>
      <c r="Q1289" s="1">
        <v>15</v>
      </c>
      <c r="R1289" s="1">
        <v>0</v>
      </c>
      <c r="S1289" s="20">
        <v>40330</v>
      </c>
      <c r="T1289" s="1">
        <v>14440</v>
      </c>
      <c r="U1289" s="9">
        <v>13210</v>
      </c>
      <c r="V1289" s="9" t="s">
        <v>21</v>
      </c>
    </row>
    <row r="1290" spans="1:22" x14ac:dyDescent="0.25">
      <c r="A1290" s="10" t="s">
        <v>38</v>
      </c>
      <c r="B1290" t="b">
        <v>0</v>
      </c>
      <c r="C1290" t="b">
        <v>0</v>
      </c>
      <c r="D1290" s="1">
        <v>1215</v>
      </c>
      <c r="E1290" s="1">
        <v>0</v>
      </c>
      <c r="F1290" s="1">
        <v>0</v>
      </c>
      <c r="G1290" s="1">
        <v>9164</v>
      </c>
      <c r="H1290" s="1">
        <v>3940</v>
      </c>
      <c r="I1290" s="1">
        <v>0</v>
      </c>
      <c r="J1290" s="3">
        <f t="shared" si="69"/>
        <v>13104</v>
      </c>
      <c r="K1290" s="1">
        <v>0</v>
      </c>
      <c r="L1290" s="1">
        <v>0</v>
      </c>
      <c r="M1290" s="1">
        <v>0</v>
      </c>
      <c r="O1290" s="14">
        <v>0</v>
      </c>
      <c r="P1290" s="17">
        <f t="shared" si="70"/>
        <v>13104</v>
      </c>
      <c r="Q1290" s="1">
        <v>0</v>
      </c>
      <c r="R1290" s="1">
        <v>0</v>
      </c>
      <c r="S1290" s="20">
        <v>40360</v>
      </c>
      <c r="T1290" s="1">
        <v>14319</v>
      </c>
      <c r="U1290" s="9">
        <v>13104</v>
      </c>
      <c r="V1290" s="9" t="s">
        <v>21</v>
      </c>
    </row>
    <row r="1291" spans="1:22" x14ac:dyDescent="0.25">
      <c r="A1291" s="10" t="s">
        <v>38</v>
      </c>
      <c r="B1291" t="b">
        <v>0</v>
      </c>
      <c r="C1291" t="b">
        <v>0</v>
      </c>
      <c r="D1291" s="1">
        <v>803</v>
      </c>
      <c r="E1291" s="1">
        <v>0</v>
      </c>
      <c r="F1291" s="1">
        <v>0</v>
      </c>
      <c r="G1291" s="1">
        <v>9863</v>
      </c>
      <c r="H1291" s="1">
        <v>6790</v>
      </c>
      <c r="I1291" s="1">
        <v>0</v>
      </c>
      <c r="J1291" s="3">
        <f t="shared" si="69"/>
        <v>16653</v>
      </c>
      <c r="K1291" s="1">
        <v>0</v>
      </c>
      <c r="L1291" s="1">
        <v>0</v>
      </c>
      <c r="M1291" s="1">
        <v>0</v>
      </c>
      <c r="O1291" s="14">
        <v>0</v>
      </c>
      <c r="P1291" s="17">
        <f t="shared" si="70"/>
        <v>16653</v>
      </c>
      <c r="Q1291" s="1">
        <v>10</v>
      </c>
      <c r="R1291" s="1">
        <v>0</v>
      </c>
      <c r="S1291" s="20">
        <v>40391</v>
      </c>
      <c r="T1291" s="1">
        <v>17466</v>
      </c>
      <c r="U1291" s="9">
        <v>16653</v>
      </c>
      <c r="V1291" s="9" t="s">
        <v>21</v>
      </c>
    </row>
    <row r="1292" spans="1:22" x14ac:dyDescent="0.25">
      <c r="A1292" s="10" t="s">
        <v>38</v>
      </c>
      <c r="B1292" t="b">
        <v>0</v>
      </c>
      <c r="C1292" t="b">
        <v>0</v>
      </c>
      <c r="D1292" s="1">
        <v>4129</v>
      </c>
      <c r="E1292" s="1">
        <v>0</v>
      </c>
      <c r="F1292" s="1">
        <v>0</v>
      </c>
      <c r="G1292" s="1">
        <v>13654</v>
      </c>
      <c r="H1292" s="1">
        <v>7120</v>
      </c>
      <c r="I1292" s="1">
        <v>0</v>
      </c>
      <c r="J1292" s="3">
        <f t="shared" si="69"/>
        <v>20774</v>
      </c>
      <c r="K1292" s="1">
        <v>0</v>
      </c>
      <c r="L1292" s="1">
        <v>0</v>
      </c>
      <c r="M1292" s="1">
        <v>0</v>
      </c>
      <c r="O1292" s="14">
        <v>0</v>
      </c>
      <c r="P1292" s="17">
        <f t="shared" si="70"/>
        <v>20774</v>
      </c>
      <c r="Q1292" s="1">
        <v>6</v>
      </c>
      <c r="R1292" s="1">
        <v>0</v>
      </c>
      <c r="S1292" s="20">
        <v>40422</v>
      </c>
      <c r="T1292" s="1">
        <v>24909</v>
      </c>
      <c r="U1292" s="9">
        <v>20774</v>
      </c>
      <c r="V1292" s="9" t="s">
        <v>21</v>
      </c>
    </row>
    <row r="1293" spans="1:22" x14ac:dyDescent="0.25">
      <c r="A1293" s="10" t="s">
        <v>38</v>
      </c>
      <c r="B1293" t="b">
        <v>0</v>
      </c>
      <c r="C1293" t="b">
        <v>0</v>
      </c>
      <c r="D1293" s="1">
        <v>1116</v>
      </c>
      <c r="E1293" s="1">
        <v>0</v>
      </c>
      <c r="F1293" s="1">
        <v>0</v>
      </c>
      <c r="G1293" s="1">
        <v>9033</v>
      </c>
      <c r="H1293" s="1">
        <v>6120</v>
      </c>
      <c r="I1293" s="1">
        <v>0</v>
      </c>
      <c r="J1293" s="3">
        <f t="shared" si="69"/>
        <v>15153</v>
      </c>
      <c r="K1293" s="1">
        <v>0</v>
      </c>
      <c r="L1293" s="1">
        <v>0</v>
      </c>
      <c r="M1293" s="1">
        <v>0</v>
      </c>
      <c r="O1293" s="14">
        <v>0</v>
      </c>
      <c r="P1293" s="17">
        <f t="shared" si="70"/>
        <v>15153</v>
      </c>
      <c r="Q1293" s="1">
        <v>6</v>
      </c>
      <c r="R1293" s="1">
        <v>0</v>
      </c>
      <c r="S1293" s="20">
        <v>40452</v>
      </c>
      <c r="T1293" s="1">
        <v>16275</v>
      </c>
      <c r="U1293" s="9">
        <v>15153</v>
      </c>
      <c r="V1293" s="9" t="s">
        <v>21</v>
      </c>
    </row>
    <row r="1294" spans="1:22" x14ac:dyDescent="0.25">
      <c r="A1294" s="10" t="s">
        <v>38</v>
      </c>
      <c r="B1294" t="b">
        <v>0</v>
      </c>
      <c r="C1294" t="b">
        <v>0</v>
      </c>
      <c r="D1294" s="1">
        <v>1015</v>
      </c>
      <c r="E1294" s="1">
        <v>0</v>
      </c>
      <c r="F1294" s="1">
        <v>0</v>
      </c>
      <c r="G1294" s="1">
        <v>8685</v>
      </c>
      <c r="H1294" s="1">
        <v>5680</v>
      </c>
      <c r="I1294" s="1">
        <v>0</v>
      </c>
      <c r="J1294" s="3">
        <f t="shared" si="69"/>
        <v>14365</v>
      </c>
      <c r="K1294" s="1">
        <v>0</v>
      </c>
      <c r="L1294" s="1">
        <v>0</v>
      </c>
      <c r="M1294" s="1">
        <v>0</v>
      </c>
      <c r="O1294" s="14">
        <v>0</v>
      </c>
      <c r="P1294" s="17">
        <f t="shared" si="70"/>
        <v>14365</v>
      </c>
      <c r="Q1294" s="1">
        <v>11</v>
      </c>
      <c r="R1294" s="1">
        <v>0</v>
      </c>
      <c r="S1294" s="20">
        <v>40483</v>
      </c>
      <c r="T1294" s="1">
        <v>15391</v>
      </c>
      <c r="U1294" s="9">
        <v>14365</v>
      </c>
      <c r="V1294" s="9" t="s">
        <v>21</v>
      </c>
    </row>
    <row r="1295" spans="1:22" x14ac:dyDescent="0.25">
      <c r="A1295" s="10" t="s">
        <v>38</v>
      </c>
      <c r="B1295" t="b">
        <v>0</v>
      </c>
      <c r="C1295" t="b">
        <v>0</v>
      </c>
      <c r="D1295" s="1">
        <v>670</v>
      </c>
      <c r="E1295" s="1">
        <v>0</v>
      </c>
      <c r="F1295" s="1">
        <v>0</v>
      </c>
      <c r="G1295" s="1">
        <v>7482</v>
      </c>
      <c r="H1295" s="1">
        <v>3315</v>
      </c>
      <c r="I1295" s="1">
        <v>0</v>
      </c>
      <c r="J1295" s="3">
        <f t="shared" si="69"/>
        <v>10797</v>
      </c>
      <c r="K1295" s="1">
        <v>0</v>
      </c>
      <c r="L1295" s="1">
        <v>0</v>
      </c>
      <c r="M1295" s="1">
        <v>0</v>
      </c>
      <c r="O1295" s="14">
        <v>0</v>
      </c>
      <c r="P1295" s="17">
        <f t="shared" si="70"/>
        <v>10797</v>
      </c>
      <c r="Q1295" s="1">
        <v>4</v>
      </c>
      <c r="R1295" s="1">
        <v>0</v>
      </c>
      <c r="S1295" s="20">
        <v>40513</v>
      </c>
      <c r="T1295" s="1">
        <v>11471</v>
      </c>
      <c r="U1295" s="9">
        <v>10797</v>
      </c>
      <c r="V1295" s="9" t="s">
        <v>21</v>
      </c>
    </row>
    <row r="1296" spans="1:22" x14ac:dyDescent="0.25">
      <c r="A1296" s="10" t="s">
        <v>38</v>
      </c>
      <c r="B1296" t="b">
        <v>0</v>
      </c>
      <c r="C1296" t="b">
        <v>0</v>
      </c>
      <c r="D1296" s="1">
        <v>895</v>
      </c>
      <c r="E1296" s="1">
        <v>0</v>
      </c>
      <c r="F1296" s="1">
        <v>0</v>
      </c>
      <c r="G1296" s="1">
        <v>9750</v>
      </c>
      <c r="H1296" s="1">
        <v>5945</v>
      </c>
      <c r="I1296" s="1">
        <v>0</v>
      </c>
      <c r="J1296" s="3">
        <f t="shared" si="69"/>
        <v>15695</v>
      </c>
      <c r="K1296" s="1">
        <v>0</v>
      </c>
      <c r="L1296" s="1">
        <v>0</v>
      </c>
      <c r="M1296" s="1">
        <v>0</v>
      </c>
      <c r="O1296" s="14">
        <v>0</v>
      </c>
      <c r="P1296" s="17">
        <f t="shared" si="70"/>
        <v>15695</v>
      </c>
      <c r="Q1296" s="1">
        <v>7</v>
      </c>
      <c r="R1296" s="1">
        <v>0</v>
      </c>
      <c r="S1296" s="20">
        <v>40544</v>
      </c>
      <c r="T1296" s="1">
        <v>16597</v>
      </c>
      <c r="U1296" s="9">
        <v>15695</v>
      </c>
      <c r="V1296" s="9" t="s">
        <v>21</v>
      </c>
    </row>
    <row r="1297" spans="1:22" x14ac:dyDescent="0.25">
      <c r="A1297" s="10" t="s">
        <v>38</v>
      </c>
      <c r="B1297" t="b">
        <v>0</v>
      </c>
      <c r="C1297" t="b">
        <v>0</v>
      </c>
      <c r="D1297" s="1">
        <v>990</v>
      </c>
      <c r="E1297" s="1">
        <v>0</v>
      </c>
      <c r="F1297" s="1">
        <v>0</v>
      </c>
      <c r="G1297" s="1">
        <v>13875</v>
      </c>
      <c r="H1297" s="1">
        <v>8425</v>
      </c>
      <c r="I1297" s="1">
        <v>0</v>
      </c>
      <c r="J1297" s="3">
        <f t="shared" si="69"/>
        <v>22300</v>
      </c>
      <c r="K1297" s="1">
        <v>0</v>
      </c>
      <c r="L1297" s="1">
        <v>0</v>
      </c>
      <c r="M1297" s="1">
        <v>0</v>
      </c>
      <c r="O1297" s="14">
        <v>0</v>
      </c>
      <c r="P1297" s="17">
        <f t="shared" si="70"/>
        <v>22300</v>
      </c>
      <c r="Q1297" s="1">
        <v>16</v>
      </c>
      <c r="R1297" s="1">
        <v>0</v>
      </c>
      <c r="S1297" s="20">
        <v>40575</v>
      </c>
      <c r="T1297" s="1">
        <v>23306</v>
      </c>
      <c r="U1297" s="9">
        <v>22300</v>
      </c>
      <c r="V1297" s="9" t="s">
        <v>21</v>
      </c>
    </row>
    <row r="1298" spans="1:22" x14ac:dyDescent="0.25">
      <c r="A1298" s="10" t="s">
        <v>38</v>
      </c>
      <c r="B1298" t="b">
        <v>0</v>
      </c>
      <c r="C1298" t="b">
        <v>0</v>
      </c>
      <c r="D1298" s="1">
        <v>237</v>
      </c>
      <c r="E1298" s="1">
        <v>0</v>
      </c>
      <c r="F1298" s="1">
        <v>0</v>
      </c>
      <c r="G1298" s="1">
        <v>8685</v>
      </c>
      <c r="H1298" s="1">
        <v>5200</v>
      </c>
      <c r="I1298" s="1">
        <v>0</v>
      </c>
      <c r="J1298" s="3">
        <f t="shared" si="69"/>
        <v>13885</v>
      </c>
      <c r="K1298" s="1">
        <v>0</v>
      </c>
      <c r="L1298" s="1">
        <v>0</v>
      </c>
      <c r="M1298" s="1">
        <v>0</v>
      </c>
      <c r="O1298" s="14">
        <v>0</v>
      </c>
      <c r="P1298" s="17">
        <f t="shared" si="70"/>
        <v>13885</v>
      </c>
      <c r="Q1298" s="1">
        <v>8</v>
      </c>
      <c r="R1298" s="1">
        <v>0</v>
      </c>
      <c r="S1298" s="20">
        <v>40603</v>
      </c>
      <c r="T1298" s="1">
        <v>14130</v>
      </c>
      <c r="U1298" s="9">
        <v>13885</v>
      </c>
      <c r="V1298" s="9" t="s">
        <v>21</v>
      </c>
    </row>
    <row r="1299" spans="1:22" x14ac:dyDescent="0.25">
      <c r="A1299" s="10" t="s">
        <v>38</v>
      </c>
      <c r="B1299" t="b">
        <v>0</v>
      </c>
      <c r="C1299" t="b">
        <v>0</v>
      </c>
      <c r="D1299" s="1">
        <v>441</v>
      </c>
      <c r="E1299" s="1">
        <v>0</v>
      </c>
      <c r="F1299" s="1">
        <v>0</v>
      </c>
      <c r="G1299" s="1">
        <v>8685</v>
      </c>
      <c r="H1299" s="1">
        <v>5200</v>
      </c>
      <c r="I1299" s="1">
        <v>0</v>
      </c>
      <c r="J1299" s="3">
        <f t="shared" si="69"/>
        <v>13885</v>
      </c>
      <c r="K1299" s="1">
        <v>0</v>
      </c>
      <c r="L1299" s="1">
        <v>0</v>
      </c>
      <c r="M1299" s="1">
        <v>0</v>
      </c>
      <c r="O1299" s="14">
        <v>0</v>
      </c>
      <c r="P1299" s="17">
        <f t="shared" si="70"/>
        <v>13885</v>
      </c>
      <c r="Q1299" s="1">
        <v>4</v>
      </c>
      <c r="R1299" s="1">
        <v>0</v>
      </c>
      <c r="S1299" s="20">
        <v>40634</v>
      </c>
      <c r="T1299" s="1">
        <v>14330</v>
      </c>
      <c r="U1299" s="9">
        <v>13885</v>
      </c>
      <c r="V1299" s="9" t="s">
        <v>21</v>
      </c>
    </row>
    <row r="1300" spans="1:22" x14ac:dyDescent="0.25">
      <c r="A1300" s="10" t="s">
        <v>38</v>
      </c>
      <c r="B1300" t="b">
        <v>0</v>
      </c>
      <c r="C1300" t="b">
        <v>0</v>
      </c>
      <c r="D1300" s="1">
        <v>791</v>
      </c>
      <c r="E1300" s="1">
        <v>0</v>
      </c>
      <c r="F1300" s="1">
        <v>0</v>
      </c>
      <c r="G1300" s="1">
        <v>10125</v>
      </c>
      <c r="H1300" s="1">
        <v>5175</v>
      </c>
      <c r="I1300" s="1">
        <v>0</v>
      </c>
      <c r="J1300" s="3">
        <f t="shared" si="69"/>
        <v>15300</v>
      </c>
      <c r="K1300" s="1">
        <v>0</v>
      </c>
      <c r="L1300" s="1">
        <v>0</v>
      </c>
      <c r="M1300" s="1">
        <v>0</v>
      </c>
      <c r="O1300" s="14">
        <v>0</v>
      </c>
      <c r="P1300" s="17">
        <f t="shared" si="70"/>
        <v>15300</v>
      </c>
      <c r="Q1300" s="1">
        <v>6</v>
      </c>
      <c r="R1300" s="1">
        <v>0</v>
      </c>
      <c r="S1300" s="20">
        <v>40664</v>
      </c>
      <c r="T1300" s="1">
        <v>16097</v>
      </c>
      <c r="U1300" s="9">
        <v>15300</v>
      </c>
      <c r="V1300" s="9" t="s">
        <v>21</v>
      </c>
    </row>
    <row r="1301" spans="1:22" x14ac:dyDescent="0.25">
      <c r="A1301" s="10" t="s">
        <v>38</v>
      </c>
      <c r="B1301" t="b">
        <v>0</v>
      </c>
      <c r="C1301" t="b">
        <v>0</v>
      </c>
      <c r="D1301" s="1">
        <v>891</v>
      </c>
      <c r="E1301" s="1">
        <v>0</v>
      </c>
      <c r="F1301" s="1">
        <v>0</v>
      </c>
      <c r="G1301" s="1">
        <v>8910</v>
      </c>
      <c r="H1301" s="1">
        <v>5500</v>
      </c>
      <c r="I1301" s="1">
        <v>0</v>
      </c>
      <c r="J1301" s="3">
        <f t="shared" si="69"/>
        <v>14410</v>
      </c>
      <c r="K1301" s="1">
        <v>0</v>
      </c>
      <c r="L1301" s="1">
        <v>0</v>
      </c>
      <c r="M1301" s="1">
        <v>0</v>
      </c>
      <c r="O1301" s="14">
        <v>0</v>
      </c>
      <c r="P1301" s="17">
        <f t="shared" si="70"/>
        <v>14410</v>
      </c>
      <c r="Q1301" s="1">
        <v>19</v>
      </c>
      <c r="R1301" s="1">
        <v>0</v>
      </c>
      <c r="S1301" s="20">
        <v>40695</v>
      </c>
      <c r="T1301" s="1">
        <v>15320</v>
      </c>
      <c r="U1301" s="9">
        <v>14410</v>
      </c>
      <c r="V1301" s="9" t="s">
        <v>21</v>
      </c>
    </row>
    <row r="1302" spans="1:22" x14ac:dyDescent="0.25">
      <c r="A1302" s="10" t="s">
        <v>38</v>
      </c>
      <c r="B1302" t="b">
        <v>0</v>
      </c>
      <c r="C1302" t="b">
        <v>0</v>
      </c>
      <c r="D1302" s="1">
        <v>850</v>
      </c>
      <c r="E1302" s="1">
        <v>0</v>
      </c>
      <c r="F1302" s="1">
        <v>0</v>
      </c>
      <c r="G1302" s="1">
        <v>11175</v>
      </c>
      <c r="H1302" s="1">
        <v>6125</v>
      </c>
      <c r="I1302" s="1">
        <v>0</v>
      </c>
      <c r="J1302" s="3">
        <f t="shared" si="69"/>
        <v>17300</v>
      </c>
      <c r="K1302" s="1">
        <v>0</v>
      </c>
      <c r="L1302" s="1">
        <v>0</v>
      </c>
      <c r="M1302" s="1">
        <v>0</v>
      </c>
      <c r="O1302" s="14">
        <v>0</v>
      </c>
      <c r="P1302" s="17">
        <f t="shared" si="70"/>
        <v>17300</v>
      </c>
      <c r="Q1302" s="1">
        <v>14</v>
      </c>
      <c r="R1302" s="1">
        <v>0</v>
      </c>
      <c r="S1302" s="20">
        <v>40725</v>
      </c>
      <c r="T1302" s="1">
        <v>18164</v>
      </c>
      <c r="U1302" s="9">
        <v>17300</v>
      </c>
      <c r="V1302" s="9" t="s">
        <v>21</v>
      </c>
    </row>
    <row r="1303" spans="1:22" x14ac:dyDescent="0.25">
      <c r="A1303" s="10" t="s">
        <v>38</v>
      </c>
      <c r="B1303" t="b">
        <v>0</v>
      </c>
      <c r="C1303" t="b">
        <v>0</v>
      </c>
      <c r="D1303" s="1">
        <v>2110</v>
      </c>
      <c r="E1303" s="1">
        <v>0</v>
      </c>
      <c r="F1303" s="1">
        <v>0</v>
      </c>
      <c r="G1303" s="1">
        <v>11970</v>
      </c>
      <c r="H1303" s="1">
        <v>5125</v>
      </c>
      <c r="I1303" s="1">
        <v>0</v>
      </c>
      <c r="J1303" s="3">
        <f t="shared" si="69"/>
        <v>17095</v>
      </c>
      <c r="K1303" s="1">
        <v>0</v>
      </c>
      <c r="L1303" s="1">
        <v>0</v>
      </c>
      <c r="M1303" s="1">
        <v>0</v>
      </c>
      <c r="O1303" s="14">
        <v>0</v>
      </c>
      <c r="P1303" s="17">
        <f t="shared" si="70"/>
        <v>17095</v>
      </c>
      <c r="Q1303" s="1">
        <v>16</v>
      </c>
      <c r="R1303" s="1">
        <v>0</v>
      </c>
      <c r="S1303" s="20">
        <v>40756</v>
      </c>
      <c r="T1303" s="1">
        <v>19221</v>
      </c>
      <c r="U1303" s="9">
        <v>17095</v>
      </c>
      <c r="V1303" s="9" t="s">
        <v>21</v>
      </c>
    </row>
    <row r="1304" spans="1:22" x14ac:dyDescent="0.25">
      <c r="A1304" s="10" t="s">
        <v>38</v>
      </c>
      <c r="B1304" t="b">
        <v>0</v>
      </c>
      <c r="C1304" t="b">
        <v>0</v>
      </c>
      <c r="D1304" s="1">
        <v>3200</v>
      </c>
      <c r="E1304" s="1">
        <v>0</v>
      </c>
      <c r="F1304" s="1">
        <v>0</v>
      </c>
      <c r="G1304" s="1">
        <v>13500</v>
      </c>
      <c r="H1304" s="1">
        <v>6080</v>
      </c>
      <c r="I1304" s="1">
        <v>0</v>
      </c>
      <c r="J1304" s="3">
        <f t="shared" si="69"/>
        <v>19580</v>
      </c>
      <c r="K1304" s="1">
        <v>0</v>
      </c>
      <c r="L1304" s="1">
        <v>0</v>
      </c>
      <c r="M1304" s="1">
        <v>0</v>
      </c>
      <c r="O1304" s="14">
        <v>0</v>
      </c>
      <c r="P1304" s="17">
        <f t="shared" si="70"/>
        <v>19580</v>
      </c>
      <c r="Q1304" s="1">
        <v>13</v>
      </c>
      <c r="R1304" s="1">
        <v>0</v>
      </c>
      <c r="S1304" s="20">
        <v>40787</v>
      </c>
      <c r="T1304" s="1">
        <v>22793</v>
      </c>
      <c r="U1304" s="9">
        <v>19580</v>
      </c>
      <c r="V1304" s="9" t="s">
        <v>21</v>
      </c>
    </row>
    <row r="1305" spans="1:22" x14ac:dyDescent="0.25">
      <c r="A1305" s="10" t="s">
        <v>38</v>
      </c>
      <c r="B1305" t="b">
        <v>0</v>
      </c>
      <c r="C1305" t="b">
        <v>0</v>
      </c>
      <c r="D1305" s="1">
        <v>2062</v>
      </c>
      <c r="E1305" s="1">
        <v>0</v>
      </c>
      <c r="F1305" s="1">
        <v>0</v>
      </c>
      <c r="G1305" s="1">
        <v>10500</v>
      </c>
      <c r="H1305" s="1">
        <v>4995</v>
      </c>
      <c r="I1305" s="1">
        <v>0</v>
      </c>
      <c r="J1305" s="3">
        <f t="shared" si="69"/>
        <v>15495</v>
      </c>
      <c r="K1305" s="1">
        <v>0</v>
      </c>
      <c r="L1305" s="1">
        <v>0</v>
      </c>
      <c r="M1305" s="1">
        <v>0</v>
      </c>
      <c r="O1305" s="14">
        <v>0</v>
      </c>
      <c r="P1305" s="17">
        <f t="shared" si="70"/>
        <v>15495</v>
      </c>
      <c r="Q1305" s="1">
        <v>24</v>
      </c>
      <c r="R1305" s="1">
        <v>0</v>
      </c>
      <c r="S1305" s="20">
        <v>40817</v>
      </c>
      <c r="T1305" s="1">
        <v>17581</v>
      </c>
      <c r="U1305" s="9">
        <v>15495</v>
      </c>
      <c r="V1305" s="9" t="s">
        <v>21</v>
      </c>
    </row>
    <row r="1306" spans="1:22" x14ac:dyDescent="0.25">
      <c r="A1306" s="10" t="s">
        <v>38</v>
      </c>
      <c r="B1306" t="b">
        <v>0</v>
      </c>
      <c r="C1306" t="b">
        <v>0</v>
      </c>
      <c r="D1306" s="1">
        <v>648</v>
      </c>
      <c r="E1306" s="1">
        <v>0</v>
      </c>
      <c r="F1306" s="1">
        <v>0</v>
      </c>
      <c r="G1306" s="1">
        <v>8550</v>
      </c>
      <c r="H1306" s="1">
        <v>3525</v>
      </c>
      <c r="I1306" s="1">
        <v>0</v>
      </c>
      <c r="J1306" s="3">
        <f t="shared" si="69"/>
        <v>12075</v>
      </c>
      <c r="K1306" s="1">
        <v>0</v>
      </c>
      <c r="L1306" s="1">
        <v>0</v>
      </c>
      <c r="M1306" s="1">
        <v>0</v>
      </c>
      <c r="O1306" s="14">
        <v>0</v>
      </c>
      <c r="P1306" s="17">
        <f t="shared" si="70"/>
        <v>12075</v>
      </c>
      <c r="Q1306" s="1">
        <v>12</v>
      </c>
      <c r="R1306" s="1">
        <v>0</v>
      </c>
      <c r="S1306" s="20">
        <v>40848</v>
      </c>
      <c r="T1306" s="1">
        <v>12735</v>
      </c>
      <c r="U1306" s="9">
        <v>12075</v>
      </c>
      <c r="V1306" s="9" t="s">
        <v>21</v>
      </c>
    </row>
    <row r="1307" spans="1:22" x14ac:dyDescent="0.25">
      <c r="A1307" s="10" t="s">
        <v>38</v>
      </c>
      <c r="B1307" t="b">
        <v>0</v>
      </c>
      <c r="C1307" t="b">
        <v>0</v>
      </c>
      <c r="D1307" s="1">
        <v>528</v>
      </c>
      <c r="E1307" s="1">
        <v>0</v>
      </c>
      <c r="F1307" s="1">
        <v>0</v>
      </c>
      <c r="G1307" s="1">
        <v>9500</v>
      </c>
      <c r="H1307" s="1">
        <v>2850</v>
      </c>
      <c r="I1307" s="1">
        <v>0</v>
      </c>
      <c r="J1307" s="3">
        <f t="shared" si="69"/>
        <v>12350</v>
      </c>
      <c r="K1307" s="1">
        <v>0</v>
      </c>
      <c r="L1307" s="1">
        <v>0</v>
      </c>
      <c r="M1307" s="1">
        <v>0</v>
      </c>
      <c r="O1307" s="14">
        <v>0</v>
      </c>
      <c r="P1307" s="17">
        <f t="shared" si="70"/>
        <v>12350</v>
      </c>
      <c r="Q1307" s="1">
        <v>0</v>
      </c>
      <c r="R1307" s="1">
        <v>0</v>
      </c>
      <c r="S1307" s="20">
        <v>40878</v>
      </c>
      <c r="T1307" s="1">
        <v>12878</v>
      </c>
      <c r="U1307" s="9">
        <v>12350</v>
      </c>
      <c r="V1307" s="9" t="s">
        <v>21</v>
      </c>
    </row>
    <row r="1308" spans="1:22" x14ac:dyDescent="0.25">
      <c r="A1308" s="10" t="s">
        <v>38</v>
      </c>
      <c r="B1308" t="b">
        <v>0</v>
      </c>
      <c r="C1308" t="b">
        <v>0</v>
      </c>
      <c r="D1308" s="1">
        <v>600</v>
      </c>
      <c r="E1308" s="1">
        <v>0</v>
      </c>
      <c r="F1308" s="1">
        <v>0</v>
      </c>
      <c r="G1308" s="1">
        <v>8500</v>
      </c>
      <c r="H1308" s="1">
        <v>2550</v>
      </c>
      <c r="I1308" s="1">
        <v>0</v>
      </c>
      <c r="J1308" s="3">
        <f t="shared" si="69"/>
        <v>11050</v>
      </c>
      <c r="K1308" s="1">
        <v>0</v>
      </c>
      <c r="L1308" s="1">
        <v>0</v>
      </c>
      <c r="M1308" s="1">
        <v>0</v>
      </c>
      <c r="O1308" s="14">
        <v>0</v>
      </c>
      <c r="P1308" s="17">
        <f t="shared" si="70"/>
        <v>11050</v>
      </c>
      <c r="Q1308" s="1">
        <v>9</v>
      </c>
      <c r="R1308" s="1">
        <v>0</v>
      </c>
      <c r="S1308" s="20">
        <v>40909</v>
      </c>
      <c r="T1308" s="1">
        <v>11659</v>
      </c>
      <c r="U1308" s="9">
        <v>11050</v>
      </c>
      <c r="V1308" s="9" t="s">
        <v>21</v>
      </c>
    </row>
    <row r="1309" spans="1:22" x14ac:dyDescent="0.25">
      <c r="A1309" s="10" t="s">
        <v>38</v>
      </c>
      <c r="B1309" t="b">
        <v>0</v>
      </c>
      <c r="C1309" t="b">
        <v>0</v>
      </c>
      <c r="D1309" s="1">
        <v>1244</v>
      </c>
      <c r="E1309" s="1">
        <v>0</v>
      </c>
      <c r="F1309" s="1">
        <v>0</v>
      </c>
      <c r="G1309" s="1">
        <v>9400</v>
      </c>
      <c r="H1309" s="1">
        <v>3200</v>
      </c>
      <c r="I1309" s="1">
        <v>0</v>
      </c>
      <c r="J1309" s="3">
        <f t="shared" si="69"/>
        <v>12600</v>
      </c>
      <c r="K1309" s="1">
        <v>0</v>
      </c>
      <c r="L1309" s="1">
        <v>0</v>
      </c>
      <c r="M1309" s="1">
        <v>0</v>
      </c>
      <c r="O1309" s="14">
        <v>0</v>
      </c>
      <c r="P1309" s="17">
        <f t="shared" si="70"/>
        <v>12600</v>
      </c>
      <c r="Q1309" s="1">
        <v>10</v>
      </c>
      <c r="R1309" s="1">
        <v>0</v>
      </c>
      <c r="S1309" s="20">
        <v>40940</v>
      </c>
      <c r="T1309" s="1">
        <v>13854</v>
      </c>
      <c r="U1309" s="9">
        <v>12600</v>
      </c>
      <c r="V1309" s="9" t="s">
        <v>21</v>
      </c>
    </row>
    <row r="1310" spans="1:22" x14ac:dyDescent="0.25">
      <c r="A1310" s="10" t="s">
        <v>38</v>
      </c>
      <c r="B1310" t="b">
        <v>0</v>
      </c>
      <c r="C1310" t="b">
        <v>0</v>
      </c>
      <c r="D1310" s="1">
        <v>632</v>
      </c>
      <c r="E1310" s="1">
        <v>0</v>
      </c>
      <c r="F1310" s="1">
        <v>0</v>
      </c>
      <c r="G1310" s="1">
        <v>8900</v>
      </c>
      <c r="H1310" s="1">
        <v>2650</v>
      </c>
      <c r="I1310" s="1">
        <v>0</v>
      </c>
      <c r="J1310" s="3">
        <f t="shared" si="69"/>
        <v>11550</v>
      </c>
      <c r="K1310" s="1">
        <v>0</v>
      </c>
      <c r="L1310" s="1">
        <v>0</v>
      </c>
      <c r="M1310" s="1">
        <v>0</v>
      </c>
      <c r="O1310" s="14">
        <v>0</v>
      </c>
      <c r="P1310" s="17">
        <f t="shared" si="70"/>
        <v>11550</v>
      </c>
      <c r="Q1310" s="1">
        <v>2</v>
      </c>
      <c r="R1310" s="1">
        <v>0</v>
      </c>
      <c r="S1310" s="20">
        <v>40969</v>
      </c>
      <c r="T1310" s="1">
        <v>12184</v>
      </c>
      <c r="U1310" s="9">
        <v>11550</v>
      </c>
      <c r="V1310" s="9" t="s">
        <v>21</v>
      </c>
    </row>
    <row r="1311" spans="1:22" x14ac:dyDescent="0.25">
      <c r="A1311" s="10" t="s">
        <v>38</v>
      </c>
      <c r="B1311" t="b">
        <v>0</v>
      </c>
      <c r="C1311" t="b">
        <v>0</v>
      </c>
      <c r="D1311" s="1">
        <v>1016</v>
      </c>
      <c r="E1311" s="1">
        <v>0</v>
      </c>
      <c r="F1311" s="1">
        <v>0</v>
      </c>
      <c r="G1311" s="1">
        <v>7860</v>
      </c>
      <c r="H1311" s="1">
        <v>3050</v>
      </c>
      <c r="I1311" s="1">
        <v>0</v>
      </c>
      <c r="J1311" s="3">
        <f t="shared" ref="J1311:J1374" si="71">G1311+H1311</f>
        <v>10910</v>
      </c>
      <c r="K1311" s="1">
        <v>0</v>
      </c>
      <c r="L1311" s="1">
        <v>0</v>
      </c>
      <c r="M1311" s="1">
        <v>0</v>
      </c>
      <c r="O1311" s="14">
        <v>0</v>
      </c>
      <c r="P1311" s="17">
        <f t="shared" ref="P1311:P1374" si="72">J1311</f>
        <v>10910</v>
      </c>
      <c r="Q1311" s="1">
        <v>11</v>
      </c>
      <c r="R1311" s="1">
        <v>0</v>
      </c>
      <c r="S1311" s="20">
        <v>41000</v>
      </c>
      <c r="T1311" s="1">
        <v>11937</v>
      </c>
      <c r="U1311" s="9">
        <v>10910</v>
      </c>
      <c r="V1311" s="9" t="s">
        <v>21</v>
      </c>
    </row>
    <row r="1312" spans="1:22" x14ac:dyDescent="0.25">
      <c r="A1312" s="10" t="s">
        <v>38</v>
      </c>
      <c r="B1312" t="b">
        <v>0</v>
      </c>
      <c r="C1312" t="b">
        <v>0</v>
      </c>
      <c r="D1312" s="1">
        <v>1604</v>
      </c>
      <c r="E1312" s="1">
        <v>0</v>
      </c>
      <c r="F1312" s="1">
        <v>0</v>
      </c>
      <c r="G1312" s="1">
        <v>13100</v>
      </c>
      <c r="H1312" s="1">
        <v>3900</v>
      </c>
      <c r="I1312" s="1">
        <v>0</v>
      </c>
      <c r="J1312" s="3">
        <f t="shared" si="71"/>
        <v>17000</v>
      </c>
      <c r="K1312" s="1">
        <v>0</v>
      </c>
      <c r="L1312" s="1">
        <v>0</v>
      </c>
      <c r="M1312" s="1">
        <v>0</v>
      </c>
      <c r="O1312" s="14">
        <v>0</v>
      </c>
      <c r="P1312" s="17">
        <f t="shared" si="72"/>
        <v>17000</v>
      </c>
      <c r="Q1312" s="1">
        <v>14</v>
      </c>
      <c r="R1312" s="1">
        <v>0</v>
      </c>
      <c r="S1312" s="20">
        <v>41030</v>
      </c>
      <c r="T1312" s="1">
        <v>18618</v>
      </c>
      <c r="U1312" s="9">
        <v>17000</v>
      </c>
      <c r="V1312" s="9" t="s">
        <v>21</v>
      </c>
    </row>
    <row r="1313" spans="1:22" x14ac:dyDescent="0.25">
      <c r="A1313" s="10" t="s">
        <v>38</v>
      </c>
      <c r="B1313" t="b">
        <v>0</v>
      </c>
      <c r="C1313" t="b">
        <v>0</v>
      </c>
      <c r="D1313" s="1">
        <v>1172</v>
      </c>
      <c r="E1313" s="1">
        <v>0</v>
      </c>
      <c r="F1313" s="1">
        <v>0</v>
      </c>
      <c r="G1313" s="1">
        <v>13300</v>
      </c>
      <c r="H1313" s="1">
        <v>4590</v>
      </c>
      <c r="I1313" s="1">
        <v>0</v>
      </c>
      <c r="J1313" s="3">
        <f t="shared" si="71"/>
        <v>17890</v>
      </c>
      <c r="K1313" s="1">
        <v>0</v>
      </c>
      <c r="L1313" s="1">
        <v>0</v>
      </c>
      <c r="M1313" s="1">
        <v>0</v>
      </c>
      <c r="O1313" s="14">
        <v>0</v>
      </c>
      <c r="P1313" s="17">
        <f t="shared" si="72"/>
        <v>17890</v>
      </c>
      <c r="Q1313" s="1">
        <v>8</v>
      </c>
      <c r="R1313" s="1">
        <v>0</v>
      </c>
      <c r="S1313" s="20">
        <v>41061</v>
      </c>
      <c r="T1313" s="1">
        <v>19070</v>
      </c>
      <c r="U1313" s="9">
        <v>17890</v>
      </c>
      <c r="V1313" s="9" t="s">
        <v>21</v>
      </c>
    </row>
    <row r="1314" spans="1:22" x14ac:dyDescent="0.25">
      <c r="A1314" s="10" t="s">
        <v>38</v>
      </c>
      <c r="B1314" t="b">
        <v>0</v>
      </c>
      <c r="C1314" t="b">
        <v>0</v>
      </c>
      <c r="D1314" s="1">
        <v>1672</v>
      </c>
      <c r="E1314" s="1">
        <v>0</v>
      </c>
      <c r="F1314" s="1">
        <v>0</v>
      </c>
      <c r="G1314" s="1">
        <v>14600</v>
      </c>
      <c r="H1314" s="1">
        <v>4350</v>
      </c>
      <c r="I1314" s="1">
        <v>0</v>
      </c>
      <c r="J1314" s="3">
        <f t="shared" si="71"/>
        <v>18950</v>
      </c>
      <c r="K1314" s="1">
        <v>0</v>
      </c>
      <c r="L1314" s="1">
        <v>0</v>
      </c>
      <c r="M1314" s="1">
        <v>0</v>
      </c>
      <c r="O1314" s="14">
        <v>0</v>
      </c>
      <c r="P1314" s="17">
        <f t="shared" si="72"/>
        <v>18950</v>
      </c>
      <c r="Q1314" s="1">
        <v>11</v>
      </c>
      <c r="R1314" s="1">
        <v>0</v>
      </c>
      <c r="S1314" s="20">
        <v>41091</v>
      </c>
      <c r="T1314" s="1">
        <v>20633</v>
      </c>
      <c r="U1314" s="9">
        <v>18950</v>
      </c>
      <c r="V1314" s="9" t="s">
        <v>21</v>
      </c>
    </row>
    <row r="1315" spans="1:22" x14ac:dyDescent="0.25">
      <c r="A1315" s="10" t="s">
        <v>38</v>
      </c>
      <c r="B1315" t="b">
        <v>0</v>
      </c>
      <c r="C1315" t="b">
        <v>0</v>
      </c>
      <c r="D1315" s="1">
        <v>4080</v>
      </c>
      <c r="E1315" s="1">
        <v>0</v>
      </c>
      <c r="F1315" s="1">
        <v>0</v>
      </c>
      <c r="G1315" s="1">
        <v>23000</v>
      </c>
      <c r="H1315" s="1">
        <v>9000</v>
      </c>
      <c r="I1315" s="1">
        <v>0</v>
      </c>
      <c r="J1315" s="3">
        <f t="shared" si="71"/>
        <v>32000</v>
      </c>
      <c r="K1315" s="1">
        <v>0</v>
      </c>
      <c r="L1315" s="1">
        <v>0</v>
      </c>
      <c r="M1315" s="1">
        <v>0</v>
      </c>
      <c r="O1315" s="14">
        <v>0</v>
      </c>
      <c r="P1315" s="17">
        <f t="shared" si="72"/>
        <v>32000</v>
      </c>
      <c r="Q1315" s="1">
        <v>16</v>
      </c>
      <c r="R1315" s="1">
        <v>0</v>
      </c>
      <c r="S1315" s="20">
        <v>41122</v>
      </c>
      <c r="T1315" s="1">
        <v>36096</v>
      </c>
      <c r="U1315" s="9">
        <v>32000</v>
      </c>
      <c r="V1315" s="9" t="s">
        <v>21</v>
      </c>
    </row>
    <row r="1316" spans="1:22" x14ac:dyDescent="0.25">
      <c r="A1316" s="10" t="s">
        <v>38</v>
      </c>
      <c r="B1316" t="b">
        <v>0</v>
      </c>
      <c r="C1316" t="b">
        <v>0</v>
      </c>
      <c r="D1316" s="1">
        <v>5316</v>
      </c>
      <c r="E1316" s="1">
        <v>0</v>
      </c>
      <c r="F1316" s="1">
        <v>0</v>
      </c>
      <c r="G1316" s="1">
        <v>22600</v>
      </c>
      <c r="H1316" s="1">
        <v>9050</v>
      </c>
      <c r="I1316" s="1">
        <v>0</v>
      </c>
      <c r="J1316" s="3">
        <f t="shared" si="71"/>
        <v>31650</v>
      </c>
      <c r="K1316" s="1">
        <v>0</v>
      </c>
      <c r="L1316" s="1">
        <v>0</v>
      </c>
      <c r="M1316" s="1">
        <v>0</v>
      </c>
      <c r="O1316" s="14">
        <v>0</v>
      </c>
      <c r="P1316" s="17">
        <f t="shared" si="72"/>
        <v>31650</v>
      </c>
      <c r="Q1316" s="1">
        <v>18</v>
      </c>
      <c r="R1316" s="1">
        <v>0</v>
      </c>
      <c r="S1316" s="20">
        <v>41153</v>
      </c>
      <c r="T1316" s="1">
        <v>36984</v>
      </c>
      <c r="U1316" s="9">
        <v>31650</v>
      </c>
      <c r="V1316" s="9" t="s">
        <v>21</v>
      </c>
    </row>
    <row r="1317" spans="1:22" x14ac:dyDescent="0.25">
      <c r="A1317" s="10" t="s">
        <v>38</v>
      </c>
      <c r="B1317" t="b">
        <v>0</v>
      </c>
      <c r="C1317" t="b">
        <v>0</v>
      </c>
      <c r="D1317" s="1">
        <v>2144</v>
      </c>
      <c r="E1317" s="1">
        <v>0</v>
      </c>
      <c r="F1317" s="1">
        <v>0</v>
      </c>
      <c r="G1317" s="1">
        <v>18000</v>
      </c>
      <c r="H1317" s="1">
        <v>7600</v>
      </c>
      <c r="I1317" s="1">
        <v>0</v>
      </c>
      <c r="J1317" s="3">
        <f t="shared" si="71"/>
        <v>25600</v>
      </c>
      <c r="K1317" s="1">
        <v>0</v>
      </c>
      <c r="L1317" s="1">
        <v>0</v>
      </c>
      <c r="M1317" s="1">
        <v>0</v>
      </c>
      <c r="O1317" s="14">
        <v>0</v>
      </c>
      <c r="P1317" s="17">
        <f t="shared" si="72"/>
        <v>25600</v>
      </c>
      <c r="Q1317" s="1">
        <v>14</v>
      </c>
      <c r="R1317" s="1">
        <v>0</v>
      </c>
      <c r="S1317" s="20">
        <v>41183</v>
      </c>
      <c r="T1317" s="1">
        <v>27758</v>
      </c>
      <c r="U1317" s="9">
        <v>25600</v>
      </c>
      <c r="V1317" s="9" t="s">
        <v>21</v>
      </c>
    </row>
    <row r="1318" spans="1:22" x14ac:dyDescent="0.25">
      <c r="A1318" s="10" t="s">
        <v>38</v>
      </c>
      <c r="B1318" t="b">
        <v>0</v>
      </c>
      <c r="C1318" t="b">
        <v>0</v>
      </c>
      <c r="D1318" s="1">
        <v>1168</v>
      </c>
      <c r="E1318" s="1">
        <v>0</v>
      </c>
      <c r="F1318" s="1">
        <v>0</v>
      </c>
      <c r="G1318" s="1">
        <v>13100</v>
      </c>
      <c r="H1318" s="1">
        <v>4175</v>
      </c>
      <c r="I1318" s="1">
        <v>0</v>
      </c>
      <c r="J1318" s="3">
        <f t="shared" si="71"/>
        <v>17275</v>
      </c>
      <c r="K1318" s="1">
        <v>0</v>
      </c>
      <c r="L1318" s="1">
        <v>0</v>
      </c>
      <c r="M1318" s="1">
        <v>0</v>
      </c>
      <c r="O1318" s="14">
        <v>0</v>
      </c>
      <c r="P1318" s="17">
        <f t="shared" si="72"/>
        <v>17275</v>
      </c>
      <c r="Q1318" s="1">
        <v>8</v>
      </c>
      <c r="R1318" s="1">
        <v>0</v>
      </c>
      <c r="S1318" s="20">
        <v>41214</v>
      </c>
      <c r="T1318" s="1">
        <v>18451</v>
      </c>
      <c r="U1318" s="9">
        <v>17275</v>
      </c>
      <c r="V1318" s="9" t="s">
        <v>21</v>
      </c>
    </row>
    <row r="1319" spans="1:22" x14ac:dyDescent="0.25">
      <c r="A1319" s="10" t="s">
        <v>38</v>
      </c>
      <c r="B1319" t="b">
        <v>1</v>
      </c>
      <c r="C1319" t="b">
        <v>0</v>
      </c>
      <c r="D1319" s="1">
        <v>484</v>
      </c>
      <c r="E1319" s="1">
        <v>0</v>
      </c>
      <c r="F1319" s="1">
        <v>0</v>
      </c>
      <c r="G1319" s="1">
        <v>9484</v>
      </c>
      <c r="H1319" s="1">
        <v>2374</v>
      </c>
      <c r="I1319" s="1">
        <v>0</v>
      </c>
      <c r="J1319" s="3">
        <f t="shared" si="71"/>
        <v>11858</v>
      </c>
      <c r="K1319" s="1">
        <v>0</v>
      </c>
      <c r="L1319" s="1">
        <v>0</v>
      </c>
      <c r="M1319" s="1">
        <v>0</v>
      </c>
      <c r="O1319" s="14">
        <v>0</v>
      </c>
      <c r="P1319" s="17">
        <f t="shared" si="72"/>
        <v>11858</v>
      </c>
      <c r="Q1319" s="1">
        <v>4</v>
      </c>
      <c r="R1319" s="1">
        <v>0</v>
      </c>
      <c r="S1319" s="20">
        <v>41244</v>
      </c>
      <c r="T1319" s="1">
        <v>12346</v>
      </c>
      <c r="U1319" s="9">
        <v>11858</v>
      </c>
      <c r="V1319" s="9" t="s">
        <v>21</v>
      </c>
    </row>
    <row r="1320" spans="1:22" x14ac:dyDescent="0.25">
      <c r="A1320" s="10" t="s">
        <v>38</v>
      </c>
      <c r="B1320" t="b">
        <v>1</v>
      </c>
      <c r="C1320" t="b">
        <v>0</v>
      </c>
      <c r="D1320" s="1">
        <v>884</v>
      </c>
      <c r="E1320" s="1">
        <v>0</v>
      </c>
      <c r="F1320" s="1">
        <v>0</v>
      </c>
      <c r="G1320" s="1">
        <v>9260</v>
      </c>
      <c r="H1320" s="1">
        <v>2909</v>
      </c>
      <c r="I1320" s="1">
        <v>0</v>
      </c>
      <c r="J1320" s="3">
        <f t="shared" si="71"/>
        <v>12169</v>
      </c>
      <c r="K1320" s="1">
        <v>0</v>
      </c>
      <c r="L1320" s="1">
        <v>2</v>
      </c>
      <c r="M1320" s="1">
        <v>0</v>
      </c>
      <c r="O1320" s="14">
        <v>0</v>
      </c>
      <c r="P1320" s="17">
        <f t="shared" si="72"/>
        <v>12169</v>
      </c>
      <c r="Q1320" s="1">
        <v>6</v>
      </c>
      <c r="R1320" s="1">
        <v>0</v>
      </c>
      <c r="S1320" s="20">
        <v>41275</v>
      </c>
      <c r="T1320" s="1">
        <v>13061</v>
      </c>
      <c r="U1320" s="9">
        <v>12169</v>
      </c>
      <c r="V1320" s="9" t="s">
        <v>40</v>
      </c>
    </row>
    <row r="1321" spans="1:22" x14ac:dyDescent="0.25">
      <c r="A1321" s="10" t="s">
        <v>38</v>
      </c>
      <c r="B1321" t="b">
        <v>1</v>
      </c>
      <c r="C1321" t="b">
        <v>0</v>
      </c>
      <c r="D1321" s="1">
        <v>1204</v>
      </c>
      <c r="E1321" s="1">
        <v>0</v>
      </c>
      <c r="F1321" s="1">
        <v>0</v>
      </c>
      <c r="G1321" s="1">
        <v>7956</v>
      </c>
      <c r="H1321" s="1">
        <v>3142</v>
      </c>
      <c r="I1321" s="1">
        <v>0</v>
      </c>
      <c r="J1321" s="3">
        <f t="shared" si="71"/>
        <v>11098</v>
      </c>
      <c r="K1321" s="1">
        <v>0</v>
      </c>
      <c r="L1321" s="1">
        <v>1</v>
      </c>
      <c r="M1321" s="1">
        <v>0</v>
      </c>
      <c r="O1321" s="14">
        <v>0</v>
      </c>
      <c r="P1321" s="17">
        <f t="shared" si="72"/>
        <v>11098</v>
      </c>
      <c r="Q1321" s="1">
        <v>14</v>
      </c>
      <c r="R1321" s="1">
        <v>0</v>
      </c>
      <c r="S1321" s="20">
        <v>41306</v>
      </c>
      <c r="T1321" s="1">
        <v>12317</v>
      </c>
      <c r="U1321" s="9">
        <v>11098</v>
      </c>
      <c r="V1321" s="9" t="s">
        <v>40</v>
      </c>
    </row>
    <row r="1322" spans="1:22" x14ac:dyDescent="0.25">
      <c r="A1322" s="10" t="s">
        <v>38</v>
      </c>
      <c r="B1322" t="b">
        <v>0</v>
      </c>
      <c r="C1322" t="b">
        <v>0</v>
      </c>
      <c r="D1322" s="1">
        <v>1044</v>
      </c>
      <c r="E1322" s="1">
        <v>0</v>
      </c>
      <c r="F1322" s="1">
        <v>0</v>
      </c>
      <c r="G1322" s="1">
        <v>14100</v>
      </c>
      <c r="H1322" s="1">
        <v>4305</v>
      </c>
      <c r="I1322" s="1">
        <v>0</v>
      </c>
      <c r="J1322" s="3">
        <f t="shared" si="71"/>
        <v>18405</v>
      </c>
      <c r="K1322" s="1">
        <v>0</v>
      </c>
      <c r="L1322" s="1">
        <v>0</v>
      </c>
      <c r="M1322" s="1">
        <v>0</v>
      </c>
      <c r="O1322" s="14">
        <v>0</v>
      </c>
      <c r="P1322" s="17">
        <f t="shared" si="72"/>
        <v>18405</v>
      </c>
      <c r="Q1322" s="1">
        <v>10</v>
      </c>
      <c r="R1322" s="1">
        <v>0</v>
      </c>
      <c r="S1322" s="20">
        <v>41334</v>
      </c>
      <c r="T1322" s="1">
        <v>19459</v>
      </c>
      <c r="U1322" s="9">
        <v>18405</v>
      </c>
      <c r="V1322" s="9" t="s">
        <v>40</v>
      </c>
    </row>
    <row r="1323" spans="1:22" x14ac:dyDescent="0.25">
      <c r="A1323" s="10" t="s">
        <v>38</v>
      </c>
      <c r="B1323" t="b">
        <v>0</v>
      </c>
      <c r="C1323" t="b">
        <v>0</v>
      </c>
      <c r="D1323" s="1">
        <v>1196</v>
      </c>
      <c r="E1323" s="1">
        <v>0</v>
      </c>
      <c r="F1323" s="1">
        <v>0</v>
      </c>
      <c r="G1323" s="1">
        <v>11460</v>
      </c>
      <c r="H1323" s="1">
        <v>3645</v>
      </c>
      <c r="I1323" s="1">
        <v>0</v>
      </c>
      <c r="J1323" s="3">
        <f t="shared" si="71"/>
        <v>15105</v>
      </c>
      <c r="K1323" s="1">
        <v>0</v>
      </c>
      <c r="L1323" s="1">
        <v>0</v>
      </c>
      <c r="M1323" s="1">
        <v>0</v>
      </c>
      <c r="O1323" s="14">
        <v>0</v>
      </c>
      <c r="P1323" s="17">
        <f t="shared" si="72"/>
        <v>15105</v>
      </c>
      <c r="Q1323" s="1">
        <v>9</v>
      </c>
      <c r="R1323" s="1">
        <v>0</v>
      </c>
      <c r="S1323" s="20">
        <v>41365</v>
      </c>
      <c r="T1323" s="1">
        <v>16310</v>
      </c>
      <c r="U1323" s="9">
        <v>15105</v>
      </c>
      <c r="V1323" s="9" t="s">
        <v>40</v>
      </c>
    </row>
    <row r="1324" spans="1:22" x14ac:dyDescent="0.25">
      <c r="A1324" s="10" t="s">
        <v>38</v>
      </c>
      <c r="B1324" t="b">
        <v>0</v>
      </c>
      <c r="C1324" t="b">
        <v>0</v>
      </c>
      <c r="D1324" s="1">
        <v>1268</v>
      </c>
      <c r="E1324" s="1">
        <v>0</v>
      </c>
      <c r="F1324" s="1">
        <v>0</v>
      </c>
      <c r="G1324" s="1">
        <v>12620</v>
      </c>
      <c r="H1324" s="1">
        <v>5820</v>
      </c>
      <c r="I1324" s="1">
        <v>0</v>
      </c>
      <c r="J1324" s="3">
        <f t="shared" si="71"/>
        <v>18440</v>
      </c>
      <c r="K1324" s="1">
        <v>0</v>
      </c>
      <c r="L1324" s="1">
        <v>0</v>
      </c>
      <c r="M1324" s="1">
        <v>0</v>
      </c>
      <c r="O1324" s="14">
        <v>0</v>
      </c>
      <c r="P1324" s="17">
        <f t="shared" si="72"/>
        <v>18440</v>
      </c>
      <c r="Q1324" s="1">
        <v>12</v>
      </c>
      <c r="R1324" s="1">
        <v>0</v>
      </c>
      <c r="S1324" s="20">
        <v>41395</v>
      </c>
      <c r="T1324" s="1">
        <v>19720</v>
      </c>
      <c r="U1324" s="9">
        <v>18440</v>
      </c>
      <c r="V1324" s="9" t="s">
        <v>40</v>
      </c>
    </row>
    <row r="1325" spans="1:22" x14ac:dyDescent="0.25">
      <c r="A1325" s="10" t="s">
        <v>38</v>
      </c>
      <c r="B1325" t="b">
        <v>0</v>
      </c>
      <c r="C1325" t="b">
        <v>0</v>
      </c>
      <c r="D1325" s="1">
        <v>1160</v>
      </c>
      <c r="E1325" s="1">
        <v>0</v>
      </c>
      <c r="F1325" s="1">
        <v>0</v>
      </c>
      <c r="G1325" s="1">
        <v>16380</v>
      </c>
      <c r="H1325" s="1">
        <v>6230</v>
      </c>
      <c r="I1325" s="1">
        <v>0</v>
      </c>
      <c r="J1325" s="3">
        <f t="shared" si="71"/>
        <v>22610</v>
      </c>
      <c r="K1325" s="1">
        <v>0</v>
      </c>
      <c r="L1325" s="1">
        <v>0</v>
      </c>
      <c r="M1325" s="1">
        <v>0</v>
      </c>
      <c r="O1325" s="14">
        <v>0</v>
      </c>
      <c r="P1325" s="17">
        <f t="shared" si="72"/>
        <v>22610</v>
      </c>
      <c r="Q1325" s="1">
        <v>17</v>
      </c>
      <c r="R1325" s="1">
        <v>0</v>
      </c>
      <c r="S1325" s="20">
        <v>41426</v>
      </c>
      <c r="T1325" s="1">
        <v>23787</v>
      </c>
      <c r="U1325" s="9">
        <v>22610</v>
      </c>
      <c r="V1325" s="9" t="s">
        <v>40</v>
      </c>
    </row>
    <row r="1326" spans="1:22" x14ac:dyDescent="0.25">
      <c r="A1326" s="10" t="s">
        <v>38</v>
      </c>
      <c r="B1326" t="b">
        <v>0</v>
      </c>
      <c r="C1326" t="b">
        <v>0</v>
      </c>
      <c r="D1326" s="1">
        <v>1340</v>
      </c>
      <c r="E1326" s="1">
        <v>0</v>
      </c>
      <c r="F1326" s="1">
        <v>0</v>
      </c>
      <c r="G1326" s="1">
        <v>14700</v>
      </c>
      <c r="H1326" s="1">
        <v>6665</v>
      </c>
      <c r="I1326" s="1">
        <v>0</v>
      </c>
      <c r="J1326" s="3">
        <f t="shared" si="71"/>
        <v>21365</v>
      </c>
      <c r="K1326" s="1">
        <v>0</v>
      </c>
      <c r="L1326" s="1">
        <v>0</v>
      </c>
      <c r="M1326" s="1">
        <v>0</v>
      </c>
      <c r="O1326" s="14">
        <v>0</v>
      </c>
      <c r="P1326" s="17">
        <f t="shared" si="72"/>
        <v>21365</v>
      </c>
      <c r="Q1326" s="1">
        <v>12</v>
      </c>
      <c r="R1326" s="1">
        <v>0</v>
      </c>
      <c r="S1326" s="20">
        <v>41456</v>
      </c>
      <c r="T1326" s="1">
        <v>22717</v>
      </c>
      <c r="U1326" s="9">
        <v>21365</v>
      </c>
      <c r="V1326" s="9" t="s">
        <v>40</v>
      </c>
    </row>
    <row r="1327" spans="1:22" x14ac:dyDescent="0.25">
      <c r="A1327" s="10" t="s">
        <v>38</v>
      </c>
      <c r="B1327" t="b">
        <v>0</v>
      </c>
      <c r="C1327" t="b">
        <v>0</v>
      </c>
      <c r="D1327" s="1">
        <v>2880</v>
      </c>
      <c r="E1327" s="1">
        <v>0</v>
      </c>
      <c r="F1327" s="1">
        <v>0</v>
      </c>
      <c r="G1327" s="1">
        <v>18120</v>
      </c>
      <c r="H1327" s="1">
        <v>7275</v>
      </c>
      <c r="I1327" s="1">
        <v>0</v>
      </c>
      <c r="J1327" s="3">
        <f t="shared" si="71"/>
        <v>25395</v>
      </c>
      <c r="K1327" s="1">
        <v>0</v>
      </c>
      <c r="L1327" s="1">
        <v>0</v>
      </c>
      <c r="M1327" s="1">
        <v>0</v>
      </c>
      <c r="O1327" s="14">
        <v>0</v>
      </c>
      <c r="P1327" s="17">
        <f t="shared" si="72"/>
        <v>25395</v>
      </c>
      <c r="Q1327" s="1">
        <v>10</v>
      </c>
      <c r="R1327" s="1">
        <v>0</v>
      </c>
      <c r="S1327" s="20">
        <v>41487</v>
      </c>
      <c r="T1327" s="1">
        <v>28285</v>
      </c>
      <c r="U1327" s="9">
        <v>25395</v>
      </c>
      <c r="V1327" s="9" t="s">
        <v>40</v>
      </c>
    </row>
    <row r="1328" spans="1:22" x14ac:dyDescent="0.25">
      <c r="A1328" s="10" t="s">
        <v>38</v>
      </c>
      <c r="B1328" t="b">
        <v>0</v>
      </c>
      <c r="C1328" t="b">
        <v>0</v>
      </c>
      <c r="D1328" s="1">
        <v>2552</v>
      </c>
      <c r="E1328" s="1">
        <v>0</v>
      </c>
      <c r="F1328" s="1">
        <v>0</v>
      </c>
      <c r="G1328" s="1">
        <v>22500</v>
      </c>
      <c r="H1328" s="1">
        <v>7226</v>
      </c>
      <c r="I1328" s="1">
        <v>0</v>
      </c>
      <c r="J1328" s="3">
        <f t="shared" si="71"/>
        <v>29726</v>
      </c>
      <c r="K1328" s="1">
        <v>0</v>
      </c>
      <c r="L1328" s="1">
        <v>0</v>
      </c>
      <c r="M1328" s="1">
        <v>0</v>
      </c>
      <c r="O1328" s="14">
        <v>0</v>
      </c>
      <c r="P1328" s="17">
        <f t="shared" si="72"/>
        <v>29726</v>
      </c>
      <c r="Q1328" s="1">
        <v>32</v>
      </c>
      <c r="R1328" s="1">
        <v>0</v>
      </c>
      <c r="S1328" s="20">
        <v>41518</v>
      </c>
      <c r="T1328" s="1">
        <v>32310</v>
      </c>
      <c r="U1328" s="9">
        <v>29726</v>
      </c>
      <c r="V1328" s="9" t="s">
        <v>40</v>
      </c>
    </row>
    <row r="1329" spans="1:22" x14ac:dyDescent="0.25">
      <c r="A1329" s="10" t="s">
        <v>38</v>
      </c>
      <c r="B1329" t="b">
        <v>0</v>
      </c>
      <c r="C1329" t="b">
        <v>0</v>
      </c>
      <c r="D1329" s="1">
        <v>1660</v>
      </c>
      <c r="E1329" s="1">
        <v>0</v>
      </c>
      <c r="F1329" s="1">
        <v>0</v>
      </c>
      <c r="G1329" s="1">
        <v>16500</v>
      </c>
      <c r="H1329" s="1">
        <v>6350</v>
      </c>
      <c r="I1329" s="1">
        <v>0</v>
      </c>
      <c r="J1329" s="3">
        <f t="shared" si="71"/>
        <v>22850</v>
      </c>
      <c r="K1329" s="1">
        <v>0</v>
      </c>
      <c r="L1329" s="1">
        <v>0</v>
      </c>
      <c r="M1329" s="1">
        <v>0</v>
      </c>
      <c r="O1329" s="14">
        <v>0</v>
      </c>
      <c r="P1329" s="17">
        <f t="shared" si="72"/>
        <v>22850</v>
      </c>
      <c r="Q1329" s="1">
        <v>20</v>
      </c>
      <c r="R1329" s="1">
        <v>0</v>
      </c>
      <c r="S1329" s="20">
        <v>41548</v>
      </c>
      <c r="T1329" s="1">
        <v>24530</v>
      </c>
      <c r="U1329" s="9">
        <v>22850</v>
      </c>
      <c r="V1329" s="9" t="s">
        <v>40</v>
      </c>
    </row>
    <row r="1330" spans="1:22" x14ac:dyDescent="0.25">
      <c r="A1330" s="10" t="s">
        <v>38</v>
      </c>
      <c r="B1330" t="b">
        <v>0</v>
      </c>
      <c r="C1330" t="b">
        <v>0</v>
      </c>
      <c r="D1330" s="1">
        <v>1000</v>
      </c>
      <c r="E1330" s="1">
        <v>0</v>
      </c>
      <c r="F1330" s="1">
        <v>0</v>
      </c>
      <c r="G1330" s="1">
        <v>11480</v>
      </c>
      <c r="H1330" s="1">
        <v>3860</v>
      </c>
      <c r="I1330" s="1">
        <v>0</v>
      </c>
      <c r="J1330" s="3">
        <f t="shared" si="71"/>
        <v>15340</v>
      </c>
      <c r="K1330" s="1">
        <v>0</v>
      </c>
      <c r="L1330" s="1">
        <v>0</v>
      </c>
      <c r="M1330" s="1">
        <v>0</v>
      </c>
      <c r="O1330" s="14">
        <v>0</v>
      </c>
      <c r="P1330" s="17">
        <f t="shared" si="72"/>
        <v>15340</v>
      </c>
      <c r="Q1330" s="1">
        <v>15</v>
      </c>
      <c r="R1330" s="1">
        <v>0</v>
      </c>
      <c r="S1330" s="20">
        <v>41579</v>
      </c>
      <c r="T1330" s="1">
        <v>16355</v>
      </c>
      <c r="U1330" s="9">
        <v>15340</v>
      </c>
      <c r="V1330" s="9" t="s">
        <v>40</v>
      </c>
    </row>
    <row r="1331" spans="1:22" x14ac:dyDescent="0.25">
      <c r="A1331" s="10" t="s">
        <v>38</v>
      </c>
      <c r="B1331" t="b">
        <v>0</v>
      </c>
      <c r="C1331" t="b">
        <v>0</v>
      </c>
      <c r="D1331" s="1">
        <v>344</v>
      </c>
      <c r="E1331" s="1">
        <v>0</v>
      </c>
      <c r="F1331" s="1">
        <v>0</v>
      </c>
      <c r="G1331" s="1">
        <v>5060</v>
      </c>
      <c r="H1331" s="1">
        <v>2490</v>
      </c>
      <c r="I1331" s="1">
        <v>0</v>
      </c>
      <c r="J1331" s="3">
        <f t="shared" si="71"/>
        <v>7550</v>
      </c>
      <c r="K1331" s="1">
        <v>0</v>
      </c>
      <c r="L1331" s="1">
        <v>0</v>
      </c>
      <c r="M1331" s="1">
        <v>0</v>
      </c>
      <c r="O1331" s="14">
        <v>0</v>
      </c>
      <c r="P1331" s="17">
        <f t="shared" si="72"/>
        <v>7550</v>
      </c>
      <c r="Q1331" s="1">
        <v>6</v>
      </c>
      <c r="R1331" s="1">
        <v>0</v>
      </c>
      <c r="S1331" s="20">
        <v>41609</v>
      </c>
      <c r="T1331" s="1">
        <v>7900</v>
      </c>
      <c r="U1331" s="9">
        <v>7550</v>
      </c>
      <c r="V1331" s="9" t="s">
        <v>40</v>
      </c>
    </row>
    <row r="1332" spans="1:22" x14ac:dyDescent="0.25">
      <c r="A1332" s="10" t="s">
        <v>38</v>
      </c>
      <c r="B1332" t="b">
        <v>0</v>
      </c>
      <c r="C1332" t="b">
        <v>0</v>
      </c>
      <c r="D1332" s="1">
        <v>322</v>
      </c>
      <c r="E1332" s="1">
        <v>0</v>
      </c>
      <c r="F1332" s="1">
        <v>0</v>
      </c>
      <c r="G1332" s="1">
        <v>2280</v>
      </c>
      <c r="H1332" s="1">
        <v>3205</v>
      </c>
      <c r="I1332" s="1">
        <v>0</v>
      </c>
      <c r="J1332" s="3">
        <f t="shared" si="71"/>
        <v>5485</v>
      </c>
      <c r="K1332" s="1">
        <v>0</v>
      </c>
      <c r="L1332" s="1">
        <v>0</v>
      </c>
      <c r="M1332" s="1">
        <v>0</v>
      </c>
      <c r="O1332" s="14">
        <v>0</v>
      </c>
      <c r="P1332" s="17">
        <f t="shared" si="72"/>
        <v>5485</v>
      </c>
      <c r="Q1332" s="1">
        <v>18</v>
      </c>
      <c r="R1332" s="1">
        <v>0</v>
      </c>
      <c r="S1332" s="20">
        <v>41640</v>
      </c>
      <c r="T1332" s="1">
        <v>5825</v>
      </c>
      <c r="U1332" s="9">
        <v>5485</v>
      </c>
      <c r="V1332" s="9" t="s">
        <v>39</v>
      </c>
    </row>
    <row r="1333" spans="1:22" x14ac:dyDescent="0.25">
      <c r="A1333" s="10" t="s">
        <v>38</v>
      </c>
      <c r="B1333" t="b">
        <v>0</v>
      </c>
      <c r="C1333" t="b">
        <v>0</v>
      </c>
      <c r="D1333" s="1">
        <v>860</v>
      </c>
      <c r="E1333" s="1">
        <v>0</v>
      </c>
      <c r="F1333" s="1">
        <v>0</v>
      </c>
      <c r="G1333" s="1">
        <v>10240</v>
      </c>
      <c r="H1333" s="1">
        <v>3375</v>
      </c>
      <c r="I1333" s="1">
        <v>0</v>
      </c>
      <c r="J1333" s="3">
        <f t="shared" si="71"/>
        <v>13615</v>
      </c>
      <c r="K1333" s="1">
        <v>0</v>
      </c>
      <c r="L1333" s="1">
        <v>0</v>
      </c>
      <c r="M1333" s="1">
        <v>0</v>
      </c>
      <c r="O1333" s="14">
        <v>0</v>
      </c>
      <c r="P1333" s="17">
        <f t="shared" si="72"/>
        <v>13615</v>
      </c>
      <c r="Q1333" s="1">
        <v>14</v>
      </c>
      <c r="R1333" s="1">
        <v>0</v>
      </c>
      <c r="S1333" s="20">
        <v>41671</v>
      </c>
      <c r="T1333" s="1">
        <v>14489</v>
      </c>
      <c r="U1333" s="9">
        <v>13615</v>
      </c>
      <c r="V1333" s="9" t="s">
        <v>39</v>
      </c>
    </row>
    <row r="1334" spans="1:22" x14ac:dyDescent="0.25">
      <c r="A1334" s="10" t="s">
        <v>38</v>
      </c>
      <c r="B1334" t="b">
        <v>0</v>
      </c>
      <c r="C1334" t="b">
        <v>0</v>
      </c>
      <c r="D1334" s="1">
        <v>804</v>
      </c>
      <c r="E1334" s="1">
        <v>0</v>
      </c>
      <c r="F1334" s="1">
        <v>0</v>
      </c>
      <c r="G1334" s="1">
        <v>13020</v>
      </c>
      <c r="H1334" s="1">
        <v>3825</v>
      </c>
      <c r="I1334" s="1">
        <v>0</v>
      </c>
      <c r="J1334" s="3">
        <f t="shared" si="71"/>
        <v>16845</v>
      </c>
      <c r="K1334" s="1">
        <v>0</v>
      </c>
      <c r="L1334" s="1">
        <v>0</v>
      </c>
      <c r="M1334" s="1">
        <v>0</v>
      </c>
      <c r="O1334" s="14">
        <v>0</v>
      </c>
      <c r="P1334" s="17">
        <f t="shared" si="72"/>
        <v>16845</v>
      </c>
      <c r="Q1334" s="1">
        <v>11</v>
      </c>
      <c r="R1334" s="1">
        <v>0</v>
      </c>
      <c r="S1334" s="20">
        <v>41699</v>
      </c>
      <c r="T1334" s="1">
        <v>17660</v>
      </c>
      <c r="U1334" s="9">
        <v>16845</v>
      </c>
      <c r="V1334" s="9" t="s">
        <v>39</v>
      </c>
    </row>
    <row r="1335" spans="1:22" x14ac:dyDescent="0.25">
      <c r="A1335" s="10" t="s">
        <v>38</v>
      </c>
      <c r="B1335" t="b">
        <v>0</v>
      </c>
      <c r="C1335" t="b">
        <v>0</v>
      </c>
      <c r="D1335" s="1">
        <v>892</v>
      </c>
      <c r="E1335" s="1">
        <v>0</v>
      </c>
      <c r="F1335" s="1">
        <v>0</v>
      </c>
      <c r="G1335" s="1">
        <v>14800</v>
      </c>
      <c r="H1335" s="1">
        <v>4575</v>
      </c>
      <c r="I1335" s="1">
        <v>0</v>
      </c>
      <c r="J1335" s="3">
        <f t="shared" si="71"/>
        <v>19375</v>
      </c>
      <c r="K1335" s="1">
        <v>0</v>
      </c>
      <c r="L1335" s="1">
        <v>0</v>
      </c>
      <c r="M1335" s="1">
        <v>0</v>
      </c>
      <c r="O1335" s="14">
        <v>0</v>
      </c>
      <c r="P1335" s="17">
        <f t="shared" si="72"/>
        <v>19375</v>
      </c>
      <c r="Q1335" s="1">
        <v>7</v>
      </c>
      <c r="R1335" s="1">
        <v>0</v>
      </c>
      <c r="S1335" s="20">
        <v>41730</v>
      </c>
      <c r="T1335" s="1">
        <v>20274</v>
      </c>
      <c r="U1335" s="9">
        <v>19375</v>
      </c>
      <c r="V1335" s="9" t="s">
        <v>39</v>
      </c>
    </row>
    <row r="1336" spans="1:22" x14ac:dyDescent="0.25">
      <c r="A1336" s="10" t="s">
        <v>38</v>
      </c>
      <c r="B1336" t="b">
        <v>0</v>
      </c>
      <c r="C1336" t="b">
        <v>0</v>
      </c>
      <c r="D1336" s="1">
        <v>1240</v>
      </c>
      <c r="E1336" s="1">
        <v>0</v>
      </c>
      <c r="F1336" s="1">
        <v>0</v>
      </c>
      <c r="G1336" s="1">
        <v>18220</v>
      </c>
      <c r="H1336" s="1">
        <v>6020</v>
      </c>
      <c r="I1336" s="1">
        <v>0</v>
      </c>
      <c r="J1336" s="3">
        <f t="shared" si="71"/>
        <v>24240</v>
      </c>
      <c r="K1336" s="1">
        <v>0</v>
      </c>
      <c r="L1336" s="1">
        <v>0</v>
      </c>
      <c r="M1336" s="1">
        <v>0</v>
      </c>
      <c r="O1336" s="14">
        <v>0</v>
      </c>
      <c r="P1336" s="17">
        <f t="shared" si="72"/>
        <v>24240</v>
      </c>
      <c r="Q1336" s="1">
        <v>10</v>
      </c>
      <c r="R1336" s="1">
        <v>0</v>
      </c>
      <c r="S1336" s="20">
        <v>41760</v>
      </c>
      <c r="T1336" s="1">
        <v>25490</v>
      </c>
      <c r="U1336" s="9">
        <v>24240</v>
      </c>
      <c r="V1336" s="9" t="s">
        <v>39</v>
      </c>
    </row>
    <row r="1337" spans="1:22" x14ac:dyDescent="0.25">
      <c r="A1337" s="10" t="s">
        <v>38</v>
      </c>
      <c r="B1337" t="b">
        <v>0</v>
      </c>
      <c r="C1337" t="b">
        <v>0</v>
      </c>
      <c r="D1337" s="1">
        <v>880</v>
      </c>
      <c r="E1337" s="1">
        <v>0</v>
      </c>
      <c r="F1337" s="1">
        <v>0</v>
      </c>
      <c r="G1337" s="1">
        <v>10940</v>
      </c>
      <c r="H1337" s="1">
        <v>4060</v>
      </c>
      <c r="I1337" s="1">
        <v>0</v>
      </c>
      <c r="J1337" s="3">
        <f t="shared" si="71"/>
        <v>15000</v>
      </c>
      <c r="K1337" s="1">
        <v>0</v>
      </c>
      <c r="L1337" s="1">
        <v>0</v>
      </c>
      <c r="M1337" s="1">
        <v>0</v>
      </c>
      <c r="O1337" s="14">
        <v>0</v>
      </c>
      <c r="P1337" s="17">
        <f t="shared" si="72"/>
        <v>15000</v>
      </c>
      <c r="Q1337" s="1">
        <v>7</v>
      </c>
      <c r="R1337" s="1">
        <v>0</v>
      </c>
      <c r="S1337" s="20">
        <v>41791</v>
      </c>
      <c r="T1337" s="1">
        <v>15887</v>
      </c>
      <c r="U1337" s="9">
        <v>15000</v>
      </c>
      <c r="V1337" s="9" t="s">
        <v>39</v>
      </c>
    </row>
    <row r="1338" spans="1:22" x14ac:dyDescent="0.25">
      <c r="A1338" s="10" t="s">
        <v>38</v>
      </c>
      <c r="B1338" t="b">
        <v>0</v>
      </c>
      <c r="C1338" t="b">
        <v>0</v>
      </c>
      <c r="D1338" s="1">
        <v>1348</v>
      </c>
      <c r="E1338" s="1">
        <v>0</v>
      </c>
      <c r="F1338" s="1">
        <v>0</v>
      </c>
      <c r="G1338" s="1">
        <v>14980</v>
      </c>
      <c r="H1338" s="1">
        <v>6010</v>
      </c>
      <c r="I1338" s="1">
        <v>0</v>
      </c>
      <c r="J1338" s="3">
        <f t="shared" si="71"/>
        <v>20990</v>
      </c>
      <c r="K1338" s="1">
        <v>0</v>
      </c>
      <c r="L1338" s="1">
        <v>0</v>
      </c>
      <c r="M1338" s="1">
        <v>0</v>
      </c>
      <c r="O1338" s="14">
        <v>0</v>
      </c>
      <c r="P1338" s="17">
        <f t="shared" si="72"/>
        <v>20990</v>
      </c>
      <c r="Q1338" s="1">
        <v>9</v>
      </c>
      <c r="R1338" s="1">
        <v>0</v>
      </c>
      <c r="S1338" s="20">
        <v>41821</v>
      </c>
      <c r="T1338" s="1">
        <v>22347</v>
      </c>
      <c r="U1338" s="9">
        <v>20990</v>
      </c>
      <c r="V1338" s="9" t="s">
        <v>39</v>
      </c>
    </row>
    <row r="1339" spans="1:22" x14ac:dyDescent="0.25">
      <c r="A1339" s="10" t="s">
        <v>38</v>
      </c>
      <c r="B1339" t="b">
        <v>0</v>
      </c>
      <c r="C1339" t="b">
        <v>0</v>
      </c>
      <c r="D1339" s="1">
        <v>3176</v>
      </c>
      <c r="E1339" s="1">
        <v>0</v>
      </c>
      <c r="F1339" s="1">
        <v>0</v>
      </c>
      <c r="G1339" s="1">
        <v>18980</v>
      </c>
      <c r="H1339" s="1">
        <v>7625</v>
      </c>
      <c r="I1339" s="1">
        <v>0</v>
      </c>
      <c r="J1339" s="3">
        <f t="shared" si="71"/>
        <v>26605</v>
      </c>
      <c r="K1339" s="1">
        <v>0</v>
      </c>
      <c r="L1339" s="1">
        <v>0</v>
      </c>
      <c r="M1339" s="1">
        <v>0</v>
      </c>
      <c r="O1339" s="14">
        <v>0</v>
      </c>
      <c r="P1339" s="17">
        <f t="shared" si="72"/>
        <v>26605</v>
      </c>
      <c r="Q1339" s="1">
        <v>9</v>
      </c>
      <c r="R1339" s="1">
        <v>0</v>
      </c>
      <c r="S1339" s="20">
        <v>41852</v>
      </c>
      <c r="T1339" s="1">
        <v>29790</v>
      </c>
      <c r="U1339" s="9">
        <v>26605</v>
      </c>
      <c r="V1339" s="9" t="s">
        <v>39</v>
      </c>
    </row>
    <row r="1340" spans="1:22" x14ac:dyDescent="0.25">
      <c r="A1340" s="10" t="s">
        <v>38</v>
      </c>
      <c r="B1340" t="b">
        <v>0</v>
      </c>
      <c r="C1340" t="b">
        <v>0</v>
      </c>
      <c r="D1340" s="1">
        <v>4436</v>
      </c>
      <c r="E1340" s="1">
        <v>0</v>
      </c>
      <c r="F1340" s="1">
        <v>0</v>
      </c>
      <c r="G1340" s="1">
        <v>22180</v>
      </c>
      <c r="H1340" s="1">
        <v>8295</v>
      </c>
      <c r="I1340" s="1">
        <v>0</v>
      </c>
      <c r="J1340" s="3">
        <f t="shared" si="71"/>
        <v>30475</v>
      </c>
      <c r="K1340" s="1">
        <v>0</v>
      </c>
      <c r="L1340" s="1">
        <v>0</v>
      </c>
      <c r="M1340" s="1">
        <v>0</v>
      </c>
      <c r="O1340" s="14">
        <v>0</v>
      </c>
      <c r="P1340" s="17">
        <f t="shared" si="72"/>
        <v>30475</v>
      </c>
      <c r="Q1340" s="1">
        <v>20</v>
      </c>
      <c r="R1340" s="1">
        <v>0</v>
      </c>
      <c r="S1340" s="20">
        <v>41883</v>
      </c>
      <c r="T1340" s="1">
        <v>34931</v>
      </c>
      <c r="U1340" s="9">
        <v>30475</v>
      </c>
      <c r="V1340" s="9" t="s">
        <v>39</v>
      </c>
    </row>
    <row r="1341" spans="1:22" x14ac:dyDescent="0.25">
      <c r="A1341" s="10" t="s">
        <v>38</v>
      </c>
      <c r="B1341" t="b">
        <v>0</v>
      </c>
      <c r="C1341" t="b">
        <v>0</v>
      </c>
      <c r="D1341" s="1">
        <v>3104</v>
      </c>
      <c r="E1341" s="1">
        <v>0</v>
      </c>
      <c r="F1341" s="1">
        <v>0</v>
      </c>
      <c r="G1341" s="1">
        <v>15440</v>
      </c>
      <c r="H1341" s="1">
        <v>5140</v>
      </c>
      <c r="I1341" s="1">
        <v>0</v>
      </c>
      <c r="J1341" s="3">
        <f t="shared" si="71"/>
        <v>20580</v>
      </c>
      <c r="K1341" s="1">
        <v>0</v>
      </c>
      <c r="L1341" s="1">
        <v>0</v>
      </c>
      <c r="M1341" s="1">
        <v>0</v>
      </c>
      <c r="O1341" s="14">
        <v>0</v>
      </c>
      <c r="P1341" s="17">
        <f t="shared" si="72"/>
        <v>20580</v>
      </c>
      <c r="Q1341" s="1">
        <v>12</v>
      </c>
      <c r="R1341" s="1">
        <v>0</v>
      </c>
      <c r="S1341" s="20">
        <v>41913</v>
      </c>
      <c r="T1341" s="1">
        <v>23696</v>
      </c>
      <c r="U1341" s="9">
        <v>20580</v>
      </c>
      <c r="V1341" s="9" t="s">
        <v>39</v>
      </c>
    </row>
    <row r="1342" spans="1:22" x14ac:dyDescent="0.25">
      <c r="A1342" s="10" t="s">
        <v>38</v>
      </c>
      <c r="B1342" t="b">
        <v>0</v>
      </c>
      <c r="C1342" t="b">
        <v>0</v>
      </c>
      <c r="D1342" s="1">
        <v>1860</v>
      </c>
      <c r="E1342" s="1">
        <v>0</v>
      </c>
      <c r="F1342" s="1">
        <v>0</v>
      </c>
      <c r="G1342" s="1">
        <v>3616</v>
      </c>
      <c r="H1342" s="1">
        <v>2693</v>
      </c>
      <c r="I1342" s="1">
        <v>0</v>
      </c>
      <c r="J1342" s="3">
        <f t="shared" si="71"/>
        <v>6309</v>
      </c>
      <c r="K1342" s="1">
        <v>24</v>
      </c>
      <c r="L1342" s="1">
        <v>0</v>
      </c>
      <c r="M1342" s="1">
        <v>0</v>
      </c>
      <c r="O1342" s="14">
        <v>0</v>
      </c>
      <c r="P1342" s="17">
        <f t="shared" si="72"/>
        <v>6309</v>
      </c>
      <c r="Q1342" s="1">
        <v>5</v>
      </c>
      <c r="R1342" s="1">
        <v>0</v>
      </c>
      <c r="S1342" s="20">
        <v>41944</v>
      </c>
      <c r="T1342" s="1">
        <v>8198</v>
      </c>
      <c r="U1342" s="9">
        <v>6309</v>
      </c>
      <c r="V1342" s="9" t="s">
        <v>39</v>
      </c>
    </row>
    <row r="1343" spans="1:22" x14ac:dyDescent="0.25">
      <c r="A1343" s="10" t="s">
        <v>38</v>
      </c>
      <c r="B1343" t="b">
        <v>0</v>
      </c>
      <c r="C1343" t="b">
        <v>0</v>
      </c>
      <c r="D1343" s="1">
        <v>1128</v>
      </c>
      <c r="E1343" s="1">
        <v>0</v>
      </c>
      <c r="F1343" s="1">
        <v>0</v>
      </c>
      <c r="G1343" s="1">
        <v>3264</v>
      </c>
      <c r="H1343" s="1">
        <v>3144</v>
      </c>
      <c r="I1343" s="1">
        <v>0</v>
      </c>
      <c r="J1343" s="3">
        <f t="shared" si="71"/>
        <v>6408</v>
      </c>
      <c r="K1343" s="1">
        <v>0</v>
      </c>
      <c r="L1343" s="1">
        <v>0</v>
      </c>
      <c r="M1343" s="1">
        <v>0</v>
      </c>
      <c r="O1343" s="14">
        <v>0</v>
      </c>
      <c r="P1343" s="17">
        <f t="shared" si="72"/>
        <v>6408</v>
      </c>
      <c r="Q1343" s="1">
        <v>3</v>
      </c>
      <c r="R1343" s="1">
        <v>0</v>
      </c>
      <c r="S1343" s="20">
        <v>41974</v>
      </c>
      <c r="T1343" s="1">
        <v>7539</v>
      </c>
      <c r="U1343" s="9">
        <v>6408</v>
      </c>
      <c r="V1343" s="9" t="s">
        <v>39</v>
      </c>
    </row>
    <row r="1344" spans="1:22" x14ac:dyDescent="0.25">
      <c r="A1344" s="10" t="s">
        <v>38</v>
      </c>
      <c r="B1344" t="b">
        <v>0</v>
      </c>
      <c r="C1344" t="b">
        <v>0</v>
      </c>
      <c r="D1344" s="1">
        <v>1160</v>
      </c>
      <c r="E1344" s="1">
        <v>0</v>
      </c>
      <c r="F1344" s="1">
        <v>0</v>
      </c>
      <c r="G1344" s="1">
        <v>2704</v>
      </c>
      <c r="H1344" s="1">
        <v>3277</v>
      </c>
      <c r="I1344" s="1">
        <v>0</v>
      </c>
      <c r="J1344" s="3">
        <f t="shared" si="71"/>
        <v>5981</v>
      </c>
      <c r="K1344" s="1">
        <v>0</v>
      </c>
      <c r="L1344" s="1">
        <v>0</v>
      </c>
      <c r="M1344" s="1">
        <v>0</v>
      </c>
      <c r="O1344" s="14">
        <v>0</v>
      </c>
      <c r="P1344" s="17">
        <f t="shared" si="72"/>
        <v>5981</v>
      </c>
      <c r="Q1344" s="1">
        <v>8</v>
      </c>
      <c r="R1344" s="1">
        <v>0</v>
      </c>
      <c r="S1344" s="20">
        <v>42005</v>
      </c>
      <c r="T1344" s="1">
        <v>7149</v>
      </c>
      <c r="U1344" s="9">
        <v>5981</v>
      </c>
      <c r="V1344" s="9" t="s">
        <v>39</v>
      </c>
    </row>
    <row r="1345" spans="1:22" x14ac:dyDescent="0.25">
      <c r="A1345" s="10" t="s">
        <v>38</v>
      </c>
      <c r="B1345" t="b">
        <v>0</v>
      </c>
      <c r="C1345" t="b">
        <v>0</v>
      </c>
      <c r="D1345" s="1">
        <v>964</v>
      </c>
      <c r="E1345" s="1">
        <v>0</v>
      </c>
      <c r="F1345" s="1">
        <v>0</v>
      </c>
      <c r="G1345" s="1">
        <v>2900</v>
      </c>
      <c r="H1345" s="1">
        <v>3342</v>
      </c>
      <c r="I1345" s="1">
        <v>0</v>
      </c>
      <c r="J1345" s="3">
        <f t="shared" si="71"/>
        <v>6242</v>
      </c>
      <c r="K1345" s="1">
        <v>3</v>
      </c>
      <c r="L1345" s="1">
        <v>0</v>
      </c>
      <c r="M1345" s="1">
        <v>0</v>
      </c>
      <c r="O1345" s="14">
        <v>0</v>
      </c>
      <c r="P1345" s="17">
        <f t="shared" si="72"/>
        <v>6242</v>
      </c>
      <c r="Q1345" s="1">
        <v>0</v>
      </c>
      <c r="R1345" s="1">
        <v>0</v>
      </c>
      <c r="S1345" s="20">
        <v>42036</v>
      </c>
      <c r="T1345" s="1">
        <v>7209</v>
      </c>
      <c r="U1345" s="9">
        <v>6242</v>
      </c>
      <c r="V1345" s="9" t="s">
        <v>39</v>
      </c>
    </row>
    <row r="1346" spans="1:22" x14ac:dyDescent="0.25">
      <c r="A1346" s="10" t="s">
        <v>38</v>
      </c>
      <c r="B1346" t="b">
        <v>0</v>
      </c>
      <c r="C1346" t="b">
        <v>0</v>
      </c>
      <c r="D1346" s="1">
        <v>1460</v>
      </c>
      <c r="E1346" s="1">
        <v>0</v>
      </c>
      <c r="F1346" s="1">
        <v>0</v>
      </c>
      <c r="G1346" s="1">
        <v>2876</v>
      </c>
      <c r="H1346" s="1">
        <v>3553</v>
      </c>
      <c r="I1346" s="1">
        <v>0</v>
      </c>
      <c r="J1346" s="3">
        <f t="shared" si="71"/>
        <v>6429</v>
      </c>
      <c r="K1346" s="1">
        <v>18</v>
      </c>
      <c r="L1346" s="1">
        <v>0</v>
      </c>
      <c r="M1346" s="1">
        <v>0</v>
      </c>
      <c r="O1346" s="14">
        <v>0</v>
      </c>
      <c r="P1346" s="17">
        <f t="shared" si="72"/>
        <v>6429</v>
      </c>
      <c r="Q1346" s="1">
        <v>5</v>
      </c>
      <c r="R1346" s="1">
        <v>0</v>
      </c>
      <c r="S1346" s="20">
        <v>42064</v>
      </c>
      <c r="T1346" s="1">
        <v>7912</v>
      </c>
      <c r="U1346" s="9">
        <v>6429</v>
      </c>
      <c r="V1346" s="9" t="s">
        <v>39</v>
      </c>
    </row>
    <row r="1347" spans="1:22" x14ac:dyDescent="0.25">
      <c r="A1347" s="10" t="s">
        <v>38</v>
      </c>
      <c r="B1347" t="b">
        <v>0</v>
      </c>
      <c r="C1347" t="b">
        <v>0</v>
      </c>
      <c r="D1347" s="1">
        <v>1896</v>
      </c>
      <c r="E1347" s="1">
        <v>0</v>
      </c>
      <c r="F1347" s="1">
        <v>0</v>
      </c>
      <c r="G1347" s="1">
        <v>2388</v>
      </c>
      <c r="H1347" s="1">
        <v>3576</v>
      </c>
      <c r="I1347" s="1">
        <v>0</v>
      </c>
      <c r="J1347" s="3">
        <f t="shared" si="71"/>
        <v>5964</v>
      </c>
      <c r="K1347" s="1">
        <v>0</v>
      </c>
      <c r="L1347" s="1">
        <v>21</v>
      </c>
      <c r="M1347" s="1">
        <v>0</v>
      </c>
      <c r="O1347" s="14">
        <v>0</v>
      </c>
      <c r="P1347" s="17">
        <f t="shared" si="72"/>
        <v>5964</v>
      </c>
      <c r="Q1347" s="1">
        <v>6</v>
      </c>
      <c r="R1347" s="1">
        <v>0</v>
      </c>
      <c r="S1347" s="20">
        <v>42095</v>
      </c>
      <c r="T1347" s="1">
        <v>7887</v>
      </c>
      <c r="U1347" s="9">
        <v>5964</v>
      </c>
      <c r="V1347" s="9" t="s">
        <v>39</v>
      </c>
    </row>
    <row r="1348" spans="1:22" x14ac:dyDescent="0.25">
      <c r="A1348" s="10" t="s">
        <v>38</v>
      </c>
      <c r="B1348" t="b">
        <v>0</v>
      </c>
      <c r="C1348" t="b">
        <v>0</v>
      </c>
      <c r="D1348" s="1">
        <v>1880</v>
      </c>
      <c r="E1348" s="1">
        <v>0</v>
      </c>
      <c r="F1348" s="1">
        <v>0</v>
      </c>
      <c r="G1348" s="1">
        <v>2608</v>
      </c>
      <c r="H1348" s="1">
        <v>3758</v>
      </c>
      <c r="I1348" s="1">
        <v>0</v>
      </c>
      <c r="J1348" s="3">
        <f t="shared" si="71"/>
        <v>6366</v>
      </c>
      <c r="K1348" s="1">
        <v>57</v>
      </c>
      <c r="L1348" s="1">
        <v>0</v>
      </c>
      <c r="M1348" s="1">
        <v>0</v>
      </c>
      <c r="O1348" s="14">
        <v>0</v>
      </c>
      <c r="P1348" s="17">
        <f t="shared" si="72"/>
        <v>6366</v>
      </c>
      <c r="Q1348" s="1">
        <v>3</v>
      </c>
      <c r="R1348" s="1">
        <v>0</v>
      </c>
      <c r="S1348" s="20">
        <v>42125</v>
      </c>
      <c r="T1348" s="1">
        <v>8306</v>
      </c>
      <c r="U1348" s="9">
        <v>6366</v>
      </c>
      <c r="V1348" s="9" t="s">
        <v>39</v>
      </c>
    </row>
    <row r="1349" spans="1:22" x14ac:dyDescent="0.25">
      <c r="A1349" s="10" t="s">
        <v>38</v>
      </c>
      <c r="B1349" t="b">
        <v>0</v>
      </c>
      <c r="C1349" t="b">
        <v>0</v>
      </c>
      <c r="D1349" s="1">
        <v>1024</v>
      </c>
      <c r="E1349" s="1">
        <v>0</v>
      </c>
      <c r="F1349" s="1">
        <v>0</v>
      </c>
      <c r="G1349" s="1">
        <v>2444</v>
      </c>
      <c r="H1349" s="1">
        <v>3874</v>
      </c>
      <c r="I1349" s="1">
        <v>0</v>
      </c>
      <c r="J1349" s="3">
        <f t="shared" si="71"/>
        <v>6318</v>
      </c>
      <c r="K1349" s="1">
        <v>30</v>
      </c>
      <c r="L1349" s="1">
        <v>0</v>
      </c>
      <c r="M1349" s="1">
        <v>0</v>
      </c>
      <c r="O1349" s="14">
        <v>0</v>
      </c>
      <c r="P1349" s="17">
        <f t="shared" si="72"/>
        <v>6318</v>
      </c>
      <c r="Q1349" s="1">
        <v>0</v>
      </c>
      <c r="R1349" s="1">
        <v>5</v>
      </c>
      <c r="S1349" s="20">
        <v>42156</v>
      </c>
      <c r="T1349" s="1">
        <v>7377</v>
      </c>
      <c r="U1349" s="9">
        <v>6318</v>
      </c>
      <c r="V1349" s="9" t="s">
        <v>39</v>
      </c>
    </row>
    <row r="1350" spans="1:22" x14ac:dyDescent="0.25">
      <c r="A1350" s="10" t="s">
        <v>38</v>
      </c>
      <c r="B1350" t="b">
        <v>0</v>
      </c>
      <c r="C1350" t="b">
        <v>0</v>
      </c>
      <c r="D1350" s="1">
        <v>3232</v>
      </c>
      <c r="E1350" s="1">
        <v>0</v>
      </c>
      <c r="F1350" s="1">
        <v>0</v>
      </c>
      <c r="G1350" s="1">
        <v>2244</v>
      </c>
      <c r="H1350" s="1">
        <v>3699</v>
      </c>
      <c r="I1350" s="1">
        <v>0</v>
      </c>
      <c r="J1350" s="3">
        <f t="shared" si="71"/>
        <v>5943</v>
      </c>
      <c r="K1350" s="1">
        <v>78</v>
      </c>
      <c r="L1350" s="1">
        <v>0</v>
      </c>
      <c r="M1350" s="1">
        <v>0</v>
      </c>
      <c r="O1350" s="14">
        <v>0</v>
      </c>
      <c r="P1350" s="17">
        <f t="shared" si="72"/>
        <v>5943</v>
      </c>
      <c r="Q1350" s="1">
        <v>5</v>
      </c>
      <c r="R1350" s="1">
        <v>0</v>
      </c>
      <c r="S1350" s="20">
        <v>42186</v>
      </c>
      <c r="T1350" s="1">
        <v>9258</v>
      </c>
      <c r="U1350" s="9">
        <v>5943</v>
      </c>
      <c r="V1350" s="9" t="s">
        <v>39</v>
      </c>
    </row>
    <row r="1351" spans="1:22" x14ac:dyDescent="0.25">
      <c r="A1351" s="10" t="s">
        <v>38</v>
      </c>
      <c r="B1351" t="b">
        <v>0</v>
      </c>
      <c r="C1351" t="b">
        <v>0</v>
      </c>
      <c r="D1351" s="1">
        <v>4196</v>
      </c>
      <c r="E1351" s="1">
        <v>0</v>
      </c>
      <c r="F1351" s="1">
        <v>0</v>
      </c>
      <c r="G1351" s="1">
        <v>1936</v>
      </c>
      <c r="H1351" s="1">
        <v>3642</v>
      </c>
      <c r="I1351" s="1">
        <v>0</v>
      </c>
      <c r="J1351" s="3">
        <f t="shared" si="71"/>
        <v>5578</v>
      </c>
      <c r="K1351" s="1">
        <v>39</v>
      </c>
      <c r="L1351" s="1">
        <v>0</v>
      </c>
      <c r="M1351" s="1">
        <v>0</v>
      </c>
      <c r="O1351" s="14">
        <v>0</v>
      </c>
      <c r="P1351" s="17">
        <f t="shared" si="72"/>
        <v>5578</v>
      </c>
      <c r="Q1351" s="1">
        <v>2</v>
      </c>
      <c r="R1351" s="1">
        <v>0</v>
      </c>
      <c r="S1351" s="20">
        <v>42217</v>
      </c>
      <c r="T1351" s="1">
        <v>9815</v>
      </c>
      <c r="U1351" s="9">
        <v>5578</v>
      </c>
      <c r="V1351" s="9" t="s">
        <v>39</v>
      </c>
    </row>
    <row r="1352" spans="1:22" x14ac:dyDescent="0.25">
      <c r="A1352" s="10" t="s">
        <v>38</v>
      </c>
      <c r="B1352" t="b">
        <v>0</v>
      </c>
      <c r="C1352" t="b">
        <v>0</v>
      </c>
      <c r="D1352" s="1">
        <v>5020</v>
      </c>
      <c r="E1352" s="1">
        <v>0</v>
      </c>
      <c r="F1352" s="1">
        <v>0</v>
      </c>
      <c r="G1352" s="1">
        <v>1788</v>
      </c>
      <c r="H1352" s="1">
        <v>3629</v>
      </c>
      <c r="I1352" s="1">
        <v>0</v>
      </c>
      <c r="J1352" s="3">
        <f t="shared" si="71"/>
        <v>5417</v>
      </c>
      <c r="K1352" s="1">
        <v>72</v>
      </c>
      <c r="L1352" s="1">
        <v>0</v>
      </c>
      <c r="M1352" s="1">
        <v>0</v>
      </c>
      <c r="O1352" s="14">
        <v>0</v>
      </c>
      <c r="P1352" s="17">
        <f t="shared" si="72"/>
        <v>5417</v>
      </c>
      <c r="Q1352" s="1">
        <v>5</v>
      </c>
      <c r="R1352" s="1">
        <v>0</v>
      </c>
      <c r="S1352" s="20">
        <v>42248</v>
      </c>
      <c r="T1352" s="1">
        <v>10514</v>
      </c>
      <c r="U1352" s="9">
        <v>5417</v>
      </c>
      <c r="V1352" s="9" t="s">
        <v>39</v>
      </c>
    </row>
    <row r="1353" spans="1:22" x14ac:dyDescent="0.25">
      <c r="A1353" s="10" t="s">
        <v>38</v>
      </c>
      <c r="B1353" t="b">
        <v>0</v>
      </c>
      <c r="C1353" t="b">
        <v>0</v>
      </c>
      <c r="D1353" s="1">
        <v>4636</v>
      </c>
      <c r="E1353" s="1">
        <v>0</v>
      </c>
      <c r="F1353" s="1">
        <v>0</v>
      </c>
      <c r="G1353" s="1">
        <v>1820</v>
      </c>
      <c r="H1353" s="1">
        <v>3453</v>
      </c>
      <c r="I1353" s="1">
        <v>0</v>
      </c>
      <c r="J1353" s="3">
        <f t="shared" si="71"/>
        <v>5273</v>
      </c>
      <c r="K1353" s="1">
        <v>75</v>
      </c>
      <c r="L1353" s="1">
        <v>0</v>
      </c>
      <c r="M1353" s="1">
        <v>0</v>
      </c>
      <c r="O1353" s="14">
        <v>0</v>
      </c>
      <c r="P1353" s="17">
        <f t="shared" si="72"/>
        <v>5273</v>
      </c>
      <c r="Q1353" s="1">
        <v>0</v>
      </c>
      <c r="R1353" s="1">
        <v>0</v>
      </c>
      <c r="S1353" s="20">
        <v>42278</v>
      </c>
      <c r="T1353" s="1">
        <v>9984</v>
      </c>
      <c r="U1353" s="9">
        <v>5273</v>
      </c>
      <c r="V1353" s="9" t="s">
        <v>39</v>
      </c>
    </row>
    <row r="1354" spans="1:22" x14ac:dyDescent="0.25">
      <c r="A1354" s="10" t="s">
        <v>38</v>
      </c>
      <c r="B1354" t="b">
        <v>0</v>
      </c>
      <c r="C1354" t="b">
        <v>0</v>
      </c>
      <c r="D1354" s="1">
        <v>1728</v>
      </c>
      <c r="E1354" s="1">
        <v>0</v>
      </c>
      <c r="F1354" s="1">
        <v>0</v>
      </c>
      <c r="G1354" s="1">
        <v>1920</v>
      </c>
      <c r="H1354" s="1">
        <v>3415</v>
      </c>
      <c r="I1354" s="1">
        <v>0</v>
      </c>
      <c r="J1354" s="3">
        <f t="shared" si="71"/>
        <v>5335</v>
      </c>
      <c r="K1354" s="1">
        <v>36</v>
      </c>
      <c r="L1354" s="1">
        <v>0</v>
      </c>
      <c r="M1354" s="1">
        <v>0</v>
      </c>
      <c r="O1354" s="14">
        <v>0</v>
      </c>
      <c r="P1354" s="17">
        <f t="shared" si="72"/>
        <v>5335</v>
      </c>
      <c r="Q1354" s="1">
        <v>2</v>
      </c>
      <c r="R1354" s="1">
        <v>0</v>
      </c>
      <c r="S1354" s="20">
        <v>42309</v>
      </c>
      <c r="T1354" s="1">
        <v>7101</v>
      </c>
      <c r="U1354" s="9">
        <v>5335</v>
      </c>
      <c r="V1354" s="9" t="s">
        <v>39</v>
      </c>
    </row>
    <row r="1355" spans="1:22" x14ac:dyDescent="0.25">
      <c r="A1355" s="10" t="s">
        <v>38</v>
      </c>
      <c r="B1355" t="b">
        <v>0</v>
      </c>
      <c r="C1355" t="b">
        <v>0</v>
      </c>
      <c r="D1355" s="1">
        <v>684</v>
      </c>
      <c r="E1355" s="1">
        <v>0</v>
      </c>
      <c r="F1355" s="1">
        <v>0</v>
      </c>
      <c r="G1355" s="1">
        <v>2644</v>
      </c>
      <c r="H1355" s="1">
        <v>3666</v>
      </c>
      <c r="I1355" s="1">
        <v>0</v>
      </c>
      <c r="J1355" s="3">
        <f t="shared" si="71"/>
        <v>6310</v>
      </c>
      <c r="K1355" s="1">
        <v>27</v>
      </c>
      <c r="L1355" s="1">
        <v>0</v>
      </c>
      <c r="M1355" s="1">
        <v>0</v>
      </c>
      <c r="O1355" s="14">
        <v>0</v>
      </c>
      <c r="P1355" s="17">
        <f t="shared" si="72"/>
        <v>6310</v>
      </c>
      <c r="Q1355" s="1">
        <v>1</v>
      </c>
      <c r="R1355" s="1">
        <v>0</v>
      </c>
      <c r="S1355" s="20">
        <v>42339</v>
      </c>
      <c r="T1355" s="1">
        <v>7022</v>
      </c>
      <c r="U1355" s="9">
        <v>6310</v>
      </c>
      <c r="V1355" s="9" t="s">
        <v>39</v>
      </c>
    </row>
    <row r="1356" spans="1:22" x14ac:dyDescent="0.25">
      <c r="A1356" s="10" t="s">
        <v>38</v>
      </c>
      <c r="B1356" t="b">
        <v>0</v>
      </c>
      <c r="C1356" t="b">
        <v>0</v>
      </c>
      <c r="D1356" s="1">
        <v>1032</v>
      </c>
      <c r="E1356" s="1">
        <v>0</v>
      </c>
      <c r="F1356" s="1">
        <v>0</v>
      </c>
      <c r="G1356" s="1">
        <v>2372</v>
      </c>
      <c r="H1356" s="1">
        <v>3356</v>
      </c>
      <c r="I1356" s="1">
        <v>0</v>
      </c>
      <c r="J1356" s="3">
        <f t="shared" si="71"/>
        <v>5728</v>
      </c>
      <c r="K1356" s="1">
        <v>33</v>
      </c>
      <c r="L1356" s="1">
        <v>0</v>
      </c>
      <c r="M1356" s="1">
        <v>0</v>
      </c>
      <c r="O1356" s="14">
        <v>0</v>
      </c>
      <c r="P1356" s="17">
        <f t="shared" si="72"/>
        <v>5728</v>
      </c>
      <c r="Q1356" s="1">
        <v>2</v>
      </c>
      <c r="R1356" s="1">
        <v>0</v>
      </c>
      <c r="S1356" s="20">
        <v>42370</v>
      </c>
      <c r="T1356" s="1">
        <v>6795</v>
      </c>
      <c r="U1356" s="9">
        <v>5728</v>
      </c>
      <c r="V1356" s="9" t="s">
        <v>46</v>
      </c>
    </row>
    <row r="1357" spans="1:22" x14ac:dyDescent="0.25">
      <c r="A1357" s="10" t="s">
        <v>38</v>
      </c>
      <c r="B1357" t="b">
        <v>0</v>
      </c>
      <c r="C1357" t="b">
        <v>0</v>
      </c>
      <c r="D1357" s="1">
        <v>1892</v>
      </c>
      <c r="E1357" s="1">
        <v>0</v>
      </c>
      <c r="F1357" s="1">
        <v>0</v>
      </c>
      <c r="G1357" s="1">
        <v>1572</v>
      </c>
      <c r="H1357" s="1">
        <v>3137</v>
      </c>
      <c r="I1357" s="1">
        <v>0</v>
      </c>
      <c r="J1357" s="3">
        <f t="shared" si="71"/>
        <v>4709</v>
      </c>
      <c r="K1357" s="1">
        <v>21</v>
      </c>
      <c r="L1357" s="1">
        <v>0</v>
      </c>
      <c r="M1357" s="1">
        <v>0</v>
      </c>
      <c r="O1357" s="14">
        <v>0</v>
      </c>
      <c r="P1357" s="17">
        <f t="shared" si="72"/>
        <v>4709</v>
      </c>
      <c r="Q1357" s="1">
        <v>0</v>
      </c>
      <c r="R1357" s="1">
        <v>0</v>
      </c>
      <c r="S1357" s="20">
        <v>42401</v>
      </c>
      <c r="T1357" s="1">
        <v>6622</v>
      </c>
      <c r="U1357" s="9">
        <v>4709</v>
      </c>
      <c r="V1357" s="9" t="s">
        <v>46</v>
      </c>
    </row>
    <row r="1358" spans="1:22" x14ac:dyDescent="0.25">
      <c r="A1358" s="10" t="s">
        <v>38</v>
      </c>
      <c r="B1358" t="b">
        <v>0</v>
      </c>
      <c r="C1358" t="b">
        <v>0</v>
      </c>
      <c r="D1358" s="1">
        <v>968</v>
      </c>
      <c r="E1358" s="1">
        <v>0</v>
      </c>
      <c r="F1358" s="1">
        <v>0</v>
      </c>
      <c r="G1358" s="1">
        <v>2104</v>
      </c>
      <c r="H1358" s="1">
        <v>3250</v>
      </c>
      <c r="I1358" s="1">
        <v>0</v>
      </c>
      <c r="J1358" s="3">
        <f t="shared" si="71"/>
        <v>5354</v>
      </c>
      <c r="K1358" s="1">
        <v>12</v>
      </c>
      <c r="L1358" s="1">
        <v>0</v>
      </c>
      <c r="M1358" s="1">
        <v>0</v>
      </c>
      <c r="O1358" s="14">
        <v>0</v>
      </c>
      <c r="P1358" s="17">
        <f t="shared" si="72"/>
        <v>5354</v>
      </c>
      <c r="Q1358" s="1">
        <v>0</v>
      </c>
      <c r="R1358" s="1">
        <v>0</v>
      </c>
      <c r="S1358" s="20">
        <v>42430</v>
      </c>
      <c r="T1358" s="1">
        <v>6334</v>
      </c>
      <c r="U1358" s="9">
        <v>5354</v>
      </c>
      <c r="V1358" s="9" t="s">
        <v>46</v>
      </c>
    </row>
    <row r="1359" spans="1:22" x14ac:dyDescent="0.25">
      <c r="A1359" s="10" t="s">
        <v>38</v>
      </c>
      <c r="B1359" t="b">
        <v>0</v>
      </c>
      <c r="C1359" t="b">
        <v>0</v>
      </c>
      <c r="D1359" s="1">
        <v>2128</v>
      </c>
      <c r="E1359" s="1">
        <v>0</v>
      </c>
      <c r="F1359" s="1">
        <v>0</v>
      </c>
      <c r="G1359" s="1">
        <v>2384</v>
      </c>
      <c r="H1359" s="1">
        <v>3535</v>
      </c>
      <c r="I1359" s="1">
        <v>0</v>
      </c>
      <c r="J1359" s="3">
        <f t="shared" si="71"/>
        <v>5919</v>
      </c>
      <c r="K1359" s="1">
        <v>177</v>
      </c>
      <c r="L1359" s="1">
        <v>0</v>
      </c>
      <c r="M1359" s="1">
        <v>0</v>
      </c>
      <c r="O1359" s="14">
        <v>0</v>
      </c>
      <c r="P1359" s="17">
        <f t="shared" si="72"/>
        <v>5919</v>
      </c>
      <c r="Q1359" s="1">
        <v>0</v>
      </c>
      <c r="R1359" s="1">
        <v>0</v>
      </c>
      <c r="S1359" s="20">
        <v>42461</v>
      </c>
      <c r="T1359" s="1">
        <v>8224</v>
      </c>
      <c r="U1359" s="9">
        <v>5919</v>
      </c>
      <c r="V1359" s="9" t="s">
        <v>46</v>
      </c>
    </row>
    <row r="1360" spans="1:22" x14ac:dyDescent="0.25">
      <c r="A1360" s="10" t="s">
        <v>38</v>
      </c>
      <c r="B1360" t="b">
        <v>0</v>
      </c>
      <c r="C1360" t="b">
        <v>0</v>
      </c>
      <c r="D1360" s="1">
        <v>1636</v>
      </c>
      <c r="E1360" s="1">
        <v>0</v>
      </c>
      <c r="F1360" s="1">
        <v>0</v>
      </c>
      <c r="G1360" s="1">
        <v>2472</v>
      </c>
      <c r="H1360" s="1">
        <v>3907</v>
      </c>
      <c r="I1360" s="1">
        <v>0</v>
      </c>
      <c r="J1360" s="3">
        <f t="shared" si="71"/>
        <v>6379</v>
      </c>
      <c r="K1360" s="1">
        <v>0</v>
      </c>
      <c r="L1360" s="1">
        <v>29</v>
      </c>
      <c r="M1360" s="1">
        <v>0</v>
      </c>
      <c r="O1360" s="14">
        <v>0</v>
      </c>
      <c r="P1360" s="17">
        <f t="shared" si="72"/>
        <v>6379</v>
      </c>
      <c r="Q1360" s="1">
        <v>0</v>
      </c>
      <c r="R1360" s="1">
        <v>0</v>
      </c>
      <c r="S1360" s="20">
        <v>42491</v>
      </c>
      <c r="T1360" s="1">
        <v>8044</v>
      </c>
      <c r="U1360" s="9">
        <v>6379</v>
      </c>
      <c r="V1360" s="9" t="s">
        <v>46</v>
      </c>
    </row>
    <row r="1361" spans="1:22" x14ac:dyDescent="0.25">
      <c r="A1361" s="10" t="s">
        <v>38</v>
      </c>
      <c r="B1361" t="b">
        <v>0</v>
      </c>
      <c r="C1361" t="b">
        <v>0</v>
      </c>
      <c r="D1361" s="1">
        <v>1348</v>
      </c>
      <c r="E1361" s="1">
        <v>0</v>
      </c>
      <c r="F1361" s="1">
        <v>0</v>
      </c>
      <c r="G1361" s="1">
        <v>2316</v>
      </c>
      <c r="H1361" s="1">
        <v>3817</v>
      </c>
      <c r="I1361" s="1">
        <v>0</v>
      </c>
      <c r="J1361" s="3">
        <f t="shared" si="71"/>
        <v>6133</v>
      </c>
      <c r="K1361" s="1">
        <v>72</v>
      </c>
      <c r="L1361" s="1">
        <v>0</v>
      </c>
      <c r="M1361" s="1">
        <v>0</v>
      </c>
      <c r="O1361" s="14">
        <v>0</v>
      </c>
      <c r="P1361" s="17">
        <f t="shared" si="72"/>
        <v>6133</v>
      </c>
      <c r="Q1361" s="1">
        <v>0</v>
      </c>
      <c r="R1361" s="1">
        <v>0</v>
      </c>
      <c r="S1361" s="20">
        <v>42522</v>
      </c>
      <c r="T1361" s="1">
        <v>7553</v>
      </c>
      <c r="U1361" s="9">
        <v>6133</v>
      </c>
      <c r="V1361" s="9" t="s">
        <v>46</v>
      </c>
    </row>
    <row r="1362" spans="1:22" x14ac:dyDescent="0.25">
      <c r="A1362" s="10" t="s">
        <v>38</v>
      </c>
      <c r="B1362" t="b">
        <v>0</v>
      </c>
      <c r="C1362" t="b">
        <v>0</v>
      </c>
      <c r="D1362" s="1">
        <v>2492</v>
      </c>
      <c r="E1362" s="1">
        <v>0</v>
      </c>
      <c r="F1362" s="1">
        <v>0</v>
      </c>
      <c r="G1362" s="1">
        <v>2552</v>
      </c>
      <c r="H1362" s="1">
        <v>4306</v>
      </c>
      <c r="I1362" s="1">
        <v>0</v>
      </c>
      <c r="J1362" s="3">
        <f t="shared" si="71"/>
        <v>6858</v>
      </c>
      <c r="K1362" s="1">
        <v>105</v>
      </c>
      <c r="L1362" s="1">
        <v>0</v>
      </c>
      <c r="M1362" s="1">
        <v>0</v>
      </c>
      <c r="O1362" s="14">
        <v>0</v>
      </c>
      <c r="P1362" s="17">
        <f t="shared" si="72"/>
        <v>6858</v>
      </c>
      <c r="Q1362" s="1">
        <v>0</v>
      </c>
      <c r="R1362" s="1">
        <v>0</v>
      </c>
      <c r="S1362" s="20">
        <v>42552</v>
      </c>
      <c r="T1362" s="1">
        <v>9455</v>
      </c>
      <c r="U1362" s="9">
        <v>6858</v>
      </c>
      <c r="V1362" s="9" t="s">
        <v>46</v>
      </c>
    </row>
    <row r="1363" spans="1:22" x14ac:dyDescent="0.25">
      <c r="A1363" s="10" t="s">
        <v>38</v>
      </c>
      <c r="B1363" t="b">
        <v>0</v>
      </c>
      <c r="C1363" t="b">
        <v>0</v>
      </c>
      <c r="D1363" s="1">
        <v>3364</v>
      </c>
      <c r="E1363" s="1">
        <v>0</v>
      </c>
      <c r="F1363" s="1">
        <v>0</v>
      </c>
      <c r="G1363" s="1">
        <v>2264</v>
      </c>
      <c r="H1363" s="1">
        <v>3881</v>
      </c>
      <c r="I1363" s="1">
        <v>0</v>
      </c>
      <c r="J1363" s="3">
        <f t="shared" si="71"/>
        <v>6145</v>
      </c>
      <c r="K1363" s="1">
        <v>72</v>
      </c>
      <c r="L1363" s="1">
        <v>0</v>
      </c>
      <c r="M1363" s="1">
        <v>0</v>
      </c>
      <c r="O1363" s="14">
        <v>0</v>
      </c>
      <c r="P1363" s="17">
        <f t="shared" si="72"/>
        <v>6145</v>
      </c>
      <c r="Q1363" s="1">
        <v>0</v>
      </c>
      <c r="R1363" s="1">
        <v>0</v>
      </c>
      <c r="S1363" s="20">
        <v>42583</v>
      </c>
      <c r="T1363" s="1">
        <v>9581</v>
      </c>
      <c r="U1363" s="9">
        <v>6145</v>
      </c>
      <c r="V1363" s="9" t="s">
        <v>46</v>
      </c>
    </row>
    <row r="1364" spans="1:22" x14ac:dyDescent="0.25">
      <c r="A1364" s="10" t="s">
        <v>38</v>
      </c>
      <c r="B1364" t="b">
        <v>0</v>
      </c>
      <c r="C1364" t="b">
        <v>0</v>
      </c>
      <c r="D1364" s="1">
        <v>3880</v>
      </c>
      <c r="E1364" s="1">
        <v>0</v>
      </c>
      <c r="F1364" s="1">
        <v>0</v>
      </c>
      <c r="G1364" s="1">
        <v>2508</v>
      </c>
      <c r="H1364" s="1">
        <v>3921</v>
      </c>
      <c r="I1364" s="1">
        <v>0</v>
      </c>
      <c r="J1364" s="3">
        <f t="shared" si="71"/>
        <v>6429</v>
      </c>
      <c r="K1364" s="1">
        <v>114</v>
      </c>
      <c r="L1364" s="1">
        <v>0</v>
      </c>
      <c r="M1364" s="1">
        <v>0</v>
      </c>
      <c r="O1364" s="14">
        <v>0</v>
      </c>
      <c r="P1364" s="17">
        <f t="shared" si="72"/>
        <v>6429</v>
      </c>
      <c r="Q1364" s="1">
        <v>0</v>
      </c>
      <c r="R1364" s="1">
        <v>0</v>
      </c>
      <c r="S1364" s="20">
        <v>42614</v>
      </c>
      <c r="T1364" s="1">
        <v>10423</v>
      </c>
      <c r="U1364" s="9">
        <v>6429</v>
      </c>
      <c r="V1364" s="9" t="s">
        <v>46</v>
      </c>
    </row>
    <row r="1365" spans="1:22" x14ac:dyDescent="0.25">
      <c r="A1365" s="10" t="s">
        <v>38</v>
      </c>
      <c r="B1365" t="b">
        <v>0</v>
      </c>
      <c r="C1365" t="b">
        <v>0</v>
      </c>
      <c r="D1365" s="1">
        <v>4832</v>
      </c>
      <c r="E1365" s="1">
        <v>0</v>
      </c>
      <c r="F1365" s="1">
        <v>0</v>
      </c>
      <c r="G1365" s="1">
        <v>3288</v>
      </c>
      <c r="H1365" s="1">
        <v>2769</v>
      </c>
      <c r="I1365" s="1">
        <v>0</v>
      </c>
      <c r="J1365" s="3">
        <f t="shared" si="71"/>
        <v>6057</v>
      </c>
      <c r="K1365" s="1">
        <v>27</v>
      </c>
      <c r="L1365" s="1">
        <v>0</v>
      </c>
      <c r="M1365" s="1">
        <v>0</v>
      </c>
      <c r="O1365" s="14">
        <v>0</v>
      </c>
      <c r="P1365" s="17">
        <f t="shared" si="72"/>
        <v>6057</v>
      </c>
      <c r="Q1365" s="1">
        <v>0</v>
      </c>
      <c r="R1365" s="1">
        <v>0</v>
      </c>
      <c r="S1365" s="20">
        <v>42644</v>
      </c>
      <c r="T1365" s="1">
        <v>10916</v>
      </c>
      <c r="U1365" s="9">
        <v>6057</v>
      </c>
      <c r="V1365" s="9" t="s">
        <v>46</v>
      </c>
    </row>
    <row r="1366" spans="1:22" x14ac:dyDescent="0.25">
      <c r="A1366" s="10" t="s">
        <v>38</v>
      </c>
      <c r="B1366" t="b">
        <v>0</v>
      </c>
      <c r="C1366" t="b">
        <v>0</v>
      </c>
      <c r="D1366" s="1">
        <v>2384</v>
      </c>
      <c r="E1366" s="1">
        <v>0</v>
      </c>
      <c r="F1366" s="1">
        <v>0</v>
      </c>
      <c r="G1366" s="1">
        <v>2140</v>
      </c>
      <c r="H1366" s="1">
        <v>3288</v>
      </c>
      <c r="I1366" s="1">
        <v>0</v>
      </c>
      <c r="J1366" s="3">
        <f t="shared" si="71"/>
        <v>5428</v>
      </c>
      <c r="K1366" s="1">
        <v>30</v>
      </c>
      <c r="L1366" s="1">
        <v>0</v>
      </c>
      <c r="M1366" s="1">
        <v>0</v>
      </c>
      <c r="O1366" s="14">
        <v>0</v>
      </c>
      <c r="P1366" s="17">
        <f t="shared" si="72"/>
        <v>5428</v>
      </c>
      <c r="Q1366" s="1">
        <v>0</v>
      </c>
      <c r="R1366" s="1">
        <v>0</v>
      </c>
      <c r="S1366" s="20">
        <v>42675</v>
      </c>
      <c r="T1366" s="1">
        <v>7842</v>
      </c>
      <c r="U1366" s="9">
        <v>5428</v>
      </c>
      <c r="V1366" s="9" t="s">
        <v>46</v>
      </c>
    </row>
    <row r="1367" spans="1:22" x14ac:dyDescent="0.25">
      <c r="A1367" s="10" t="s">
        <v>38</v>
      </c>
      <c r="B1367" t="b">
        <v>0</v>
      </c>
      <c r="C1367" t="b">
        <v>0</v>
      </c>
      <c r="D1367" s="1">
        <v>1504</v>
      </c>
      <c r="E1367" s="1">
        <v>0</v>
      </c>
      <c r="F1367" s="1">
        <v>0</v>
      </c>
      <c r="G1367" s="1">
        <v>2160</v>
      </c>
      <c r="H1367" s="1">
        <v>3602</v>
      </c>
      <c r="I1367" s="1">
        <v>0</v>
      </c>
      <c r="J1367" s="3">
        <f t="shared" si="71"/>
        <v>5762</v>
      </c>
      <c r="K1367" s="1">
        <v>18</v>
      </c>
      <c r="L1367" s="1">
        <v>0</v>
      </c>
      <c r="M1367" s="1">
        <v>0</v>
      </c>
      <c r="O1367" s="14">
        <v>0</v>
      </c>
      <c r="P1367" s="17">
        <f t="shared" si="72"/>
        <v>5762</v>
      </c>
      <c r="Q1367" s="1">
        <v>1</v>
      </c>
      <c r="R1367" s="1">
        <v>0</v>
      </c>
      <c r="S1367" s="20">
        <v>42705</v>
      </c>
      <c r="T1367" s="1">
        <v>7285</v>
      </c>
      <c r="U1367" s="9">
        <v>5762</v>
      </c>
      <c r="V1367" s="9" t="s">
        <v>46</v>
      </c>
    </row>
    <row r="1368" spans="1:22" x14ac:dyDescent="0.25">
      <c r="A1368" s="10" t="s">
        <v>38</v>
      </c>
      <c r="B1368" t="b">
        <v>0</v>
      </c>
      <c r="C1368" t="b">
        <v>0</v>
      </c>
      <c r="D1368" s="1">
        <v>1344</v>
      </c>
      <c r="E1368" s="1">
        <v>0</v>
      </c>
      <c r="F1368" s="1">
        <v>0</v>
      </c>
      <c r="G1368" s="1">
        <v>2172</v>
      </c>
      <c r="H1368" s="1">
        <v>4253</v>
      </c>
      <c r="I1368" s="1">
        <v>0</v>
      </c>
      <c r="J1368" s="3">
        <f t="shared" si="71"/>
        <v>6425</v>
      </c>
      <c r="K1368" s="1">
        <v>18</v>
      </c>
      <c r="L1368" s="1">
        <v>0</v>
      </c>
      <c r="M1368" s="1">
        <v>0</v>
      </c>
      <c r="O1368" s="14">
        <v>0</v>
      </c>
      <c r="P1368" s="17">
        <f t="shared" si="72"/>
        <v>6425</v>
      </c>
      <c r="Q1368" s="1">
        <v>0</v>
      </c>
      <c r="R1368" s="1">
        <v>0</v>
      </c>
      <c r="S1368" s="20">
        <v>42736</v>
      </c>
      <c r="T1368" s="1">
        <v>7787</v>
      </c>
      <c r="U1368" s="9">
        <v>6425</v>
      </c>
      <c r="V1368" s="9" t="s">
        <v>21</v>
      </c>
    </row>
    <row r="1369" spans="1:22" x14ac:dyDescent="0.25">
      <c r="A1369" s="10" t="s">
        <v>38</v>
      </c>
      <c r="B1369" t="b">
        <v>0</v>
      </c>
      <c r="C1369" t="b">
        <v>0</v>
      </c>
      <c r="D1369" s="1">
        <v>1348</v>
      </c>
      <c r="E1369" s="1">
        <v>0</v>
      </c>
      <c r="F1369" s="1">
        <v>0</v>
      </c>
      <c r="G1369" s="1">
        <v>1328</v>
      </c>
      <c r="H1369" s="1">
        <v>3706</v>
      </c>
      <c r="I1369" s="1">
        <v>0</v>
      </c>
      <c r="J1369" s="3">
        <f t="shared" si="71"/>
        <v>5034</v>
      </c>
      <c r="K1369" s="1">
        <v>4</v>
      </c>
      <c r="L1369" s="1">
        <v>0</v>
      </c>
      <c r="M1369" s="1">
        <v>0</v>
      </c>
      <c r="O1369" s="14">
        <v>0</v>
      </c>
      <c r="P1369" s="17">
        <f t="shared" si="72"/>
        <v>5034</v>
      </c>
      <c r="Q1369" s="1">
        <v>0</v>
      </c>
      <c r="R1369" s="1">
        <v>0</v>
      </c>
      <c r="S1369" s="20">
        <v>42767</v>
      </c>
      <c r="T1369" s="1">
        <v>6386</v>
      </c>
      <c r="U1369" s="9">
        <v>5034</v>
      </c>
      <c r="V1369" s="9" t="s">
        <v>21</v>
      </c>
    </row>
    <row r="1370" spans="1:22" x14ac:dyDescent="0.25">
      <c r="A1370" s="10" t="s">
        <v>38</v>
      </c>
      <c r="B1370" t="b">
        <v>0</v>
      </c>
      <c r="C1370" t="b">
        <v>0</v>
      </c>
      <c r="D1370" s="1">
        <v>1640</v>
      </c>
      <c r="E1370" s="1">
        <v>0</v>
      </c>
      <c r="F1370" s="1">
        <v>0</v>
      </c>
      <c r="G1370" s="1">
        <v>1112</v>
      </c>
      <c r="H1370" s="1">
        <v>4899</v>
      </c>
      <c r="I1370" s="1">
        <v>0</v>
      </c>
      <c r="J1370" s="3">
        <f t="shared" si="71"/>
        <v>6011</v>
      </c>
      <c r="K1370" s="1">
        <v>24</v>
      </c>
      <c r="L1370" s="1">
        <v>0</v>
      </c>
      <c r="M1370" s="1">
        <v>0</v>
      </c>
      <c r="O1370" s="14">
        <v>0</v>
      </c>
      <c r="P1370" s="17">
        <f t="shared" si="72"/>
        <v>6011</v>
      </c>
      <c r="Q1370" s="1">
        <v>0</v>
      </c>
      <c r="R1370" s="1">
        <v>0</v>
      </c>
      <c r="S1370" s="20">
        <v>42795</v>
      </c>
      <c r="T1370" s="1">
        <v>7675</v>
      </c>
      <c r="U1370" s="9">
        <v>6011</v>
      </c>
      <c r="V1370" s="9" t="s">
        <v>21</v>
      </c>
    </row>
    <row r="1371" spans="1:22" x14ac:dyDescent="0.25">
      <c r="A1371" s="10" t="s">
        <v>38</v>
      </c>
      <c r="B1371" t="b">
        <v>0</v>
      </c>
      <c r="C1371" t="b">
        <v>0</v>
      </c>
      <c r="D1371" s="1">
        <v>2104</v>
      </c>
      <c r="E1371" s="1">
        <v>0</v>
      </c>
      <c r="F1371" s="1">
        <v>0</v>
      </c>
      <c r="G1371" s="1">
        <v>2394</v>
      </c>
      <c r="H1371" s="1">
        <v>0</v>
      </c>
      <c r="I1371" s="1">
        <v>0</v>
      </c>
      <c r="J1371" s="3">
        <f t="shared" si="71"/>
        <v>2394</v>
      </c>
      <c r="K1371" s="1">
        <v>0</v>
      </c>
      <c r="L1371" s="1">
        <v>0</v>
      </c>
      <c r="M1371" s="1">
        <v>0</v>
      </c>
      <c r="O1371" s="14">
        <v>0</v>
      </c>
      <c r="P1371" s="17">
        <f t="shared" si="72"/>
        <v>2394</v>
      </c>
      <c r="Q1371" s="1">
        <v>4</v>
      </c>
      <c r="R1371" s="1">
        <v>0</v>
      </c>
      <c r="S1371" s="20">
        <v>42826</v>
      </c>
      <c r="T1371" s="1">
        <v>4502</v>
      </c>
      <c r="U1371" s="9">
        <v>2394</v>
      </c>
      <c r="V1371" s="9" t="s">
        <v>21</v>
      </c>
    </row>
    <row r="1372" spans="1:22" x14ac:dyDescent="0.25">
      <c r="A1372" s="10" t="s">
        <v>38</v>
      </c>
      <c r="B1372" t="b">
        <v>0</v>
      </c>
      <c r="C1372" t="b">
        <v>0</v>
      </c>
      <c r="D1372" s="1">
        <v>2516</v>
      </c>
      <c r="E1372" s="1">
        <v>0</v>
      </c>
      <c r="F1372" s="1">
        <v>0</v>
      </c>
      <c r="G1372" s="1">
        <v>1036</v>
      </c>
      <c r="H1372" s="1">
        <v>4811</v>
      </c>
      <c r="I1372" s="1">
        <v>0</v>
      </c>
      <c r="J1372" s="3">
        <f t="shared" si="71"/>
        <v>5847</v>
      </c>
      <c r="K1372" s="1">
        <v>57</v>
      </c>
      <c r="L1372" s="1">
        <v>0</v>
      </c>
      <c r="M1372" s="1">
        <v>0</v>
      </c>
      <c r="O1372" s="14">
        <v>0</v>
      </c>
      <c r="P1372" s="17">
        <f t="shared" si="72"/>
        <v>5847</v>
      </c>
      <c r="Q1372" s="1">
        <v>0</v>
      </c>
      <c r="R1372" s="1">
        <v>0</v>
      </c>
      <c r="S1372" s="20">
        <v>42856</v>
      </c>
      <c r="T1372" s="1">
        <v>8420</v>
      </c>
      <c r="U1372" s="9">
        <v>5847</v>
      </c>
      <c r="V1372" s="9" t="s">
        <v>21</v>
      </c>
    </row>
    <row r="1373" spans="1:22" x14ac:dyDescent="0.25">
      <c r="A1373" s="10" t="s">
        <v>38</v>
      </c>
      <c r="B1373" t="b">
        <v>0</v>
      </c>
      <c r="C1373" t="b">
        <v>0</v>
      </c>
      <c r="D1373" s="1">
        <v>2780</v>
      </c>
      <c r="E1373" s="1">
        <v>0</v>
      </c>
      <c r="F1373" s="1">
        <v>0</v>
      </c>
      <c r="G1373" s="1">
        <v>1184</v>
      </c>
      <c r="H1373" s="1">
        <v>5131</v>
      </c>
      <c r="I1373" s="1">
        <v>0</v>
      </c>
      <c r="J1373" s="3">
        <f t="shared" si="71"/>
        <v>6315</v>
      </c>
      <c r="K1373" s="1">
        <v>210</v>
      </c>
      <c r="L1373" s="1">
        <v>0</v>
      </c>
      <c r="M1373" s="1">
        <v>0</v>
      </c>
      <c r="O1373" s="14">
        <v>0</v>
      </c>
      <c r="P1373" s="17">
        <f t="shared" si="72"/>
        <v>6315</v>
      </c>
      <c r="Q1373" s="1">
        <v>0</v>
      </c>
      <c r="R1373" s="1">
        <v>0</v>
      </c>
      <c r="S1373" s="20">
        <v>42887</v>
      </c>
      <c r="T1373" s="1">
        <v>9305</v>
      </c>
      <c r="U1373" s="9">
        <v>6315</v>
      </c>
      <c r="V1373" s="9" t="s">
        <v>21</v>
      </c>
    </row>
    <row r="1374" spans="1:22" x14ac:dyDescent="0.25">
      <c r="A1374" s="10" t="s">
        <v>38</v>
      </c>
      <c r="B1374" t="b">
        <v>0</v>
      </c>
      <c r="C1374" t="b">
        <v>0</v>
      </c>
      <c r="D1374" s="1">
        <v>3928</v>
      </c>
      <c r="E1374" s="1">
        <v>0</v>
      </c>
      <c r="F1374" s="1">
        <v>0</v>
      </c>
      <c r="G1374" s="1">
        <v>2088</v>
      </c>
      <c r="H1374" s="1">
        <v>6142</v>
      </c>
      <c r="I1374" s="1">
        <v>0</v>
      </c>
      <c r="J1374" s="3">
        <f t="shared" si="71"/>
        <v>8230</v>
      </c>
      <c r="K1374" s="1">
        <v>144</v>
      </c>
      <c r="L1374" s="1">
        <v>0</v>
      </c>
      <c r="M1374" s="1">
        <v>0</v>
      </c>
      <c r="O1374" s="14">
        <v>0</v>
      </c>
      <c r="P1374" s="17">
        <f t="shared" si="72"/>
        <v>8230</v>
      </c>
      <c r="Q1374" s="1">
        <v>0</v>
      </c>
      <c r="R1374" s="1">
        <v>0</v>
      </c>
      <c r="S1374" s="20">
        <v>42917</v>
      </c>
      <c r="T1374" s="1">
        <v>12302</v>
      </c>
      <c r="U1374" s="9">
        <v>8230</v>
      </c>
      <c r="V1374" s="9" t="s">
        <v>21</v>
      </c>
    </row>
    <row r="1375" spans="1:22" x14ac:dyDescent="0.25">
      <c r="A1375" s="10" t="s">
        <v>38</v>
      </c>
      <c r="B1375" t="b">
        <v>0</v>
      </c>
      <c r="C1375" t="b">
        <v>0</v>
      </c>
      <c r="D1375" s="1">
        <v>3371</v>
      </c>
      <c r="E1375" s="1">
        <v>0</v>
      </c>
      <c r="F1375" s="1">
        <v>0</v>
      </c>
      <c r="G1375" s="1">
        <v>2284</v>
      </c>
      <c r="H1375" s="1">
        <v>3864</v>
      </c>
      <c r="I1375" s="1">
        <v>0</v>
      </c>
      <c r="J1375" s="3">
        <f t="shared" ref="J1375:J1417" si="73">G1375+H1375</f>
        <v>6148</v>
      </c>
      <c r="K1375" s="1">
        <v>41</v>
      </c>
      <c r="L1375" s="1">
        <v>0</v>
      </c>
      <c r="M1375" s="1">
        <v>0</v>
      </c>
      <c r="O1375" s="14">
        <v>0</v>
      </c>
      <c r="P1375" s="17">
        <f t="shared" ref="P1375:P1416" si="74">J1375</f>
        <v>6148</v>
      </c>
      <c r="Q1375" s="1">
        <v>0</v>
      </c>
      <c r="R1375" s="1">
        <v>0</v>
      </c>
      <c r="S1375" s="20">
        <v>42948</v>
      </c>
      <c r="T1375" s="1">
        <v>9560</v>
      </c>
      <c r="U1375" s="9">
        <v>6148</v>
      </c>
      <c r="V1375" s="9" t="s">
        <v>21</v>
      </c>
    </row>
    <row r="1376" spans="1:22" x14ac:dyDescent="0.25">
      <c r="A1376" s="10" t="s">
        <v>38</v>
      </c>
      <c r="B1376" t="b">
        <v>0</v>
      </c>
      <c r="C1376" t="b">
        <v>0</v>
      </c>
      <c r="D1376" s="1">
        <v>3891</v>
      </c>
      <c r="E1376" s="1">
        <v>0</v>
      </c>
      <c r="F1376" s="1">
        <v>0</v>
      </c>
      <c r="G1376" s="1">
        <v>2677</v>
      </c>
      <c r="H1376" s="1">
        <v>3961</v>
      </c>
      <c r="I1376" s="1">
        <v>0</v>
      </c>
      <c r="J1376" s="3">
        <f t="shared" si="73"/>
        <v>6638</v>
      </c>
      <c r="K1376" s="1">
        <v>112</v>
      </c>
      <c r="L1376" s="1">
        <v>0</v>
      </c>
      <c r="M1376" s="1">
        <v>0</v>
      </c>
      <c r="O1376" s="14">
        <v>0</v>
      </c>
      <c r="P1376" s="17">
        <f t="shared" si="74"/>
        <v>6638</v>
      </c>
      <c r="Q1376" s="1">
        <v>0</v>
      </c>
      <c r="R1376" s="1">
        <v>0</v>
      </c>
      <c r="S1376" s="20">
        <v>42979</v>
      </c>
      <c r="T1376" s="1">
        <v>10641</v>
      </c>
      <c r="U1376" s="9">
        <v>6638</v>
      </c>
      <c r="V1376" s="9" t="s">
        <v>21</v>
      </c>
    </row>
    <row r="1377" spans="1:22" x14ac:dyDescent="0.25">
      <c r="A1377" s="10" t="s">
        <v>38</v>
      </c>
      <c r="B1377" t="b">
        <v>0</v>
      </c>
      <c r="C1377" t="b">
        <v>0</v>
      </c>
      <c r="D1377" s="1">
        <v>4791</v>
      </c>
      <c r="E1377" s="1">
        <v>0</v>
      </c>
      <c r="F1377" s="1">
        <v>0</v>
      </c>
      <c r="G1377" s="1">
        <v>3291</v>
      </c>
      <c r="H1377" s="1">
        <v>2775</v>
      </c>
      <c r="I1377" s="1">
        <v>0</v>
      </c>
      <c r="J1377" s="3">
        <f t="shared" si="73"/>
        <v>6066</v>
      </c>
      <c r="K1377" s="1">
        <v>71</v>
      </c>
      <c r="L1377" s="1">
        <v>0</v>
      </c>
      <c r="M1377" s="1">
        <v>0</v>
      </c>
      <c r="O1377" s="14">
        <v>0</v>
      </c>
      <c r="P1377" s="17">
        <f t="shared" si="74"/>
        <v>6066</v>
      </c>
      <c r="Q1377" s="1">
        <v>7</v>
      </c>
      <c r="R1377" s="1">
        <v>0</v>
      </c>
      <c r="S1377" s="20">
        <v>43009</v>
      </c>
      <c r="T1377" s="1">
        <v>10935</v>
      </c>
      <c r="U1377" s="9">
        <v>6066</v>
      </c>
      <c r="V1377" s="9" t="s">
        <v>21</v>
      </c>
    </row>
    <row r="1378" spans="1:22" x14ac:dyDescent="0.25">
      <c r="A1378" s="10" t="s">
        <v>38</v>
      </c>
      <c r="B1378" t="b">
        <v>0</v>
      </c>
      <c r="C1378" t="b">
        <v>0</v>
      </c>
      <c r="D1378" s="1">
        <v>1744</v>
      </c>
      <c r="E1378" s="1">
        <v>0</v>
      </c>
      <c r="F1378" s="1">
        <v>0</v>
      </c>
      <c r="G1378" s="1">
        <v>2164</v>
      </c>
      <c r="H1378" s="1">
        <v>3346</v>
      </c>
      <c r="I1378" s="1">
        <v>0</v>
      </c>
      <c r="J1378" s="3">
        <f t="shared" si="73"/>
        <v>5510</v>
      </c>
      <c r="K1378" s="1">
        <v>26</v>
      </c>
      <c r="L1378" s="1">
        <v>0</v>
      </c>
      <c r="M1378" s="1">
        <v>0</v>
      </c>
      <c r="O1378" s="14">
        <v>0</v>
      </c>
      <c r="P1378" s="17">
        <f t="shared" si="74"/>
        <v>5510</v>
      </c>
      <c r="Q1378" s="1">
        <v>0</v>
      </c>
      <c r="R1378" s="1">
        <v>0</v>
      </c>
      <c r="S1378" s="20">
        <v>43040</v>
      </c>
      <c r="T1378" s="1">
        <v>7280</v>
      </c>
      <c r="U1378" s="9">
        <v>5510</v>
      </c>
      <c r="V1378" s="9" t="s">
        <v>21</v>
      </c>
    </row>
    <row r="1379" spans="1:22" x14ac:dyDescent="0.25">
      <c r="A1379" s="10" t="s">
        <v>38</v>
      </c>
      <c r="B1379" t="b">
        <v>0</v>
      </c>
      <c r="C1379" t="b">
        <v>0</v>
      </c>
      <c r="D1379" s="1">
        <v>1400</v>
      </c>
      <c r="E1379" s="1">
        <v>0</v>
      </c>
      <c r="F1379" s="1">
        <v>0</v>
      </c>
      <c r="G1379" s="1">
        <v>2660</v>
      </c>
      <c r="H1379" s="1">
        <v>3640</v>
      </c>
      <c r="I1379" s="1">
        <v>0</v>
      </c>
      <c r="J1379" s="3">
        <f t="shared" si="73"/>
        <v>6300</v>
      </c>
      <c r="K1379" s="1">
        <v>14</v>
      </c>
      <c r="L1379" s="1">
        <v>0</v>
      </c>
      <c r="M1379" s="1">
        <v>0</v>
      </c>
      <c r="O1379" s="14">
        <v>0</v>
      </c>
      <c r="P1379" s="17">
        <f t="shared" si="74"/>
        <v>6300</v>
      </c>
      <c r="Q1379" s="1">
        <v>0</v>
      </c>
      <c r="R1379" s="1">
        <v>0</v>
      </c>
      <c r="S1379" s="20">
        <v>43070</v>
      </c>
      <c r="T1379" s="1">
        <v>7714</v>
      </c>
      <c r="U1379" s="9">
        <v>6300</v>
      </c>
      <c r="V1379" s="9" t="s">
        <v>21</v>
      </c>
    </row>
    <row r="1380" spans="1:22" x14ac:dyDescent="0.25">
      <c r="A1380" s="10" t="s">
        <v>38</v>
      </c>
      <c r="B1380" t="b">
        <v>0</v>
      </c>
      <c r="C1380" t="b">
        <v>0</v>
      </c>
      <c r="D1380" s="1">
        <v>1200</v>
      </c>
      <c r="E1380" s="1">
        <v>0</v>
      </c>
      <c r="F1380" s="1">
        <v>0</v>
      </c>
      <c r="G1380" s="1">
        <v>1776</v>
      </c>
      <c r="H1380" s="1">
        <v>5061</v>
      </c>
      <c r="I1380" s="1">
        <v>0</v>
      </c>
      <c r="J1380" s="3">
        <f t="shared" si="73"/>
        <v>6837</v>
      </c>
      <c r="K1380" s="1">
        <v>51</v>
      </c>
      <c r="L1380" s="1">
        <v>0</v>
      </c>
      <c r="M1380" s="1">
        <v>0</v>
      </c>
      <c r="O1380" s="14">
        <v>0</v>
      </c>
      <c r="P1380" s="17">
        <f t="shared" si="74"/>
        <v>6837</v>
      </c>
      <c r="Q1380" s="1">
        <v>0</v>
      </c>
      <c r="R1380" s="1">
        <v>0</v>
      </c>
      <c r="S1380" s="20">
        <v>43101</v>
      </c>
      <c r="T1380" s="1">
        <v>8088</v>
      </c>
      <c r="U1380" s="9">
        <v>6837</v>
      </c>
      <c r="V1380" s="9" t="s">
        <v>21</v>
      </c>
    </row>
    <row r="1381" spans="1:22" x14ac:dyDescent="0.25">
      <c r="A1381" s="10" t="s">
        <v>38</v>
      </c>
      <c r="B1381" t="b">
        <v>0</v>
      </c>
      <c r="C1381" t="b">
        <v>0</v>
      </c>
      <c r="D1381" s="1">
        <v>1896</v>
      </c>
      <c r="E1381" s="1">
        <v>0</v>
      </c>
      <c r="F1381" s="1">
        <v>0</v>
      </c>
      <c r="G1381" s="1">
        <v>1248</v>
      </c>
      <c r="H1381" s="1">
        <v>4621</v>
      </c>
      <c r="I1381" s="1">
        <v>0</v>
      </c>
      <c r="J1381" s="3">
        <f t="shared" si="73"/>
        <v>5869</v>
      </c>
      <c r="K1381" s="1">
        <v>72</v>
      </c>
      <c r="L1381" s="1">
        <v>0</v>
      </c>
      <c r="M1381" s="1">
        <v>0</v>
      </c>
      <c r="O1381" s="14">
        <v>0</v>
      </c>
      <c r="P1381" s="17">
        <f t="shared" si="74"/>
        <v>5869</v>
      </c>
      <c r="Q1381" s="1">
        <v>0</v>
      </c>
      <c r="R1381" s="1">
        <v>0</v>
      </c>
      <c r="S1381" s="20">
        <v>43132</v>
      </c>
      <c r="T1381" s="1">
        <v>7837</v>
      </c>
      <c r="U1381" s="9">
        <v>5869</v>
      </c>
      <c r="V1381" s="9" t="s">
        <v>21</v>
      </c>
    </row>
    <row r="1382" spans="1:22" x14ac:dyDescent="0.25">
      <c r="A1382" s="10" t="s">
        <v>38</v>
      </c>
      <c r="B1382" t="b">
        <v>0</v>
      </c>
      <c r="C1382" t="b">
        <v>0</v>
      </c>
      <c r="D1382" s="1">
        <v>1496</v>
      </c>
      <c r="E1382" s="1">
        <v>0</v>
      </c>
      <c r="F1382" s="1">
        <v>0</v>
      </c>
      <c r="G1382" s="1">
        <v>1412</v>
      </c>
      <c r="H1382" s="1">
        <v>3803</v>
      </c>
      <c r="I1382" s="1">
        <v>0</v>
      </c>
      <c r="J1382" s="3">
        <f t="shared" si="73"/>
        <v>5215</v>
      </c>
      <c r="K1382" s="1">
        <v>87</v>
      </c>
      <c r="L1382" s="1">
        <v>0</v>
      </c>
      <c r="M1382" s="1">
        <v>0</v>
      </c>
      <c r="O1382" s="14">
        <v>0</v>
      </c>
      <c r="P1382" s="17">
        <f t="shared" si="74"/>
        <v>5215</v>
      </c>
      <c r="Q1382" s="1">
        <v>0</v>
      </c>
      <c r="R1382" s="1">
        <v>0</v>
      </c>
      <c r="S1382" s="20">
        <v>43160</v>
      </c>
      <c r="T1382" s="1">
        <v>6798</v>
      </c>
      <c r="U1382" s="9">
        <v>5215</v>
      </c>
      <c r="V1382" s="9" t="s">
        <v>21</v>
      </c>
    </row>
    <row r="1383" spans="1:22" x14ac:dyDescent="0.25">
      <c r="A1383" s="10" t="s">
        <v>38</v>
      </c>
      <c r="B1383" t="b">
        <v>0</v>
      </c>
      <c r="C1383" t="b">
        <v>0</v>
      </c>
      <c r="D1383" s="1">
        <v>2500</v>
      </c>
      <c r="E1383" s="1">
        <v>0</v>
      </c>
      <c r="F1383" s="1">
        <v>0</v>
      </c>
      <c r="G1383" s="1">
        <v>1608</v>
      </c>
      <c r="H1383" s="1">
        <v>5607</v>
      </c>
      <c r="I1383" s="1">
        <v>0</v>
      </c>
      <c r="J1383" s="3">
        <f t="shared" si="73"/>
        <v>7215</v>
      </c>
      <c r="K1383" s="1">
        <v>132</v>
      </c>
      <c r="L1383" s="1">
        <v>0</v>
      </c>
      <c r="M1383" s="1">
        <v>0</v>
      </c>
      <c r="O1383" s="14">
        <v>0</v>
      </c>
      <c r="P1383" s="17">
        <f t="shared" si="74"/>
        <v>7215</v>
      </c>
      <c r="Q1383" s="1">
        <v>0</v>
      </c>
      <c r="R1383" s="1">
        <v>0</v>
      </c>
      <c r="S1383" s="20">
        <v>43191</v>
      </c>
      <c r="T1383" s="1">
        <v>9847</v>
      </c>
      <c r="U1383" s="9">
        <v>7215</v>
      </c>
      <c r="V1383" s="9" t="s">
        <v>21</v>
      </c>
    </row>
    <row r="1384" spans="1:22" x14ac:dyDescent="0.25">
      <c r="A1384" s="10" t="s">
        <v>38</v>
      </c>
      <c r="B1384" t="b">
        <v>0</v>
      </c>
      <c r="C1384" t="b">
        <v>0</v>
      </c>
      <c r="D1384" s="1">
        <v>2704</v>
      </c>
      <c r="E1384" s="1">
        <v>0</v>
      </c>
      <c r="F1384" s="1">
        <v>0</v>
      </c>
      <c r="G1384" s="1">
        <v>1776</v>
      </c>
      <c r="H1384" s="1">
        <v>6494</v>
      </c>
      <c r="I1384" s="1">
        <v>0</v>
      </c>
      <c r="J1384" s="3">
        <f t="shared" si="73"/>
        <v>8270</v>
      </c>
      <c r="K1384" s="1">
        <v>159</v>
      </c>
      <c r="L1384" s="1">
        <v>0</v>
      </c>
      <c r="M1384" s="1">
        <v>0</v>
      </c>
      <c r="O1384" s="14">
        <v>0</v>
      </c>
      <c r="P1384" s="17">
        <f t="shared" si="74"/>
        <v>8270</v>
      </c>
      <c r="Q1384" s="1">
        <v>0</v>
      </c>
      <c r="R1384" s="1">
        <v>0</v>
      </c>
      <c r="S1384" s="20">
        <v>43221</v>
      </c>
      <c r="T1384" s="1">
        <v>11133</v>
      </c>
      <c r="U1384" s="9">
        <v>8270</v>
      </c>
      <c r="V1384" s="9" t="s">
        <v>21</v>
      </c>
    </row>
    <row r="1385" spans="1:22" x14ac:dyDescent="0.25">
      <c r="A1385" s="10" t="s">
        <v>38</v>
      </c>
      <c r="B1385" t="b">
        <v>0</v>
      </c>
      <c r="C1385" t="b">
        <v>0</v>
      </c>
      <c r="D1385" s="1">
        <v>2816</v>
      </c>
      <c r="E1385" s="1">
        <v>0</v>
      </c>
      <c r="F1385" s="1">
        <v>0</v>
      </c>
      <c r="G1385" s="1">
        <v>1432</v>
      </c>
      <c r="H1385" s="1">
        <v>5802</v>
      </c>
      <c r="I1385" s="1">
        <v>0</v>
      </c>
      <c r="J1385" s="3">
        <f t="shared" si="73"/>
        <v>7234</v>
      </c>
      <c r="K1385" s="1">
        <v>41</v>
      </c>
      <c r="L1385" s="1">
        <v>0</v>
      </c>
      <c r="M1385" s="1">
        <v>0</v>
      </c>
      <c r="O1385" s="14">
        <v>0</v>
      </c>
      <c r="P1385" s="17">
        <f t="shared" si="74"/>
        <v>7234</v>
      </c>
      <c r="Q1385" s="1">
        <v>0</v>
      </c>
      <c r="R1385" s="1">
        <v>0</v>
      </c>
      <c r="S1385" s="20">
        <v>43252</v>
      </c>
      <c r="T1385" s="1">
        <v>10091</v>
      </c>
      <c r="U1385" s="9">
        <v>7234</v>
      </c>
      <c r="V1385" s="9" t="s">
        <v>21</v>
      </c>
    </row>
    <row r="1386" spans="1:22" x14ac:dyDescent="0.25">
      <c r="A1386" s="10" t="s">
        <v>38</v>
      </c>
      <c r="B1386" t="b">
        <v>0</v>
      </c>
      <c r="C1386" t="b">
        <v>0</v>
      </c>
      <c r="D1386" s="1">
        <v>3324</v>
      </c>
      <c r="E1386" s="1">
        <v>0</v>
      </c>
      <c r="F1386" s="1">
        <v>0</v>
      </c>
      <c r="G1386" s="1">
        <v>1496</v>
      </c>
      <c r="H1386" s="1">
        <v>4769</v>
      </c>
      <c r="I1386" s="1">
        <v>0</v>
      </c>
      <c r="J1386" s="3">
        <f t="shared" si="73"/>
        <v>6265</v>
      </c>
      <c r="K1386" s="1">
        <v>219</v>
      </c>
      <c r="L1386" s="1">
        <v>0</v>
      </c>
      <c r="M1386" s="1">
        <v>0</v>
      </c>
      <c r="O1386" s="14">
        <v>0</v>
      </c>
      <c r="P1386" s="17">
        <f t="shared" si="74"/>
        <v>6265</v>
      </c>
      <c r="Q1386" s="1">
        <v>1</v>
      </c>
      <c r="R1386" s="1">
        <v>0</v>
      </c>
      <c r="S1386" s="20">
        <v>43282</v>
      </c>
      <c r="T1386" s="1">
        <v>9809</v>
      </c>
      <c r="U1386" s="9">
        <v>6265</v>
      </c>
      <c r="V1386" s="9" t="s">
        <v>21</v>
      </c>
    </row>
    <row r="1387" spans="1:22" x14ac:dyDescent="0.25">
      <c r="A1387" s="10" t="s">
        <v>38</v>
      </c>
      <c r="B1387" t="b">
        <v>0</v>
      </c>
      <c r="C1387" t="b">
        <v>0</v>
      </c>
      <c r="D1387" s="1">
        <v>3324</v>
      </c>
      <c r="E1387" s="1">
        <v>0</v>
      </c>
      <c r="F1387" s="1">
        <v>0</v>
      </c>
      <c r="G1387" s="1">
        <v>1496</v>
      </c>
      <c r="H1387" s="1">
        <v>4769</v>
      </c>
      <c r="I1387" s="1">
        <v>0</v>
      </c>
      <c r="J1387" s="3">
        <f t="shared" si="73"/>
        <v>6265</v>
      </c>
      <c r="K1387" s="1">
        <v>219</v>
      </c>
      <c r="L1387" s="1">
        <v>0</v>
      </c>
      <c r="M1387" s="1">
        <v>0</v>
      </c>
      <c r="O1387" s="14">
        <v>0</v>
      </c>
      <c r="P1387" s="17">
        <f t="shared" si="74"/>
        <v>6265</v>
      </c>
      <c r="Q1387" s="1">
        <v>0</v>
      </c>
      <c r="R1387" s="1">
        <v>0</v>
      </c>
      <c r="S1387" s="20">
        <v>43313</v>
      </c>
      <c r="T1387" s="1">
        <v>9808</v>
      </c>
      <c r="U1387" s="9">
        <v>6265</v>
      </c>
      <c r="V1387" s="9" t="s">
        <v>21</v>
      </c>
    </row>
    <row r="1388" spans="1:22" x14ac:dyDescent="0.25">
      <c r="A1388" s="10" t="s">
        <v>38</v>
      </c>
      <c r="B1388" t="b">
        <v>0</v>
      </c>
      <c r="C1388" t="b">
        <v>0</v>
      </c>
      <c r="D1388" s="1">
        <v>6448</v>
      </c>
      <c r="E1388" s="1">
        <v>0</v>
      </c>
      <c r="F1388" s="1">
        <v>0</v>
      </c>
      <c r="G1388" s="1">
        <v>1500</v>
      </c>
      <c r="H1388" s="1">
        <v>5221</v>
      </c>
      <c r="I1388" s="1">
        <v>0</v>
      </c>
      <c r="J1388" s="3">
        <f t="shared" si="73"/>
        <v>6721</v>
      </c>
      <c r="K1388" s="1">
        <v>153</v>
      </c>
      <c r="L1388" s="1">
        <v>0</v>
      </c>
      <c r="M1388" s="1">
        <v>0</v>
      </c>
      <c r="O1388" s="14">
        <v>0</v>
      </c>
      <c r="P1388" s="17">
        <f t="shared" si="74"/>
        <v>6721</v>
      </c>
      <c r="Q1388" s="1">
        <v>0</v>
      </c>
      <c r="R1388" s="1">
        <v>0</v>
      </c>
      <c r="S1388" s="20">
        <v>43344</v>
      </c>
      <c r="T1388" s="1">
        <v>13322</v>
      </c>
      <c r="U1388" s="9">
        <v>6721</v>
      </c>
      <c r="V1388" s="9" t="s">
        <v>21</v>
      </c>
    </row>
    <row r="1389" spans="1:22" x14ac:dyDescent="0.25">
      <c r="A1389" s="10" t="s">
        <v>38</v>
      </c>
      <c r="B1389" t="b">
        <v>0</v>
      </c>
      <c r="C1389" t="b">
        <v>0</v>
      </c>
      <c r="D1389" s="1">
        <v>4766</v>
      </c>
      <c r="E1389" s="1">
        <v>0</v>
      </c>
      <c r="F1389" s="1">
        <v>0</v>
      </c>
      <c r="G1389" s="1">
        <v>3151</v>
      </c>
      <c r="H1389" s="1">
        <v>2654</v>
      </c>
      <c r="I1389" s="1">
        <v>0</v>
      </c>
      <c r="J1389" s="3">
        <f t="shared" si="73"/>
        <v>5805</v>
      </c>
      <c r="K1389" s="1">
        <v>74</v>
      </c>
      <c r="L1389" s="1">
        <v>0</v>
      </c>
      <c r="M1389" s="1">
        <v>0</v>
      </c>
      <c r="O1389" s="14">
        <v>0</v>
      </c>
      <c r="P1389" s="17">
        <f t="shared" si="74"/>
        <v>5805</v>
      </c>
      <c r="Q1389" s="1">
        <v>0</v>
      </c>
      <c r="R1389" s="1">
        <v>0</v>
      </c>
      <c r="S1389" s="20">
        <v>43374</v>
      </c>
      <c r="T1389" s="1">
        <v>10645</v>
      </c>
      <c r="U1389" s="9">
        <v>5805</v>
      </c>
      <c r="V1389" s="9" t="s">
        <v>21</v>
      </c>
    </row>
    <row r="1390" spans="1:22" x14ac:dyDescent="0.25">
      <c r="A1390" s="10" t="s">
        <v>38</v>
      </c>
      <c r="B1390" t="b">
        <v>0</v>
      </c>
      <c r="C1390" t="b">
        <v>0</v>
      </c>
      <c r="D1390" s="1">
        <v>1480</v>
      </c>
      <c r="E1390" s="1">
        <v>0</v>
      </c>
      <c r="F1390" s="1">
        <v>0</v>
      </c>
      <c r="G1390" s="1">
        <v>1364</v>
      </c>
      <c r="H1390" s="1">
        <v>3994</v>
      </c>
      <c r="I1390" s="1">
        <v>0</v>
      </c>
      <c r="J1390" s="3">
        <f t="shared" si="73"/>
        <v>5358</v>
      </c>
      <c r="K1390" s="1">
        <v>147</v>
      </c>
      <c r="L1390" s="1">
        <v>0</v>
      </c>
      <c r="M1390" s="1">
        <v>0</v>
      </c>
      <c r="O1390" s="14">
        <v>0</v>
      </c>
      <c r="P1390" s="17">
        <f t="shared" si="74"/>
        <v>5358</v>
      </c>
      <c r="Q1390" s="1">
        <v>0</v>
      </c>
      <c r="R1390" s="1">
        <v>0</v>
      </c>
      <c r="S1390" s="20">
        <v>43405</v>
      </c>
      <c r="T1390" s="1">
        <v>6985</v>
      </c>
      <c r="U1390" s="9">
        <v>5358</v>
      </c>
      <c r="V1390" s="9" t="s">
        <v>21</v>
      </c>
    </row>
    <row r="1391" spans="1:22" x14ac:dyDescent="0.25">
      <c r="A1391" s="10" t="s">
        <v>38</v>
      </c>
      <c r="B1391" t="b">
        <v>0</v>
      </c>
      <c r="C1391" t="b">
        <v>0</v>
      </c>
      <c r="D1391" s="1">
        <v>1648</v>
      </c>
      <c r="E1391" s="1">
        <v>0</v>
      </c>
      <c r="F1391" s="1">
        <v>0</v>
      </c>
      <c r="G1391" s="1">
        <v>1280</v>
      </c>
      <c r="H1391" s="1">
        <v>4460</v>
      </c>
      <c r="I1391" s="1">
        <v>0</v>
      </c>
      <c r="J1391" s="3">
        <f t="shared" si="73"/>
        <v>5740</v>
      </c>
      <c r="K1391" s="1">
        <v>96</v>
      </c>
      <c r="L1391" s="1">
        <v>0</v>
      </c>
      <c r="M1391" s="1">
        <v>0</v>
      </c>
      <c r="O1391" s="14">
        <v>0</v>
      </c>
      <c r="P1391" s="17">
        <f t="shared" si="74"/>
        <v>5740</v>
      </c>
      <c r="Q1391" s="1">
        <v>0</v>
      </c>
      <c r="R1391" s="1">
        <v>0</v>
      </c>
      <c r="S1391" s="20">
        <v>43435</v>
      </c>
      <c r="T1391" s="1">
        <v>7484</v>
      </c>
      <c r="U1391" s="9">
        <v>5740</v>
      </c>
      <c r="V1391" s="9" t="s">
        <v>21</v>
      </c>
    </row>
    <row r="1392" spans="1:22" x14ac:dyDescent="0.25">
      <c r="A1392" s="10" t="s">
        <v>38</v>
      </c>
      <c r="B1392" t="b">
        <v>0</v>
      </c>
      <c r="C1392" t="b">
        <v>0</v>
      </c>
      <c r="D1392" s="1">
        <v>1556</v>
      </c>
      <c r="E1392" s="1">
        <v>0</v>
      </c>
      <c r="F1392" s="1">
        <v>0</v>
      </c>
      <c r="G1392" s="1">
        <v>20272</v>
      </c>
      <c r="H1392" s="1">
        <v>379</v>
      </c>
      <c r="I1392" s="1">
        <v>0</v>
      </c>
      <c r="J1392" s="3">
        <f t="shared" si="73"/>
        <v>20651</v>
      </c>
      <c r="K1392" s="1">
        <v>129</v>
      </c>
      <c r="L1392" s="1">
        <v>0</v>
      </c>
      <c r="M1392" s="1">
        <v>0</v>
      </c>
      <c r="O1392" s="14">
        <v>0</v>
      </c>
      <c r="P1392" s="17">
        <f t="shared" si="74"/>
        <v>20651</v>
      </c>
      <c r="Q1392" s="1">
        <v>0</v>
      </c>
      <c r="R1392" s="1">
        <v>0</v>
      </c>
      <c r="S1392" s="20">
        <v>43466</v>
      </c>
      <c r="T1392" s="1">
        <v>22336</v>
      </c>
      <c r="U1392" s="9">
        <v>20651</v>
      </c>
      <c r="V1392" s="9" t="s">
        <v>21</v>
      </c>
    </row>
    <row r="1393" spans="1:22" x14ac:dyDescent="0.25">
      <c r="A1393" s="10" t="s">
        <v>38</v>
      </c>
      <c r="B1393" t="b">
        <v>0</v>
      </c>
      <c r="C1393" t="b">
        <v>0</v>
      </c>
      <c r="D1393" s="1">
        <v>963</v>
      </c>
      <c r="E1393" s="1">
        <v>0</v>
      </c>
      <c r="F1393" s="1">
        <v>0</v>
      </c>
      <c r="G1393" s="1">
        <v>938</v>
      </c>
      <c r="H1393" s="1">
        <v>1962</v>
      </c>
      <c r="I1393" s="1">
        <v>0</v>
      </c>
      <c r="J1393" s="3">
        <f t="shared" si="73"/>
        <v>2900</v>
      </c>
      <c r="K1393" s="1">
        <v>184</v>
      </c>
      <c r="L1393" s="1">
        <v>0</v>
      </c>
      <c r="M1393" s="1">
        <v>0</v>
      </c>
      <c r="O1393" s="14">
        <v>0</v>
      </c>
      <c r="P1393" s="17">
        <f t="shared" si="74"/>
        <v>2900</v>
      </c>
      <c r="Q1393" s="1">
        <v>0</v>
      </c>
      <c r="R1393" s="1">
        <v>0</v>
      </c>
      <c r="S1393" s="20">
        <v>43497</v>
      </c>
      <c r="T1393" s="1">
        <v>4047</v>
      </c>
      <c r="U1393" s="9">
        <v>2900</v>
      </c>
      <c r="V1393" s="9" t="s">
        <v>21</v>
      </c>
    </row>
    <row r="1394" spans="1:22" x14ac:dyDescent="0.25">
      <c r="A1394" s="10" t="s">
        <v>38</v>
      </c>
      <c r="B1394" t="b">
        <v>0</v>
      </c>
      <c r="C1394" t="b">
        <v>0</v>
      </c>
      <c r="D1394" s="1">
        <v>2009</v>
      </c>
      <c r="E1394" s="1">
        <v>0</v>
      </c>
      <c r="F1394" s="1">
        <v>0</v>
      </c>
      <c r="G1394" s="1">
        <v>133</v>
      </c>
      <c r="H1394" s="1">
        <v>0</v>
      </c>
      <c r="I1394" s="1">
        <v>0</v>
      </c>
      <c r="J1394" s="3">
        <f t="shared" si="73"/>
        <v>133</v>
      </c>
      <c r="K1394" s="1">
        <v>308</v>
      </c>
      <c r="L1394" s="1">
        <v>0</v>
      </c>
      <c r="M1394" s="1">
        <v>0</v>
      </c>
      <c r="O1394" s="14">
        <v>0</v>
      </c>
      <c r="P1394" s="17">
        <f t="shared" si="74"/>
        <v>133</v>
      </c>
      <c r="Q1394" s="1">
        <v>0</v>
      </c>
      <c r="R1394" s="1">
        <v>0</v>
      </c>
      <c r="S1394" s="20">
        <v>43525</v>
      </c>
      <c r="T1394" s="1">
        <v>2450</v>
      </c>
      <c r="U1394" s="9">
        <v>133</v>
      </c>
      <c r="V1394" s="9" t="s">
        <v>21</v>
      </c>
    </row>
    <row r="1395" spans="1:22" x14ac:dyDescent="0.25">
      <c r="A1395" s="10" t="s">
        <v>38</v>
      </c>
      <c r="B1395" t="b">
        <v>0</v>
      </c>
      <c r="C1395" t="b">
        <v>0</v>
      </c>
      <c r="D1395" s="1">
        <v>1785</v>
      </c>
      <c r="E1395" s="1">
        <v>0</v>
      </c>
      <c r="F1395" s="1">
        <v>0</v>
      </c>
      <c r="G1395" s="1">
        <v>42</v>
      </c>
      <c r="H1395" s="1">
        <v>0</v>
      </c>
      <c r="I1395" s="1">
        <v>0</v>
      </c>
      <c r="J1395" s="3">
        <f t="shared" si="73"/>
        <v>42</v>
      </c>
      <c r="K1395" s="1">
        <v>88</v>
      </c>
      <c r="L1395" s="1">
        <v>0</v>
      </c>
      <c r="M1395" s="1">
        <v>0</v>
      </c>
      <c r="O1395" s="14">
        <v>0</v>
      </c>
      <c r="P1395" s="17">
        <f t="shared" si="74"/>
        <v>42</v>
      </c>
      <c r="Q1395" s="1">
        <v>0</v>
      </c>
      <c r="R1395" s="1">
        <v>0</v>
      </c>
      <c r="S1395" s="20">
        <v>43556</v>
      </c>
      <c r="T1395" s="1">
        <v>1915</v>
      </c>
      <c r="U1395" s="9">
        <v>42</v>
      </c>
      <c r="V1395" s="9" t="s">
        <v>21</v>
      </c>
    </row>
    <row r="1396" spans="1:22" x14ac:dyDescent="0.25">
      <c r="A1396" s="10" t="s">
        <v>38</v>
      </c>
      <c r="B1396" t="b">
        <v>0</v>
      </c>
      <c r="C1396" t="b">
        <v>0</v>
      </c>
      <c r="D1396" s="1">
        <v>1967</v>
      </c>
      <c r="E1396" s="1">
        <v>0</v>
      </c>
      <c r="F1396" s="1">
        <v>0</v>
      </c>
      <c r="G1396" s="1">
        <v>1239</v>
      </c>
      <c r="H1396" s="1">
        <v>2764</v>
      </c>
      <c r="I1396" s="1">
        <v>0</v>
      </c>
      <c r="J1396" s="3">
        <f t="shared" si="73"/>
        <v>4003</v>
      </c>
      <c r="K1396" s="1">
        <v>148</v>
      </c>
      <c r="L1396" s="1">
        <v>0</v>
      </c>
      <c r="M1396" s="1">
        <v>0</v>
      </c>
      <c r="O1396" s="14">
        <v>0</v>
      </c>
      <c r="P1396" s="17">
        <f t="shared" si="74"/>
        <v>4003</v>
      </c>
      <c r="Q1396" s="1">
        <v>0</v>
      </c>
      <c r="R1396" s="1">
        <v>0</v>
      </c>
      <c r="S1396" s="20">
        <v>43586</v>
      </c>
      <c r="T1396" s="1">
        <v>6118</v>
      </c>
      <c r="U1396" s="9">
        <v>4003</v>
      </c>
      <c r="V1396" s="9" t="s">
        <v>21</v>
      </c>
    </row>
    <row r="1397" spans="1:22" x14ac:dyDescent="0.25">
      <c r="A1397" s="10" t="s">
        <v>38</v>
      </c>
      <c r="B1397" t="b">
        <v>0</v>
      </c>
      <c r="C1397" t="b">
        <v>0</v>
      </c>
      <c r="D1397" s="1">
        <v>2608</v>
      </c>
      <c r="E1397" s="1">
        <v>0</v>
      </c>
      <c r="F1397" s="1">
        <v>0</v>
      </c>
      <c r="G1397" s="1">
        <v>980</v>
      </c>
      <c r="H1397" s="1">
        <v>3098</v>
      </c>
      <c r="I1397" s="1">
        <v>0</v>
      </c>
      <c r="J1397" s="3">
        <f t="shared" si="73"/>
        <v>4078</v>
      </c>
      <c r="K1397" s="1">
        <v>200</v>
      </c>
      <c r="L1397" s="1">
        <v>0</v>
      </c>
      <c r="M1397" s="1">
        <v>0</v>
      </c>
      <c r="O1397" s="14">
        <v>0</v>
      </c>
      <c r="P1397" s="17">
        <f t="shared" si="74"/>
        <v>4078</v>
      </c>
      <c r="Q1397" s="1">
        <v>0</v>
      </c>
      <c r="R1397" s="1">
        <v>0</v>
      </c>
      <c r="S1397" s="20">
        <v>43617</v>
      </c>
      <c r="T1397" s="1">
        <v>6886</v>
      </c>
      <c r="U1397" s="9">
        <v>4078</v>
      </c>
      <c r="V1397" s="9" t="s">
        <v>21</v>
      </c>
    </row>
    <row r="1398" spans="1:22" x14ac:dyDescent="0.25">
      <c r="A1398" s="10" t="s">
        <v>38</v>
      </c>
      <c r="B1398" t="b">
        <v>0</v>
      </c>
      <c r="C1398" t="b">
        <v>0</v>
      </c>
      <c r="D1398" s="1">
        <v>2632</v>
      </c>
      <c r="E1398" s="1">
        <v>0</v>
      </c>
      <c r="F1398" s="1">
        <v>0</v>
      </c>
      <c r="G1398" s="1">
        <v>1134</v>
      </c>
      <c r="H1398" s="1">
        <v>2824</v>
      </c>
      <c r="I1398" s="1">
        <v>0</v>
      </c>
      <c r="J1398" s="3">
        <f t="shared" si="73"/>
        <v>3958</v>
      </c>
      <c r="K1398" s="1">
        <v>156</v>
      </c>
      <c r="L1398" s="1">
        <v>0</v>
      </c>
      <c r="M1398" s="1">
        <v>0</v>
      </c>
      <c r="O1398" s="14">
        <v>0</v>
      </c>
      <c r="P1398" s="17">
        <f t="shared" si="74"/>
        <v>3958</v>
      </c>
      <c r="Q1398" s="1">
        <v>0</v>
      </c>
      <c r="R1398" s="1">
        <v>0</v>
      </c>
      <c r="S1398" s="20">
        <v>43647</v>
      </c>
      <c r="T1398" s="1">
        <v>6746</v>
      </c>
      <c r="U1398" s="9">
        <v>3958</v>
      </c>
      <c r="V1398" s="9" t="s">
        <v>21</v>
      </c>
    </row>
    <row r="1399" spans="1:22" x14ac:dyDescent="0.25">
      <c r="A1399" s="10" t="s">
        <v>38</v>
      </c>
      <c r="B1399" t="b">
        <v>0</v>
      </c>
      <c r="C1399" t="b">
        <v>0</v>
      </c>
      <c r="D1399" s="1">
        <v>3668</v>
      </c>
      <c r="E1399" s="1">
        <v>0</v>
      </c>
      <c r="F1399" s="1">
        <v>0</v>
      </c>
      <c r="G1399" s="1">
        <v>1309</v>
      </c>
      <c r="H1399" s="1">
        <v>3094</v>
      </c>
      <c r="I1399" s="1">
        <v>0</v>
      </c>
      <c r="J1399" s="3">
        <f t="shared" si="73"/>
        <v>4403</v>
      </c>
      <c r="K1399" s="1">
        <v>132</v>
      </c>
      <c r="L1399" s="1">
        <v>0</v>
      </c>
      <c r="M1399" s="1">
        <v>0</v>
      </c>
      <c r="O1399" s="14">
        <v>0</v>
      </c>
      <c r="P1399" s="17">
        <f t="shared" si="74"/>
        <v>4403</v>
      </c>
      <c r="Q1399" s="1">
        <v>0</v>
      </c>
      <c r="R1399" s="1">
        <v>0</v>
      </c>
      <c r="S1399" s="20">
        <v>43678</v>
      </c>
      <c r="T1399" s="1">
        <v>8203</v>
      </c>
      <c r="U1399" s="9">
        <v>4403</v>
      </c>
      <c r="V1399" s="9" t="s">
        <v>21</v>
      </c>
    </row>
    <row r="1400" spans="1:22" x14ac:dyDescent="0.25">
      <c r="A1400" s="10" t="s">
        <v>38</v>
      </c>
      <c r="B1400" t="b">
        <v>0</v>
      </c>
      <c r="C1400" t="b">
        <v>0</v>
      </c>
      <c r="D1400" s="1">
        <v>3801</v>
      </c>
      <c r="E1400" s="1">
        <v>0</v>
      </c>
      <c r="F1400" s="1">
        <v>0</v>
      </c>
      <c r="G1400" s="1">
        <v>1673</v>
      </c>
      <c r="H1400" s="1">
        <v>3043</v>
      </c>
      <c r="I1400" s="1">
        <v>0</v>
      </c>
      <c r="J1400" s="3">
        <f t="shared" si="73"/>
        <v>4716</v>
      </c>
      <c r="K1400" s="1">
        <v>132</v>
      </c>
      <c r="L1400" s="1">
        <v>0</v>
      </c>
      <c r="M1400" s="1">
        <v>0</v>
      </c>
      <c r="O1400" s="14">
        <v>0</v>
      </c>
      <c r="P1400" s="17">
        <f t="shared" si="74"/>
        <v>4716</v>
      </c>
      <c r="Q1400" s="1">
        <v>0</v>
      </c>
      <c r="R1400" s="1">
        <v>0</v>
      </c>
      <c r="S1400" s="20">
        <v>43709</v>
      </c>
      <c r="T1400" s="1">
        <v>8649</v>
      </c>
      <c r="U1400" s="9">
        <v>4716</v>
      </c>
      <c r="V1400" s="9" t="s">
        <v>21</v>
      </c>
    </row>
    <row r="1401" spans="1:22" x14ac:dyDescent="0.25">
      <c r="A1401" s="10" t="s">
        <v>38</v>
      </c>
      <c r="B1401" t="b">
        <v>0</v>
      </c>
      <c r="C1401" t="b">
        <v>0</v>
      </c>
      <c r="D1401" s="1">
        <v>3084</v>
      </c>
      <c r="E1401" s="1">
        <v>0</v>
      </c>
      <c r="F1401" s="1">
        <v>0</v>
      </c>
      <c r="G1401" s="1">
        <v>1663</v>
      </c>
      <c r="H1401" s="1">
        <v>3366</v>
      </c>
      <c r="I1401" s="1">
        <v>0</v>
      </c>
      <c r="J1401" s="3">
        <f t="shared" si="73"/>
        <v>5029</v>
      </c>
      <c r="K1401" s="1">
        <v>112</v>
      </c>
      <c r="L1401" s="1">
        <v>0</v>
      </c>
      <c r="M1401" s="1">
        <v>0</v>
      </c>
      <c r="O1401" s="14">
        <v>0</v>
      </c>
      <c r="P1401" s="17">
        <f t="shared" si="74"/>
        <v>5029</v>
      </c>
      <c r="Q1401" s="1">
        <v>0</v>
      </c>
      <c r="R1401" s="1">
        <v>0</v>
      </c>
      <c r="S1401" s="20">
        <v>43739</v>
      </c>
      <c r="T1401" s="1">
        <v>8225</v>
      </c>
      <c r="U1401" s="9">
        <v>5029</v>
      </c>
      <c r="V1401" s="9" t="s">
        <v>21</v>
      </c>
    </row>
    <row r="1402" spans="1:22" x14ac:dyDescent="0.25">
      <c r="A1402" s="10" t="s">
        <v>38</v>
      </c>
      <c r="B1402" t="b">
        <v>0</v>
      </c>
      <c r="C1402" t="b">
        <v>0</v>
      </c>
      <c r="D1402" s="1">
        <v>1404</v>
      </c>
      <c r="E1402" s="1">
        <v>0</v>
      </c>
      <c r="F1402" s="1">
        <v>0</v>
      </c>
      <c r="G1402" s="1">
        <v>1495</v>
      </c>
      <c r="H1402" s="1">
        <v>2851</v>
      </c>
      <c r="I1402" s="1">
        <v>0</v>
      </c>
      <c r="J1402" s="3">
        <f t="shared" si="73"/>
        <v>4346</v>
      </c>
      <c r="K1402" s="1">
        <v>100</v>
      </c>
      <c r="L1402" s="1">
        <v>0</v>
      </c>
      <c r="M1402" s="1">
        <v>0</v>
      </c>
      <c r="O1402" s="14">
        <v>0</v>
      </c>
      <c r="P1402" s="17">
        <f t="shared" si="74"/>
        <v>4346</v>
      </c>
      <c r="Q1402" s="1">
        <v>0</v>
      </c>
      <c r="R1402" s="1">
        <v>0</v>
      </c>
      <c r="S1402" s="20">
        <v>43770</v>
      </c>
      <c r="T1402" s="1">
        <v>5850</v>
      </c>
      <c r="U1402" s="9">
        <v>4346</v>
      </c>
      <c r="V1402" s="9" t="s">
        <v>21</v>
      </c>
    </row>
    <row r="1403" spans="1:22" x14ac:dyDescent="0.25">
      <c r="A1403" s="10" t="s">
        <v>38</v>
      </c>
      <c r="B1403" t="b">
        <v>0</v>
      </c>
      <c r="C1403" t="b">
        <v>0</v>
      </c>
      <c r="D1403" s="1">
        <v>581</v>
      </c>
      <c r="E1403" s="1">
        <v>0</v>
      </c>
      <c r="F1403" s="1">
        <v>0</v>
      </c>
      <c r="G1403" s="1">
        <v>749</v>
      </c>
      <c r="H1403" s="1">
        <v>1393</v>
      </c>
      <c r="I1403" s="1">
        <v>0</v>
      </c>
      <c r="J1403" s="3">
        <f t="shared" si="73"/>
        <v>2142</v>
      </c>
      <c r="K1403" s="1">
        <v>32</v>
      </c>
      <c r="L1403" s="1">
        <v>0</v>
      </c>
      <c r="M1403" s="1">
        <v>0</v>
      </c>
      <c r="O1403" s="14">
        <v>0</v>
      </c>
      <c r="P1403" s="17">
        <f t="shared" si="74"/>
        <v>2142</v>
      </c>
      <c r="Q1403" s="1">
        <v>0</v>
      </c>
      <c r="R1403" s="1">
        <v>0</v>
      </c>
      <c r="S1403" s="20">
        <v>43800</v>
      </c>
      <c r="T1403" s="1">
        <v>2755</v>
      </c>
      <c r="U1403" s="9">
        <v>2142</v>
      </c>
      <c r="V1403" s="9" t="s">
        <v>21</v>
      </c>
    </row>
    <row r="1404" spans="1:22" x14ac:dyDescent="0.25">
      <c r="A1404" s="10" t="s">
        <v>38</v>
      </c>
      <c r="B1404" t="b">
        <v>0</v>
      </c>
      <c r="C1404" t="b">
        <v>0</v>
      </c>
      <c r="D1404" s="1">
        <v>1162</v>
      </c>
      <c r="E1404" s="1">
        <v>0</v>
      </c>
      <c r="F1404" s="1">
        <v>0</v>
      </c>
      <c r="G1404" s="1">
        <v>1421</v>
      </c>
      <c r="H1404" s="1">
        <v>2928</v>
      </c>
      <c r="I1404" s="1">
        <v>0</v>
      </c>
      <c r="J1404" s="3">
        <f t="shared" si="73"/>
        <v>4349</v>
      </c>
      <c r="K1404" s="1">
        <v>80</v>
      </c>
      <c r="L1404" s="1">
        <v>0</v>
      </c>
      <c r="M1404" s="1">
        <v>0</v>
      </c>
      <c r="O1404" s="14">
        <v>0</v>
      </c>
      <c r="P1404" s="17">
        <f t="shared" si="74"/>
        <v>4349</v>
      </c>
      <c r="Q1404" s="1">
        <v>0</v>
      </c>
      <c r="R1404" s="1">
        <v>0</v>
      </c>
      <c r="S1404" s="20">
        <v>43831</v>
      </c>
      <c r="T1404" s="1">
        <v>5591</v>
      </c>
      <c r="U1404" s="9">
        <v>4349</v>
      </c>
      <c r="V1404" s="9" t="s">
        <v>21</v>
      </c>
    </row>
    <row r="1405" spans="1:22" x14ac:dyDescent="0.25">
      <c r="A1405" s="10" t="s">
        <v>38</v>
      </c>
      <c r="B1405" t="b">
        <v>0</v>
      </c>
      <c r="C1405" t="b">
        <v>0</v>
      </c>
      <c r="D1405" s="1">
        <v>2216</v>
      </c>
      <c r="E1405" s="1">
        <v>0</v>
      </c>
      <c r="F1405" s="1">
        <v>0</v>
      </c>
      <c r="G1405" s="1">
        <v>1803</v>
      </c>
      <c r="H1405" s="1">
        <v>4115</v>
      </c>
      <c r="I1405" s="1">
        <v>0</v>
      </c>
      <c r="J1405" s="3">
        <f t="shared" si="73"/>
        <v>5918</v>
      </c>
      <c r="K1405" s="1">
        <v>64</v>
      </c>
      <c r="L1405" s="1">
        <v>0</v>
      </c>
      <c r="M1405" s="1">
        <v>0</v>
      </c>
      <c r="O1405" s="14">
        <v>0</v>
      </c>
      <c r="P1405" s="17">
        <f t="shared" si="74"/>
        <v>5918</v>
      </c>
      <c r="Q1405" s="1">
        <v>0</v>
      </c>
      <c r="R1405" s="1">
        <v>0</v>
      </c>
      <c r="S1405" s="20">
        <v>43862</v>
      </c>
      <c r="T1405" s="1">
        <v>8198</v>
      </c>
      <c r="U1405" s="9">
        <v>5918</v>
      </c>
      <c r="V1405" s="9" t="s">
        <v>21</v>
      </c>
    </row>
    <row r="1406" spans="1:22" x14ac:dyDescent="0.25">
      <c r="A1406" s="10" t="s">
        <v>38</v>
      </c>
      <c r="B1406" t="b">
        <v>0</v>
      </c>
      <c r="C1406" t="b">
        <v>0</v>
      </c>
      <c r="D1406" s="1">
        <v>1327</v>
      </c>
      <c r="E1406" s="1">
        <v>0</v>
      </c>
      <c r="F1406" s="1">
        <v>0</v>
      </c>
      <c r="G1406" s="1">
        <v>1768</v>
      </c>
      <c r="H1406" s="1">
        <v>5712</v>
      </c>
      <c r="I1406" s="1">
        <v>0</v>
      </c>
      <c r="J1406" s="3">
        <f t="shared" si="73"/>
        <v>7480</v>
      </c>
      <c r="K1406" s="1">
        <v>56</v>
      </c>
      <c r="L1406" s="1">
        <v>0</v>
      </c>
      <c r="M1406" s="1">
        <v>0</v>
      </c>
      <c r="O1406" s="14">
        <v>0</v>
      </c>
      <c r="P1406" s="17">
        <f t="shared" si="74"/>
        <v>7480</v>
      </c>
      <c r="Q1406" s="1">
        <v>0</v>
      </c>
      <c r="R1406" s="1">
        <v>0</v>
      </c>
      <c r="S1406" s="20">
        <v>43891</v>
      </c>
      <c r="T1406" s="1">
        <v>8863</v>
      </c>
      <c r="U1406" s="9">
        <v>7480</v>
      </c>
      <c r="V1406" s="9" t="s">
        <v>21</v>
      </c>
    </row>
    <row r="1407" spans="1:22" x14ac:dyDescent="0.25">
      <c r="A1407" s="10" t="s">
        <v>38</v>
      </c>
      <c r="B1407" t="b">
        <v>0</v>
      </c>
      <c r="C1407" t="b">
        <v>0</v>
      </c>
      <c r="D1407" s="1">
        <v>0</v>
      </c>
      <c r="E1407" s="1">
        <v>0</v>
      </c>
      <c r="F1407" s="1">
        <v>0</v>
      </c>
      <c r="G1407" s="1">
        <v>0</v>
      </c>
      <c r="H1407" s="1">
        <v>8529</v>
      </c>
      <c r="I1407" s="1">
        <v>0</v>
      </c>
      <c r="J1407" s="3">
        <f t="shared" si="73"/>
        <v>8529</v>
      </c>
      <c r="K1407" s="1">
        <v>0</v>
      </c>
      <c r="L1407" s="1">
        <v>0</v>
      </c>
      <c r="M1407" s="1">
        <v>0</v>
      </c>
      <c r="O1407" s="14">
        <v>0</v>
      </c>
      <c r="P1407" s="17">
        <f t="shared" si="74"/>
        <v>8529</v>
      </c>
      <c r="Q1407" s="1">
        <v>0</v>
      </c>
      <c r="R1407" s="1">
        <v>0</v>
      </c>
      <c r="S1407" s="20">
        <v>43922</v>
      </c>
      <c r="T1407" s="1">
        <v>8529</v>
      </c>
      <c r="U1407" s="9">
        <v>8529</v>
      </c>
      <c r="V1407" s="9" t="s">
        <v>21</v>
      </c>
    </row>
    <row r="1408" spans="1:22" x14ac:dyDescent="0.25">
      <c r="A1408" s="10" t="s">
        <v>38</v>
      </c>
      <c r="B1408" t="b">
        <v>0</v>
      </c>
      <c r="C1408" t="b">
        <v>0</v>
      </c>
      <c r="D1408" s="1">
        <v>74</v>
      </c>
      <c r="E1408" s="1">
        <v>0</v>
      </c>
      <c r="F1408" s="1">
        <v>0</v>
      </c>
      <c r="G1408" s="1">
        <v>119</v>
      </c>
      <c r="H1408" s="1">
        <v>11600</v>
      </c>
      <c r="I1408" s="1">
        <v>0</v>
      </c>
      <c r="J1408" s="3">
        <f t="shared" si="73"/>
        <v>11719</v>
      </c>
      <c r="K1408" s="1">
        <v>0</v>
      </c>
      <c r="L1408" s="1">
        <v>0</v>
      </c>
      <c r="M1408" s="1">
        <v>0</v>
      </c>
      <c r="O1408" s="14">
        <v>0</v>
      </c>
      <c r="P1408" s="17">
        <f t="shared" si="74"/>
        <v>11719</v>
      </c>
      <c r="Q1408" s="1">
        <v>0</v>
      </c>
      <c r="R1408" s="1">
        <v>0</v>
      </c>
      <c r="S1408" s="20">
        <v>43952</v>
      </c>
      <c r="T1408" s="1">
        <v>11793</v>
      </c>
      <c r="U1408" s="9">
        <v>11719</v>
      </c>
      <c r="V1408" s="9" t="s">
        <v>21</v>
      </c>
    </row>
    <row r="1409" spans="1:22" x14ac:dyDescent="0.25">
      <c r="A1409" s="10" t="s">
        <v>38</v>
      </c>
      <c r="B1409" t="b">
        <v>0</v>
      </c>
      <c r="C1409" t="b">
        <v>0</v>
      </c>
      <c r="D1409" s="1">
        <v>3609</v>
      </c>
      <c r="E1409" s="1">
        <v>0</v>
      </c>
      <c r="F1409" s="1">
        <v>0</v>
      </c>
      <c r="G1409" s="1">
        <v>1855</v>
      </c>
      <c r="H1409" s="1">
        <v>15276</v>
      </c>
      <c r="I1409" s="1">
        <v>0</v>
      </c>
      <c r="J1409" s="3">
        <f t="shared" si="73"/>
        <v>17131</v>
      </c>
      <c r="K1409" s="1">
        <v>16</v>
      </c>
      <c r="L1409" s="1">
        <v>0</v>
      </c>
      <c r="M1409" s="1">
        <v>0</v>
      </c>
      <c r="O1409" s="14">
        <v>0</v>
      </c>
      <c r="P1409" s="17">
        <f t="shared" si="74"/>
        <v>17131</v>
      </c>
      <c r="Q1409" s="1">
        <v>0</v>
      </c>
      <c r="R1409" s="1">
        <v>0</v>
      </c>
      <c r="S1409" s="20">
        <v>43983</v>
      </c>
      <c r="T1409" s="1">
        <v>20756</v>
      </c>
      <c r="U1409" s="9">
        <v>17131</v>
      </c>
      <c r="V1409" s="9" t="s">
        <v>21</v>
      </c>
    </row>
    <row r="1410" spans="1:22" x14ac:dyDescent="0.25">
      <c r="A1410" s="10" t="s">
        <v>38</v>
      </c>
      <c r="B1410" t="b">
        <v>0</v>
      </c>
      <c r="C1410" t="b">
        <v>0</v>
      </c>
      <c r="D1410" s="1">
        <v>5236</v>
      </c>
      <c r="E1410" s="1">
        <v>0</v>
      </c>
      <c r="F1410" s="1">
        <v>0</v>
      </c>
      <c r="G1410" s="1"/>
      <c r="H1410" s="1">
        <v>14143</v>
      </c>
      <c r="I1410" s="1">
        <v>0</v>
      </c>
      <c r="J1410" s="3">
        <f t="shared" si="73"/>
        <v>14143</v>
      </c>
      <c r="K1410" s="1">
        <v>80</v>
      </c>
      <c r="L1410" s="1">
        <v>0</v>
      </c>
      <c r="M1410" s="1">
        <v>0</v>
      </c>
      <c r="O1410" s="14">
        <v>0</v>
      </c>
      <c r="P1410" s="17">
        <f t="shared" si="74"/>
        <v>14143</v>
      </c>
      <c r="Q1410" s="1">
        <v>0</v>
      </c>
      <c r="R1410" s="1">
        <v>0</v>
      </c>
      <c r="S1410" s="20">
        <v>44013</v>
      </c>
      <c r="T1410" s="1">
        <v>19459</v>
      </c>
      <c r="U1410" s="9">
        <v>14143</v>
      </c>
      <c r="V1410" s="9" t="s">
        <v>21</v>
      </c>
    </row>
    <row r="1411" spans="1:22" x14ac:dyDescent="0.25">
      <c r="A1411" s="10" t="s">
        <v>38</v>
      </c>
      <c r="B1411" t="b">
        <v>0</v>
      </c>
      <c r="C1411" t="b">
        <v>0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3">
        <f t="shared" si="73"/>
        <v>0</v>
      </c>
      <c r="K1411" s="1">
        <v>0</v>
      </c>
      <c r="L1411" s="1">
        <v>0</v>
      </c>
      <c r="M1411" s="1">
        <v>0</v>
      </c>
      <c r="O1411" s="14">
        <v>0</v>
      </c>
      <c r="P1411" s="17">
        <f t="shared" si="74"/>
        <v>0</v>
      </c>
      <c r="Q1411" s="1">
        <v>0</v>
      </c>
      <c r="R1411" s="1">
        <v>0</v>
      </c>
      <c r="S1411" s="20">
        <v>44013</v>
      </c>
      <c r="T1411" s="1">
        <v>0</v>
      </c>
      <c r="U1411" s="9">
        <v>0</v>
      </c>
      <c r="V1411" s="9" t="s">
        <v>21</v>
      </c>
    </row>
    <row r="1412" spans="1:22" x14ac:dyDescent="0.25">
      <c r="A1412" s="10" t="s">
        <v>38</v>
      </c>
      <c r="B1412" t="b">
        <v>0</v>
      </c>
      <c r="C1412" t="b">
        <v>0</v>
      </c>
      <c r="D1412" s="1">
        <v>6489</v>
      </c>
      <c r="E1412" s="1">
        <v>0</v>
      </c>
      <c r="F1412" s="1">
        <v>0</v>
      </c>
      <c r="G1412" s="1">
        <v>0</v>
      </c>
      <c r="H1412" s="1">
        <v>10732</v>
      </c>
      <c r="I1412" s="1">
        <v>0</v>
      </c>
      <c r="J1412" s="3">
        <f t="shared" si="73"/>
        <v>10732</v>
      </c>
      <c r="K1412" s="1">
        <v>120</v>
      </c>
      <c r="L1412" s="1">
        <v>0</v>
      </c>
      <c r="M1412" s="1">
        <v>0</v>
      </c>
      <c r="O1412" s="14">
        <v>0</v>
      </c>
      <c r="P1412" s="17">
        <f t="shared" si="74"/>
        <v>10732</v>
      </c>
      <c r="Q1412" s="1">
        <v>0</v>
      </c>
      <c r="R1412" s="1">
        <v>0</v>
      </c>
      <c r="S1412" s="20">
        <v>44044</v>
      </c>
      <c r="T1412" s="1">
        <v>17341</v>
      </c>
      <c r="U1412" s="9">
        <v>10732</v>
      </c>
      <c r="V1412" s="9" t="s">
        <v>21</v>
      </c>
    </row>
    <row r="1413" spans="1:22" x14ac:dyDescent="0.25">
      <c r="A1413" s="10" t="s">
        <v>38</v>
      </c>
      <c r="B1413" t="b">
        <v>0</v>
      </c>
      <c r="C1413" t="b">
        <v>0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3">
        <f t="shared" si="73"/>
        <v>0</v>
      </c>
      <c r="K1413" s="1">
        <v>0</v>
      </c>
      <c r="L1413" s="1">
        <v>0</v>
      </c>
      <c r="M1413" s="1">
        <v>0</v>
      </c>
      <c r="O1413" s="14">
        <v>0</v>
      </c>
      <c r="P1413" s="17">
        <f t="shared" si="74"/>
        <v>0</v>
      </c>
      <c r="Q1413" s="1">
        <v>0</v>
      </c>
      <c r="R1413" s="1">
        <v>0</v>
      </c>
      <c r="S1413" s="20">
        <v>44044</v>
      </c>
      <c r="T1413" s="1">
        <v>0</v>
      </c>
      <c r="U1413" s="9">
        <v>0</v>
      </c>
      <c r="V1413" s="9" t="s">
        <v>21</v>
      </c>
    </row>
    <row r="1414" spans="1:22" x14ac:dyDescent="0.25">
      <c r="A1414" s="10" t="s">
        <v>38</v>
      </c>
      <c r="B1414" t="b">
        <v>0</v>
      </c>
      <c r="C1414" t="b">
        <v>0</v>
      </c>
      <c r="D1414" s="1">
        <v>6258</v>
      </c>
      <c r="E1414" s="1">
        <v>0</v>
      </c>
      <c r="F1414" s="1">
        <v>0</v>
      </c>
      <c r="G1414" s="1">
        <v>235</v>
      </c>
      <c r="H1414" s="1">
        <v>8802</v>
      </c>
      <c r="I1414" s="1">
        <v>0</v>
      </c>
      <c r="J1414" s="3">
        <f t="shared" si="73"/>
        <v>9037</v>
      </c>
      <c r="K1414" s="1">
        <v>116</v>
      </c>
      <c r="L1414" s="1">
        <v>0</v>
      </c>
      <c r="M1414" s="1">
        <v>0</v>
      </c>
      <c r="O1414" s="14">
        <v>0</v>
      </c>
      <c r="P1414" s="17">
        <f t="shared" si="74"/>
        <v>9037</v>
      </c>
      <c r="Q1414" s="1">
        <v>0</v>
      </c>
      <c r="R1414" s="1">
        <v>0</v>
      </c>
      <c r="S1414" s="20">
        <v>44075</v>
      </c>
      <c r="T1414" s="1">
        <v>15411</v>
      </c>
      <c r="U1414" s="9">
        <v>9037</v>
      </c>
      <c r="V1414" s="9" t="s">
        <v>21</v>
      </c>
    </row>
    <row r="1415" spans="1:22" x14ac:dyDescent="0.25">
      <c r="A1415" s="10" t="s">
        <v>38</v>
      </c>
      <c r="B1415" t="b">
        <v>0</v>
      </c>
      <c r="C1415" t="b">
        <v>0</v>
      </c>
      <c r="D1415" s="1">
        <v>5187</v>
      </c>
      <c r="E1415" s="1">
        <v>0</v>
      </c>
      <c r="F1415" s="1">
        <v>0</v>
      </c>
      <c r="G1415" s="1">
        <v>522</v>
      </c>
      <c r="H1415" s="1">
        <v>9178</v>
      </c>
      <c r="I1415" s="1">
        <v>0</v>
      </c>
      <c r="J1415" s="3">
        <f t="shared" si="73"/>
        <v>9700</v>
      </c>
      <c r="K1415" s="1">
        <v>84</v>
      </c>
      <c r="L1415" s="1">
        <v>0</v>
      </c>
      <c r="M1415" s="1">
        <v>0</v>
      </c>
      <c r="O1415" s="14">
        <v>0</v>
      </c>
      <c r="P1415" s="17">
        <f t="shared" si="74"/>
        <v>9700</v>
      </c>
      <c r="Q1415" s="1">
        <v>0</v>
      </c>
      <c r="R1415" s="1">
        <v>0</v>
      </c>
      <c r="S1415" s="20">
        <v>44105</v>
      </c>
      <c r="T1415" s="1">
        <v>14971</v>
      </c>
      <c r="U1415" s="9">
        <v>9700</v>
      </c>
      <c r="V1415" s="9" t="s">
        <v>21</v>
      </c>
    </row>
    <row r="1416" spans="1:22" x14ac:dyDescent="0.25">
      <c r="A1416" s="10" t="s">
        <v>38</v>
      </c>
      <c r="B1416" t="b">
        <v>0</v>
      </c>
      <c r="C1416" t="b">
        <v>0</v>
      </c>
      <c r="D1416" s="1">
        <v>4025</v>
      </c>
      <c r="E1416" s="1">
        <v>0</v>
      </c>
      <c r="F1416" s="1">
        <v>0</v>
      </c>
      <c r="G1416" s="1">
        <v>532</v>
      </c>
      <c r="H1416" s="1">
        <v>8837</v>
      </c>
      <c r="I1416" s="1">
        <v>0</v>
      </c>
      <c r="J1416" s="3">
        <f t="shared" si="73"/>
        <v>9369</v>
      </c>
      <c r="K1416" s="1">
        <v>72</v>
      </c>
      <c r="L1416" s="1">
        <v>0</v>
      </c>
      <c r="M1416" s="1">
        <v>0</v>
      </c>
      <c r="O1416" s="14">
        <v>0</v>
      </c>
      <c r="P1416" s="17">
        <f t="shared" si="74"/>
        <v>9369</v>
      </c>
      <c r="Q1416" s="1">
        <v>0</v>
      </c>
      <c r="R1416" s="1">
        <v>0</v>
      </c>
      <c r="S1416" s="20">
        <v>44136</v>
      </c>
      <c r="T1416" s="1">
        <v>13466</v>
      </c>
      <c r="U1416" s="9">
        <v>9369</v>
      </c>
      <c r="V1416" s="9" t="s">
        <v>21</v>
      </c>
    </row>
    <row r="1417" spans="1:22" x14ac:dyDescent="0.25">
      <c r="A1417" s="10" t="s">
        <v>38</v>
      </c>
      <c r="B1417" t="b">
        <v>0</v>
      </c>
      <c r="C1417" t="b">
        <v>0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3">
        <f t="shared" si="73"/>
        <v>0</v>
      </c>
      <c r="K1417" s="1">
        <v>0</v>
      </c>
      <c r="L1417" s="1">
        <v>0</v>
      </c>
      <c r="M1417" s="1">
        <v>0</v>
      </c>
      <c r="O1417" s="14">
        <v>0</v>
      </c>
      <c r="P1417" s="17">
        <f>J1417</f>
        <v>0</v>
      </c>
      <c r="Q1417" s="1">
        <v>0</v>
      </c>
      <c r="R1417" s="1">
        <v>0</v>
      </c>
      <c r="S1417" s="20">
        <v>44166</v>
      </c>
      <c r="T1417" s="1">
        <v>0</v>
      </c>
      <c r="U1417" s="9">
        <v>0</v>
      </c>
      <c r="V1417" s="9" t="s">
        <v>21</v>
      </c>
    </row>
    <row r="1418" spans="1:22" x14ac:dyDescent="0.25">
      <c r="A1418" s="10" t="s">
        <v>36</v>
      </c>
      <c r="B1418" t="b">
        <v>0</v>
      </c>
      <c r="C1418" t="b">
        <v>0</v>
      </c>
      <c r="D1418" s="1">
        <v>0</v>
      </c>
      <c r="E1418" s="1">
        <v>27218</v>
      </c>
      <c r="F1418" s="1">
        <v>427</v>
      </c>
      <c r="G1418" s="1">
        <v>0</v>
      </c>
      <c r="H1418" s="1">
        <v>20167</v>
      </c>
      <c r="I1418" s="1">
        <v>1541</v>
      </c>
      <c r="J1418" s="3">
        <f>G1418+H1418</f>
        <v>20167</v>
      </c>
      <c r="K1418" s="1">
        <v>0</v>
      </c>
      <c r="L1418" s="1">
        <v>0</v>
      </c>
      <c r="M1418" s="1">
        <v>0</v>
      </c>
      <c r="O1418" s="14">
        <v>0</v>
      </c>
      <c r="P1418" s="17">
        <f t="shared" ref="P1418:P1481" si="75">J1418</f>
        <v>20167</v>
      </c>
      <c r="Q1418" s="1">
        <v>0</v>
      </c>
      <c r="R1418" s="1">
        <v>0</v>
      </c>
      <c r="S1418" s="20">
        <v>37073</v>
      </c>
      <c r="T1418" s="1">
        <v>49353</v>
      </c>
      <c r="U1418" s="9">
        <v>20167</v>
      </c>
      <c r="V1418" s="9" t="s">
        <v>46</v>
      </c>
    </row>
    <row r="1419" spans="1:22" x14ac:dyDescent="0.25">
      <c r="A1419" s="10" t="s">
        <v>36</v>
      </c>
      <c r="B1419" t="b">
        <v>0</v>
      </c>
      <c r="C1419" t="b">
        <v>0</v>
      </c>
      <c r="D1419" s="1">
        <v>0</v>
      </c>
      <c r="E1419" s="1">
        <v>23553</v>
      </c>
      <c r="F1419" s="1">
        <v>809</v>
      </c>
      <c r="G1419" s="1">
        <v>0</v>
      </c>
      <c r="H1419" s="1">
        <v>21651</v>
      </c>
      <c r="I1419" s="1">
        <v>2320</v>
      </c>
      <c r="J1419" s="3">
        <f t="shared" ref="J1419:J1482" si="76">G1419+H1419</f>
        <v>21651</v>
      </c>
      <c r="K1419" s="1">
        <v>0</v>
      </c>
      <c r="L1419" s="1">
        <v>0</v>
      </c>
      <c r="M1419" s="1">
        <v>0</v>
      </c>
      <c r="O1419" s="14">
        <v>0</v>
      </c>
      <c r="P1419" s="17">
        <f t="shared" si="75"/>
        <v>21651</v>
      </c>
      <c r="Q1419" s="1">
        <v>0</v>
      </c>
      <c r="R1419" s="1">
        <v>0</v>
      </c>
      <c r="S1419" s="20">
        <v>37104</v>
      </c>
      <c r="T1419" s="1">
        <v>48333</v>
      </c>
      <c r="U1419" s="9">
        <v>21651</v>
      </c>
      <c r="V1419" s="9" t="s">
        <v>46</v>
      </c>
    </row>
    <row r="1420" spans="1:22" x14ac:dyDescent="0.25">
      <c r="A1420" s="10" t="s">
        <v>36</v>
      </c>
      <c r="B1420" t="b">
        <v>0</v>
      </c>
      <c r="C1420" t="b">
        <v>0</v>
      </c>
      <c r="D1420" s="1">
        <v>0</v>
      </c>
      <c r="E1420" s="1">
        <v>19918</v>
      </c>
      <c r="F1420" s="1">
        <v>227</v>
      </c>
      <c r="G1420" s="1">
        <v>0</v>
      </c>
      <c r="H1420" s="1">
        <v>20049</v>
      </c>
      <c r="I1420" s="1">
        <v>1034</v>
      </c>
      <c r="J1420" s="3">
        <f t="shared" si="76"/>
        <v>20049</v>
      </c>
      <c r="K1420" s="1">
        <v>0</v>
      </c>
      <c r="L1420" s="1">
        <v>0</v>
      </c>
      <c r="M1420" s="1">
        <v>0</v>
      </c>
      <c r="O1420" s="14">
        <v>0</v>
      </c>
      <c r="P1420" s="17">
        <f t="shared" si="75"/>
        <v>20049</v>
      </c>
      <c r="Q1420" s="1">
        <v>0</v>
      </c>
      <c r="R1420" s="1">
        <v>0</v>
      </c>
      <c r="S1420" s="20">
        <v>37135</v>
      </c>
      <c r="T1420" s="1">
        <v>41228</v>
      </c>
      <c r="U1420" s="9">
        <v>20049</v>
      </c>
      <c r="V1420" s="9" t="s">
        <v>46</v>
      </c>
    </row>
    <row r="1421" spans="1:22" x14ac:dyDescent="0.25">
      <c r="A1421" s="10" t="s">
        <v>36</v>
      </c>
      <c r="B1421" t="b">
        <v>0</v>
      </c>
      <c r="C1421" t="b">
        <v>0</v>
      </c>
      <c r="D1421" s="1">
        <v>0</v>
      </c>
      <c r="E1421" s="1">
        <v>15336</v>
      </c>
      <c r="F1421" s="1">
        <v>575</v>
      </c>
      <c r="G1421" s="1">
        <v>0</v>
      </c>
      <c r="H1421" s="1">
        <v>12696</v>
      </c>
      <c r="I1421" s="1">
        <v>3920</v>
      </c>
      <c r="J1421" s="3">
        <f t="shared" si="76"/>
        <v>12696</v>
      </c>
      <c r="K1421" s="1">
        <v>0</v>
      </c>
      <c r="L1421" s="1">
        <v>0</v>
      </c>
      <c r="M1421" s="1">
        <v>0</v>
      </c>
      <c r="O1421" s="14">
        <v>0</v>
      </c>
      <c r="P1421" s="17">
        <f t="shared" si="75"/>
        <v>12696</v>
      </c>
      <c r="Q1421" s="1">
        <v>0</v>
      </c>
      <c r="R1421" s="1">
        <v>0</v>
      </c>
      <c r="S1421" s="20">
        <v>37165</v>
      </c>
      <c r="T1421" s="1">
        <v>32527</v>
      </c>
      <c r="U1421" s="9">
        <v>12696</v>
      </c>
      <c r="V1421" s="9" t="s">
        <v>46</v>
      </c>
    </row>
    <row r="1422" spans="1:22" x14ac:dyDescent="0.25">
      <c r="A1422" s="10" t="s">
        <v>36</v>
      </c>
      <c r="B1422" t="b">
        <v>0</v>
      </c>
      <c r="C1422" t="b">
        <v>0</v>
      </c>
      <c r="D1422" s="1">
        <v>0</v>
      </c>
      <c r="E1422" s="1">
        <v>11376</v>
      </c>
      <c r="F1422" s="1">
        <v>147</v>
      </c>
      <c r="G1422" s="1">
        <v>0</v>
      </c>
      <c r="H1422" s="1">
        <v>17828</v>
      </c>
      <c r="I1422" s="1">
        <v>3133</v>
      </c>
      <c r="J1422" s="3">
        <f t="shared" si="76"/>
        <v>17828</v>
      </c>
      <c r="K1422" s="1">
        <v>0</v>
      </c>
      <c r="L1422" s="1">
        <v>0</v>
      </c>
      <c r="M1422" s="1">
        <v>0</v>
      </c>
      <c r="O1422" s="14">
        <v>0</v>
      </c>
      <c r="P1422" s="17">
        <f t="shared" si="75"/>
        <v>17828</v>
      </c>
      <c r="Q1422" s="1">
        <v>0</v>
      </c>
      <c r="R1422" s="1">
        <v>0</v>
      </c>
      <c r="S1422" s="20">
        <v>37196</v>
      </c>
      <c r="T1422" s="1">
        <v>32484</v>
      </c>
      <c r="U1422" s="9">
        <v>17828</v>
      </c>
      <c r="V1422" s="9" t="s">
        <v>46</v>
      </c>
    </row>
    <row r="1423" spans="1:22" x14ac:dyDescent="0.25">
      <c r="A1423" s="10" t="s">
        <v>36</v>
      </c>
      <c r="B1423" t="b">
        <v>0</v>
      </c>
      <c r="C1423" t="b">
        <v>0</v>
      </c>
      <c r="D1423" s="1">
        <v>0</v>
      </c>
      <c r="E1423" s="1">
        <v>12464</v>
      </c>
      <c r="F1423" s="1">
        <v>231</v>
      </c>
      <c r="G1423" s="1">
        <v>0</v>
      </c>
      <c r="H1423" s="1">
        <v>13620</v>
      </c>
      <c r="I1423" s="1">
        <v>904</v>
      </c>
      <c r="J1423" s="3">
        <f t="shared" si="76"/>
        <v>13620</v>
      </c>
      <c r="K1423" s="1">
        <v>0</v>
      </c>
      <c r="L1423" s="1">
        <v>0</v>
      </c>
      <c r="M1423" s="1">
        <v>0</v>
      </c>
      <c r="O1423" s="14">
        <v>0</v>
      </c>
      <c r="P1423" s="17">
        <f t="shared" si="75"/>
        <v>13620</v>
      </c>
      <c r="Q1423" s="1">
        <v>0</v>
      </c>
      <c r="R1423" s="1">
        <v>0</v>
      </c>
      <c r="S1423" s="20">
        <v>37226</v>
      </c>
      <c r="T1423" s="1">
        <v>27219</v>
      </c>
      <c r="U1423" s="9">
        <v>13620</v>
      </c>
      <c r="V1423" s="9" t="s">
        <v>46</v>
      </c>
    </row>
    <row r="1424" spans="1:22" x14ac:dyDescent="0.25">
      <c r="A1424" s="10" t="s">
        <v>36</v>
      </c>
      <c r="B1424" t="b">
        <v>0</v>
      </c>
      <c r="C1424" t="b">
        <v>0</v>
      </c>
      <c r="D1424" s="1">
        <v>0</v>
      </c>
      <c r="E1424" s="1">
        <v>9864</v>
      </c>
      <c r="F1424" s="1">
        <v>162</v>
      </c>
      <c r="G1424" s="1">
        <v>0</v>
      </c>
      <c r="H1424" s="1">
        <v>11871</v>
      </c>
      <c r="I1424" s="1">
        <v>3688</v>
      </c>
      <c r="J1424" s="3">
        <f t="shared" si="76"/>
        <v>11871</v>
      </c>
      <c r="K1424" s="1">
        <v>0</v>
      </c>
      <c r="L1424" s="1">
        <v>0</v>
      </c>
      <c r="M1424" s="1">
        <v>0</v>
      </c>
      <c r="O1424" s="14">
        <v>0</v>
      </c>
      <c r="P1424" s="17">
        <f t="shared" si="75"/>
        <v>11871</v>
      </c>
      <c r="Q1424" s="1">
        <v>0</v>
      </c>
      <c r="R1424" s="1">
        <v>0</v>
      </c>
      <c r="S1424" s="20">
        <v>37257</v>
      </c>
      <c r="T1424" s="1">
        <v>25585</v>
      </c>
      <c r="U1424" s="9">
        <v>11871</v>
      </c>
      <c r="V1424" s="9" t="s">
        <v>46</v>
      </c>
    </row>
    <row r="1425" spans="1:22" x14ac:dyDescent="0.25">
      <c r="A1425" s="10" t="s">
        <v>36</v>
      </c>
      <c r="B1425" t="b">
        <v>0</v>
      </c>
      <c r="C1425" t="b">
        <v>0</v>
      </c>
      <c r="D1425" s="1">
        <v>0</v>
      </c>
      <c r="E1425" s="1">
        <v>10271</v>
      </c>
      <c r="F1425" s="1">
        <v>401</v>
      </c>
      <c r="G1425" s="1">
        <v>0</v>
      </c>
      <c r="H1425" s="1">
        <v>24354</v>
      </c>
      <c r="I1425" s="1">
        <v>6098</v>
      </c>
      <c r="J1425" s="3">
        <f t="shared" si="76"/>
        <v>24354</v>
      </c>
      <c r="K1425" s="1">
        <v>0</v>
      </c>
      <c r="L1425" s="1">
        <v>0</v>
      </c>
      <c r="M1425" s="1">
        <v>0</v>
      </c>
      <c r="O1425" s="14">
        <v>0</v>
      </c>
      <c r="P1425" s="17">
        <f t="shared" si="75"/>
        <v>24354</v>
      </c>
      <c r="Q1425" s="1">
        <v>0</v>
      </c>
      <c r="R1425" s="1">
        <v>0</v>
      </c>
      <c r="S1425" s="20">
        <v>37288</v>
      </c>
      <c r="T1425" s="1">
        <v>41124</v>
      </c>
      <c r="U1425" s="9">
        <v>24354</v>
      </c>
      <c r="V1425" s="9" t="s">
        <v>46</v>
      </c>
    </row>
    <row r="1426" spans="1:22" x14ac:dyDescent="0.25">
      <c r="A1426" s="10" t="s">
        <v>36</v>
      </c>
      <c r="B1426" t="b">
        <v>0</v>
      </c>
      <c r="C1426" t="b">
        <v>0</v>
      </c>
      <c r="D1426" s="1">
        <v>0</v>
      </c>
      <c r="E1426" s="1">
        <v>15873</v>
      </c>
      <c r="F1426" s="1">
        <v>1336</v>
      </c>
      <c r="G1426" s="1">
        <v>0</v>
      </c>
      <c r="H1426" s="1">
        <v>14317</v>
      </c>
      <c r="I1426" s="1">
        <v>13488</v>
      </c>
      <c r="J1426" s="3">
        <f t="shared" si="76"/>
        <v>14317</v>
      </c>
      <c r="K1426" s="1">
        <v>0</v>
      </c>
      <c r="L1426" s="1">
        <v>0</v>
      </c>
      <c r="M1426" s="1">
        <v>0</v>
      </c>
      <c r="O1426" s="14">
        <v>0</v>
      </c>
      <c r="P1426" s="17">
        <f t="shared" si="75"/>
        <v>14317</v>
      </c>
      <c r="Q1426" s="1">
        <v>0</v>
      </c>
      <c r="R1426" s="1">
        <v>0</v>
      </c>
      <c r="S1426" s="20">
        <v>37316</v>
      </c>
      <c r="T1426" s="1">
        <v>45014</v>
      </c>
      <c r="U1426" s="9">
        <v>14317</v>
      </c>
      <c r="V1426" s="9" t="s">
        <v>46</v>
      </c>
    </row>
    <row r="1427" spans="1:22" x14ac:dyDescent="0.25">
      <c r="A1427" s="10" t="s">
        <v>36</v>
      </c>
      <c r="B1427" t="b">
        <v>0</v>
      </c>
      <c r="C1427" t="b">
        <v>0</v>
      </c>
      <c r="D1427" s="1">
        <v>0</v>
      </c>
      <c r="E1427" s="1">
        <v>20268</v>
      </c>
      <c r="F1427" s="1">
        <v>2389</v>
      </c>
      <c r="G1427" s="1">
        <v>0</v>
      </c>
      <c r="H1427" s="1">
        <v>26169</v>
      </c>
      <c r="I1427" s="1">
        <v>26103</v>
      </c>
      <c r="J1427" s="3">
        <f t="shared" si="76"/>
        <v>26169</v>
      </c>
      <c r="K1427" s="1">
        <v>0</v>
      </c>
      <c r="L1427" s="1">
        <v>0</v>
      </c>
      <c r="M1427" s="1">
        <v>0</v>
      </c>
      <c r="O1427" s="14">
        <v>0</v>
      </c>
      <c r="P1427" s="17">
        <f t="shared" si="75"/>
        <v>26169</v>
      </c>
      <c r="Q1427" s="1">
        <v>0</v>
      </c>
      <c r="R1427" s="1">
        <v>0</v>
      </c>
      <c r="S1427" s="20">
        <v>37347</v>
      </c>
      <c r="T1427" s="1">
        <v>74929</v>
      </c>
      <c r="U1427" s="9">
        <v>26169</v>
      </c>
      <c r="V1427" s="9" t="s">
        <v>46</v>
      </c>
    </row>
    <row r="1428" spans="1:22" x14ac:dyDescent="0.25">
      <c r="A1428" s="10" t="s">
        <v>36</v>
      </c>
      <c r="B1428" t="b">
        <v>0</v>
      </c>
      <c r="C1428" t="b">
        <v>0</v>
      </c>
      <c r="D1428" s="1">
        <v>0</v>
      </c>
      <c r="E1428" s="1">
        <v>20721</v>
      </c>
      <c r="F1428" s="1">
        <v>3702</v>
      </c>
      <c r="G1428" s="1">
        <v>0</v>
      </c>
      <c r="H1428" s="1">
        <v>33891</v>
      </c>
      <c r="I1428" s="1">
        <v>11667</v>
      </c>
      <c r="J1428" s="3">
        <f t="shared" si="76"/>
        <v>33891</v>
      </c>
      <c r="K1428" s="1">
        <v>0</v>
      </c>
      <c r="L1428" s="1">
        <v>0</v>
      </c>
      <c r="M1428" s="1">
        <v>0</v>
      </c>
      <c r="O1428" s="14">
        <v>0</v>
      </c>
      <c r="P1428" s="17">
        <f t="shared" si="75"/>
        <v>33891</v>
      </c>
      <c r="Q1428" s="1">
        <v>0</v>
      </c>
      <c r="R1428" s="1">
        <v>0</v>
      </c>
      <c r="S1428" s="20">
        <v>37377</v>
      </c>
      <c r="T1428" s="1">
        <v>69981</v>
      </c>
      <c r="U1428" s="9">
        <v>33891</v>
      </c>
      <c r="V1428" s="9" t="s">
        <v>46</v>
      </c>
    </row>
    <row r="1429" spans="1:22" x14ac:dyDescent="0.25">
      <c r="A1429" s="10" t="s">
        <v>36</v>
      </c>
      <c r="B1429" t="b">
        <v>0</v>
      </c>
      <c r="C1429" t="b">
        <v>0</v>
      </c>
      <c r="D1429" s="1">
        <v>0</v>
      </c>
      <c r="E1429" s="1">
        <v>22898</v>
      </c>
      <c r="F1429" s="1">
        <v>1897</v>
      </c>
      <c r="G1429" s="1">
        <v>0</v>
      </c>
      <c r="H1429" s="1">
        <v>24007</v>
      </c>
      <c r="I1429" s="1">
        <v>802</v>
      </c>
      <c r="J1429" s="3">
        <f t="shared" si="76"/>
        <v>24007</v>
      </c>
      <c r="K1429" s="1">
        <v>0</v>
      </c>
      <c r="L1429" s="1">
        <v>0</v>
      </c>
      <c r="M1429" s="1">
        <v>0</v>
      </c>
      <c r="O1429" s="14">
        <v>0</v>
      </c>
      <c r="P1429" s="17">
        <f t="shared" si="75"/>
        <v>24007</v>
      </c>
      <c r="Q1429" s="1">
        <v>0</v>
      </c>
      <c r="R1429" s="1">
        <v>0</v>
      </c>
      <c r="S1429" s="20">
        <v>37408</v>
      </c>
      <c r="T1429" s="1">
        <v>49604</v>
      </c>
      <c r="U1429" s="9">
        <v>24007</v>
      </c>
      <c r="V1429" s="9" t="s">
        <v>46</v>
      </c>
    </row>
    <row r="1430" spans="1:22" x14ac:dyDescent="0.25">
      <c r="A1430" s="10" t="s">
        <v>36</v>
      </c>
      <c r="B1430" t="b">
        <v>0</v>
      </c>
      <c r="C1430" t="b">
        <v>0</v>
      </c>
      <c r="D1430" s="1">
        <v>0</v>
      </c>
      <c r="E1430" s="1">
        <v>18282</v>
      </c>
      <c r="F1430" s="1">
        <v>651</v>
      </c>
      <c r="G1430" s="1">
        <v>0</v>
      </c>
      <c r="H1430" s="1">
        <v>17078</v>
      </c>
      <c r="I1430" s="1">
        <v>4318</v>
      </c>
      <c r="J1430" s="3">
        <f t="shared" si="76"/>
        <v>17078</v>
      </c>
      <c r="K1430" s="1">
        <v>0</v>
      </c>
      <c r="L1430" s="1">
        <v>0</v>
      </c>
      <c r="M1430" s="1">
        <v>0</v>
      </c>
      <c r="O1430" s="14">
        <v>0</v>
      </c>
      <c r="P1430" s="17">
        <f t="shared" si="75"/>
        <v>17078</v>
      </c>
      <c r="Q1430" s="1">
        <v>0</v>
      </c>
      <c r="R1430" s="1">
        <v>0</v>
      </c>
      <c r="S1430" s="20">
        <v>37438</v>
      </c>
      <c r="T1430" s="1">
        <v>40329</v>
      </c>
      <c r="U1430" s="9">
        <v>17078</v>
      </c>
      <c r="V1430" s="9" t="s">
        <v>46</v>
      </c>
    </row>
    <row r="1431" spans="1:22" x14ac:dyDescent="0.25">
      <c r="A1431" s="10" t="s">
        <v>36</v>
      </c>
      <c r="B1431" t="b">
        <v>0</v>
      </c>
      <c r="C1431" t="b">
        <v>0</v>
      </c>
      <c r="D1431" s="1">
        <v>0</v>
      </c>
      <c r="E1431" s="1">
        <v>29606</v>
      </c>
      <c r="F1431" s="1">
        <v>625</v>
      </c>
      <c r="G1431" s="1">
        <v>0</v>
      </c>
      <c r="H1431" s="1">
        <v>27193</v>
      </c>
      <c r="I1431" s="1">
        <v>1955</v>
      </c>
      <c r="J1431" s="3">
        <f t="shared" si="76"/>
        <v>27193</v>
      </c>
      <c r="K1431" s="1">
        <v>0</v>
      </c>
      <c r="L1431" s="1">
        <v>0</v>
      </c>
      <c r="M1431" s="1">
        <v>0</v>
      </c>
      <c r="O1431" s="14">
        <v>0</v>
      </c>
      <c r="P1431" s="17">
        <f t="shared" si="75"/>
        <v>27193</v>
      </c>
      <c r="Q1431" s="1">
        <v>0</v>
      </c>
      <c r="R1431" s="1">
        <v>0</v>
      </c>
      <c r="S1431" s="20">
        <v>37469</v>
      </c>
      <c r="T1431" s="1">
        <v>59379</v>
      </c>
      <c r="U1431" s="9">
        <v>27193</v>
      </c>
      <c r="V1431" s="9" t="s">
        <v>46</v>
      </c>
    </row>
    <row r="1432" spans="1:22" x14ac:dyDescent="0.25">
      <c r="A1432" s="10" t="s">
        <v>36</v>
      </c>
      <c r="B1432" t="b">
        <v>0</v>
      </c>
      <c r="C1432" t="b">
        <v>0</v>
      </c>
      <c r="D1432" s="1">
        <v>0</v>
      </c>
      <c r="E1432" s="1">
        <v>11524</v>
      </c>
      <c r="F1432" s="1">
        <v>3173</v>
      </c>
      <c r="G1432" s="1">
        <v>0</v>
      </c>
      <c r="H1432" s="1">
        <v>15162</v>
      </c>
      <c r="I1432" s="1">
        <v>905</v>
      </c>
      <c r="J1432" s="3">
        <f t="shared" si="76"/>
        <v>15162</v>
      </c>
      <c r="K1432" s="1">
        <v>0</v>
      </c>
      <c r="L1432" s="1">
        <v>0</v>
      </c>
      <c r="M1432" s="1">
        <v>0</v>
      </c>
      <c r="O1432" s="14">
        <v>0</v>
      </c>
      <c r="P1432" s="17">
        <f t="shared" si="75"/>
        <v>15162</v>
      </c>
      <c r="Q1432" s="1">
        <v>0</v>
      </c>
      <c r="R1432" s="1">
        <v>0</v>
      </c>
      <c r="S1432" s="20">
        <v>37500</v>
      </c>
      <c r="T1432" s="1">
        <v>30764</v>
      </c>
      <c r="U1432" s="9">
        <v>15162</v>
      </c>
      <c r="V1432" s="9" t="s">
        <v>46</v>
      </c>
    </row>
    <row r="1433" spans="1:22" x14ac:dyDescent="0.25">
      <c r="A1433" s="10" t="s">
        <v>36</v>
      </c>
      <c r="B1433" t="b">
        <v>0</v>
      </c>
      <c r="C1433" t="b">
        <v>0</v>
      </c>
      <c r="D1433" s="1">
        <v>0</v>
      </c>
      <c r="E1433" s="1">
        <v>16560</v>
      </c>
      <c r="F1433" s="1">
        <v>965</v>
      </c>
      <c r="G1433" s="1">
        <v>0</v>
      </c>
      <c r="H1433" s="1">
        <v>10309</v>
      </c>
      <c r="I1433" s="1">
        <v>3530</v>
      </c>
      <c r="J1433" s="3">
        <f t="shared" si="76"/>
        <v>10309</v>
      </c>
      <c r="K1433" s="1">
        <v>0</v>
      </c>
      <c r="L1433" s="1">
        <v>0</v>
      </c>
      <c r="M1433" s="1">
        <v>0</v>
      </c>
      <c r="O1433" s="14">
        <v>0</v>
      </c>
      <c r="P1433" s="17">
        <f t="shared" si="75"/>
        <v>10309</v>
      </c>
      <c r="Q1433" s="1">
        <v>0</v>
      </c>
      <c r="R1433" s="1">
        <v>0</v>
      </c>
      <c r="S1433" s="20">
        <v>37530</v>
      </c>
      <c r="T1433" s="1">
        <v>31364</v>
      </c>
      <c r="U1433" s="9">
        <v>10309</v>
      </c>
      <c r="V1433" s="9" t="s">
        <v>46</v>
      </c>
    </row>
    <row r="1434" spans="1:22" x14ac:dyDescent="0.25">
      <c r="A1434" s="10" t="s">
        <v>36</v>
      </c>
      <c r="B1434" t="b">
        <v>0</v>
      </c>
      <c r="C1434" t="b">
        <v>0</v>
      </c>
      <c r="D1434" s="1">
        <v>0</v>
      </c>
      <c r="E1434" s="1">
        <v>13897</v>
      </c>
      <c r="F1434" s="1">
        <v>174</v>
      </c>
      <c r="G1434" s="1">
        <v>0</v>
      </c>
      <c r="H1434" s="1">
        <v>11770</v>
      </c>
      <c r="I1434" s="1">
        <v>2715</v>
      </c>
      <c r="J1434" s="3">
        <f t="shared" si="76"/>
        <v>11770</v>
      </c>
      <c r="K1434" s="1">
        <v>0</v>
      </c>
      <c r="L1434" s="1">
        <v>0</v>
      </c>
      <c r="M1434" s="1">
        <v>0</v>
      </c>
      <c r="O1434" s="14">
        <v>0</v>
      </c>
      <c r="P1434" s="17">
        <f t="shared" si="75"/>
        <v>11770</v>
      </c>
      <c r="Q1434" s="1">
        <v>0</v>
      </c>
      <c r="R1434" s="1">
        <v>0</v>
      </c>
      <c r="S1434" s="20">
        <v>37561</v>
      </c>
      <c r="T1434" s="1">
        <v>28556</v>
      </c>
      <c r="U1434" s="9">
        <v>11770</v>
      </c>
      <c r="V1434" s="9" t="s">
        <v>46</v>
      </c>
    </row>
    <row r="1435" spans="1:22" x14ac:dyDescent="0.25">
      <c r="A1435" s="10" t="s">
        <v>36</v>
      </c>
      <c r="B1435" t="b">
        <v>0</v>
      </c>
      <c r="C1435" t="b">
        <v>0</v>
      </c>
      <c r="D1435" s="1">
        <v>0</v>
      </c>
      <c r="E1435" s="1">
        <v>18499</v>
      </c>
      <c r="F1435" s="1">
        <v>106</v>
      </c>
      <c r="G1435" s="1">
        <v>0</v>
      </c>
      <c r="H1435" s="1">
        <v>48936</v>
      </c>
      <c r="I1435" s="1">
        <v>2071</v>
      </c>
      <c r="J1435" s="3">
        <f t="shared" si="76"/>
        <v>48936</v>
      </c>
      <c r="K1435" s="1">
        <v>0</v>
      </c>
      <c r="L1435" s="1">
        <v>0</v>
      </c>
      <c r="M1435" s="1">
        <v>0</v>
      </c>
      <c r="O1435" s="14">
        <v>0</v>
      </c>
      <c r="P1435" s="17">
        <f t="shared" si="75"/>
        <v>48936</v>
      </c>
      <c r="Q1435" s="1">
        <v>0</v>
      </c>
      <c r="R1435" s="1">
        <v>0</v>
      </c>
      <c r="S1435" s="20">
        <v>37591</v>
      </c>
      <c r="T1435" s="1">
        <v>69612</v>
      </c>
      <c r="U1435" s="9">
        <v>48936</v>
      </c>
      <c r="V1435" s="9" t="s">
        <v>46</v>
      </c>
    </row>
    <row r="1436" spans="1:22" x14ac:dyDescent="0.25">
      <c r="A1436" s="10" t="s">
        <v>36</v>
      </c>
      <c r="B1436" t="b">
        <v>0</v>
      </c>
      <c r="C1436" t="b">
        <v>0</v>
      </c>
      <c r="D1436" s="1">
        <v>0</v>
      </c>
      <c r="E1436" s="1">
        <v>9789</v>
      </c>
      <c r="F1436" s="1">
        <v>0</v>
      </c>
      <c r="G1436" s="1">
        <v>0</v>
      </c>
      <c r="H1436" s="1">
        <v>22191</v>
      </c>
      <c r="I1436" s="1">
        <v>6807</v>
      </c>
      <c r="J1436" s="3">
        <f t="shared" si="76"/>
        <v>22191</v>
      </c>
      <c r="K1436" s="1">
        <v>0</v>
      </c>
      <c r="L1436" s="1">
        <v>0</v>
      </c>
      <c r="M1436" s="1">
        <v>0</v>
      </c>
      <c r="O1436" s="14">
        <v>0</v>
      </c>
      <c r="P1436" s="17">
        <f t="shared" si="75"/>
        <v>22191</v>
      </c>
      <c r="Q1436" s="1">
        <v>0</v>
      </c>
      <c r="R1436" s="1">
        <v>0</v>
      </c>
      <c r="S1436" s="20">
        <v>37622</v>
      </c>
      <c r="T1436" s="1">
        <v>38787</v>
      </c>
      <c r="U1436" s="9">
        <v>22191</v>
      </c>
      <c r="V1436" s="9" t="s">
        <v>21</v>
      </c>
    </row>
    <row r="1437" spans="1:22" x14ac:dyDescent="0.25">
      <c r="A1437" s="10" t="s">
        <v>36</v>
      </c>
      <c r="B1437" t="b">
        <v>0</v>
      </c>
      <c r="C1437" t="b">
        <v>0</v>
      </c>
      <c r="D1437" s="1">
        <v>0</v>
      </c>
      <c r="E1437" s="1">
        <v>9750</v>
      </c>
      <c r="F1437" s="1">
        <v>497</v>
      </c>
      <c r="G1437" s="1">
        <v>0</v>
      </c>
      <c r="H1437" s="1">
        <v>22806</v>
      </c>
      <c r="I1437" s="1">
        <v>7677</v>
      </c>
      <c r="J1437" s="3">
        <f t="shared" si="76"/>
        <v>22806</v>
      </c>
      <c r="K1437" s="1">
        <v>0</v>
      </c>
      <c r="L1437" s="1">
        <v>0</v>
      </c>
      <c r="M1437" s="1">
        <v>0</v>
      </c>
      <c r="O1437" s="14">
        <v>0</v>
      </c>
      <c r="P1437" s="17">
        <f t="shared" si="75"/>
        <v>22806</v>
      </c>
      <c r="Q1437" s="1">
        <v>0</v>
      </c>
      <c r="R1437" s="1">
        <v>0</v>
      </c>
      <c r="S1437" s="20">
        <v>37653</v>
      </c>
      <c r="T1437" s="1">
        <v>40730</v>
      </c>
      <c r="U1437" s="9">
        <v>22806</v>
      </c>
      <c r="V1437" s="9" t="s">
        <v>21</v>
      </c>
    </row>
    <row r="1438" spans="1:22" x14ac:dyDescent="0.25">
      <c r="A1438" s="10" t="s">
        <v>36</v>
      </c>
      <c r="B1438" t="b">
        <v>0</v>
      </c>
      <c r="C1438" t="b">
        <v>0</v>
      </c>
      <c r="D1438" s="1">
        <v>0</v>
      </c>
      <c r="E1438" s="1">
        <v>12712</v>
      </c>
      <c r="F1438" s="1">
        <v>1487</v>
      </c>
      <c r="G1438" s="1">
        <v>0</v>
      </c>
      <c r="H1438" s="1">
        <v>13361</v>
      </c>
      <c r="I1438" s="1">
        <v>11766</v>
      </c>
      <c r="J1438" s="3">
        <f t="shared" si="76"/>
        <v>13361</v>
      </c>
      <c r="K1438" s="1">
        <v>0</v>
      </c>
      <c r="L1438" s="1">
        <v>0</v>
      </c>
      <c r="M1438" s="1">
        <v>0</v>
      </c>
      <c r="O1438" s="14">
        <v>0</v>
      </c>
      <c r="P1438" s="17">
        <f t="shared" si="75"/>
        <v>13361</v>
      </c>
      <c r="Q1438" s="1">
        <v>0</v>
      </c>
      <c r="R1438" s="1">
        <v>0</v>
      </c>
      <c r="S1438" s="20">
        <v>37681</v>
      </c>
      <c r="T1438" s="1">
        <v>39326</v>
      </c>
      <c r="U1438" s="9">
        <v>13361</v>
      </c>
      <c r="V1438" s="9" t="s">
        <v>21</v>
      </c>
    </row>
    <row r="1439" spans="1:22" x14ac:dyDescent="0.25">
      <c r="A1439" s="10" t="s">
        <v>36</v>
      </c>
      <c r="B1439" t="b">
        <v>0</v>
      </c>
      <c r="C1439" t="b">
        <v>0</v>
      </c>
      <c r="D1439" s="1">
        <v>0</v>
      </c>
      <c r="E1439" s="1">
        <v>20989</v>
      </c>
      <c r="F1439" s="1">
        <v>2381</v>
      </c>
      <c r="G1439" s="1">
        <v>0</v>
      </c>
      <c r="H1439" s="1">
        <v>14327</v>
      </c>
      <c r="I1439" s="1">
        <v>14338</v>
      </c>
      <c r="J1439" s="3">
        <f t="shared" si="76"/>
        <v>14327</v>
      </c>
      <c r="K1439" s="1">
        <v>0</v>
      </c>
      <c r="L1439" s="1">
        <v>0</v>
      </c>
      <c r="M1439" s="1">
        <v>0</v>
      </c>
      <c r="O1439" s="14">
        <v>0</v>
      </c>
      <c r="P1439" s="17">
        <f t="shared" si="75"/>
        <v>14327</v>
      </c>
      <c r="Q1439" s="1">
        <v>0</v>
      </c>
      <c r="R1439" s="1">
        <v>0</v>
      </c>
      <c r="S1439" s="20">
        <v>37712</v>
      </c>
      <c r="T1439" s="1">
        <v>52035</v>
      </c>
      <c r="U1439" s="9">
        <v>14327</v>
      </c>
      <c r="V1439" s="9" t="s">
        <v>21</v>
      </c>
    </row>
    <row r="1440" spans="1:22" x14ac:dyDescent="0.25">
      <c r="A1440" s="10" t="s">
        <v>36</v>
      </c>
      <c r="B1440" t="b">
        <v>0</v>
      </c>
      <c r="C1440" t="b">
        <v>0</v>
      </c>
      <c r="D1440" s="1">
        <v>0</v>
      </c>
      <c r="E1440" s="1">
        <v>10022</v>
      </c>
      <c r="F1440" s="1">
        <v>3925</v>
      </c>
      <c r="G1440" s="1">
        <v>0</v>
      </c>
      <c r="H1440" s="1">
        <v>21373</v>
      </c>
      <c r="I1440" s="1">
        <v>22656</v>
      </c>
      <c r="J1440" s="3">
        <f t="shared" si="76"/>
        <v>21373</v>
      </c>
      <c r="K1440" s="1">
        <v>0</v>
      </c>
      <c r="L1440" s="1">
        <v>0</v>
      </c>
      <c r="M1440" s="1">
        <v>0</v>
      </c>
      <c r="O1440" s="14">
        <v>0</v>
      </c>
      <c r="P1440" s="17">
        <f t="shared" si="75"/>
        <v>21373</v>
      </c>
      <c r="Q1440" s="1">
        <v>0</v>
      </c>
      <c r="R1440" s="1">
        <v>0</v>
      </c>
      <c r="S1440" s="20">
        <v>37742</v>
      </c>
      <c r="T1440" s="1">
        <v>57976</v>
      </c>
      <c r="U1440" s="9">
        <v>21373</v>
      </c>
      <c r="V1440" s="9" t="s">
        <v>21</v>
      </c>
    </row>
    <row r="1441" spans="1:22" x14ac:dyDescent="0.25">
      <c r="A1441" s="10" t="s">
        <v>36</v>
      </c>
      <c r="B1441" t="b">
        <v>0</v>
      </c>
      <c r="C1441" t="b">
        <v>0</v>
      </c>
      <c r="D1441" s="1">
        <v>0</v>
      </c>
      <c r="E1441" s="1">
        <v>38489</v>
      </c>
      <c r="F1441" s="1">
        <v>1688</v>
      </c>
      <c r="G1441" s="1">
        <v>0</v>
      </c>
      <c r="H1441" s="1">
        <v>37029</v>
      </c>
      <c r="I1441" s="1">
        <v>1532</v>
      </c>
      <c r="J1441" s="3">
        <f t="shared" si="76"/>
        <v>37029</v>
      </c>
      <c r="K1441" s="1">
        <v>0</v>
      </c>
      <c r="L1441" s="1">
        <v>0</v>
      </c>
      <c r="M1441" s="1">
        <v>0</v>
      </c>
      <c r="O1441" s="14">
        <v>0</v>
      </c>
      <c r="P1441" s="17">
        <f t="shared" si="75"/>
        <v>37029</v>
      </c>
      <c r="Q1441" s="1">
        <v>0</v>
      </c>
      <c r="R1441" s="1">
        <v>0</v>
      </c>
      <c r="S1441" s="20">
        <v>37773</v>
      </c>
      <c r="T1441" s="1">
        <v>78738</v>
      </c>
      <c r="U1441" s="9">
        <v>37029</v>
      </c>
      <c r="V1441" s="9" t="s">
        <v>21</v>
      </c>
    </row>
    <row r="1442" spans="1:22" x14ac:dyDescent="0.25">
      <c r="A1442" s="10" t="s">
        <v>36</v>
      </c>
      <c r="B1442" t="b">
        <v>0</v>
      </c>
      <c r="C1442" t="b">
        <v>0</v>
      </c>
      <c r="D1442" s="1">
        <v>0</v>
      </c>
      <c r="E1442" s="1">
        <v>23302</v>
      </c>
      <c r="F1442" s="1">
        <v>601</v>
      </c>
      <c r="G1442" s="1">
        <v>0</v>
      </c>
      <c r="H1442" s="1">
        <v>18087</v>
      </c>
      <c r="I1442" s="1">
        <v>1308</v>
      </c>
      <c r="J1442" s="3">
        <f t="shared" si="76"/>
        <v>18087</v>
      </c>
      <c r="K1442" s="1">
        <v>0</v>
      </c>
      <c r="L1442" s="1">
        <v>0</v>
      </c>
      <c r="M1442" s="1">
        <v>0</v>
      </c>
      <c r="O1442" s="14">
        <v>0</v>
      </c>
      <c r="P1442" s="17">
        <f t="shared" si="75"/>
        <v>18087</v>
      </c>
      <c r="Q1442" s="1">
        <v>0</v>
      </c>
      <c r="R1442" s="1">
        <v>0</v>
      </c>
      <c r="S1442" s="20">
        <v>37803</v>
      </c>
      <c r="T1442" s="1">
        <v>43298</v>
      </c>
      <c r="U1442" s="9">
        <v>18087</v>
      </c>
      <c r="V1442" s="9" t="s">
        <v>21</v>
      </c>
    </row>
    <row r="1443" spans="1:22" x14ac:dyDescent="0.25">
      <c r="A1443" s="10" t="s">
        <v>36</v>
      </c>
      <c r="B1443" t="b">
        <v>0</v>
      </c>
      <c r="C1443" t="b">
        <v>0</v>
      </c>
      <c r="D1443" s="1">
        <v>0</v>
      </c>
      <c r="E1443" s="1">
        <v>25959</v>
      </c>
      <c r="F1443" s="1">
        <v>403</v>
      </c>
      <c r="G1443" s="1">
        <v>0</v>
      </c>
      <c r="H1443" s="1">
        <v>26815</v>
      </c>
      <c r="I1443" s="1">
        <v>951</v>
      </c>
      <c r="J1443" s="3">
        <f t="shared" si="76"/>
        <v>26815</v>
      </c>
      <c r="K1443" s="1">
        <v>0</v>
      </c>
      <c r="L1443" s="1">
        <v>0</v>
      </c>
      <c r="M1443" s="1">
        <v>0</v>
      </c>
      <c r="O1443" s="14">
        <v>0</v>
      </c>
      <c r="P1443" s="17">
        <f t="shared" si="75"/>
        <v>26815</v>
      </c>
      <c r="Q1443" s="1">
        <v>0</v>
      </c>
      <c r="R1443" s="1">
        <v>0</v>
      </c>
      <c r="S1443" s="20">
        <v>37834</v>
      </c>
      <c r="T1443" s="1">
        <v>54128</v>
      </c>
      <c r="U1443" s="9">
        <v>26815</v>
      </c>
      <c r="V1443" s="9" t="s">
        <v>21</v>
      </c>
    </row>
    <row r="1444" spans="1:22" x14ac:dyDescent="0.25">
      <c r="A1444" s="10" t="s">
        <v>36</v>
      </c>
      <c r="B1444" t="b">
        <v>0</v>
      </c>
      <c r="C1444" t="b">
        <v>0</v>
      </c>
      <c r="D1444" s="1">
        <v>0</v>
      </c>
      <c r="E1444" s="1">
        <v>15232</v>
      </c>
      <c r="F1444" s="1">
        <v>377</v>
      </c>
      <c r="G1444" s="1">
        <v>0</v>
      </c>
      <c r="H1444" s="1">
        <v>11627</v>
      </c>
      <c r="I1444" s="1">
        <v>823</v>
      </c>
      <c r="J1444" s="3">
        <f t="shared" si="76"/>
        <v>11627</v>
      </c>
      <c r="K1444" s="1">
        <v>0</v>
      </c>
      <c r="L1444" s="1">
        <v>0</v>
      </c>
      <c r="M1444" s="1">
        <v>0</v>
      </c>
      <c r="O1444" s="14">
        <v>0</v>
      </c>
      <c r="P1444" s="17">
        <f t="shared" si="75"/>
        <v>11627</v>
      </c>
      <c r="Q1444" s="1">
        <v>0</v>
      </c>
      <c r="R1444" s="1">
        <v>0</v>
      </c>
      <c r="S1444" s="20">
        <v>37865</v>
      </c>
      <c r="T1444" s="1">
        <v>28059</v>
      </c>
      <c r="U1444" s="9">
        <v>11627</v>
      </c>
      <c r="V1444" s="9" t="s">
        <v>21</v>
      </c>
    </row>
    <row r="1445" spans="1:22" x14ac:dyDescent="0.25">
      <c r="A1445" s="10" t="s">
        <v>36</v>
      </c>
      <c r="B1445" t="b">
        <v>0</v>
      </c>
      <c r="C1445" t="b">
        <v>0</v>
      </c>
      <c r="D1445" s="1">
        <v>0</v>
      </c>
      <c r="E1445" s="1">
        <v>15035</v>
      </c>
      <c r="F1445" s="1">
        <v>727</v>
      </c>
      <c r="G1445" s="1">
        <v>0</v>
      </c>
      <c r="H1445" s="1">
        <v>10576</v>
      </c>
      <c r="I1445" s="1">
        <v>6559</v>
      </c>
      <c r="J1445" s="3">
        <f t="shared" si="76"/>
        <v>10576</v>
      </c>
      <c r="K1445" s="1">
        <v>0</v>
      </c>
      <c r="L1445" s="1">
        <v>0</v>
      </c>
      <c r="M1445" s="1">
        <v>0</v>
      </c>
      <c r="O1445" s="14">
        <v>0</v>
      </c>
      <c r="P1445" s="17">
        <f t="shared" si="75"/>
        <v>10576</v>
      </c>
      <c r="Q1445" s="1">
        <v>0</v>
      </c>
      <c r="R1445" s="1">
        <v>0</v>
      </c>
      <c r="S1445" s="20">
        <v>37895</v>
      </c>
      <c r="T1445" s="1">
        <v>32897</v>
      </c>
      <c r="U1445" s="9">
        <v>10576</v>
      </c>
      <c r="V1445" s="9" t="s">
        <v>21</v>
      </c>
    </row>
    <row r="1446" spans="1:22" x14ac:dyDescent="0.25">
      <c r="A1446" s="10" t="s">
        <v>36</v>
      </c>
      <c r="B1446" t="b">
        <v>0</v>
      </c>
      <c r="C1446" t="b">
        <v>0</v>
      </c>
      <c r="D1446" s="1">
        <v>0</v>
      </c>
      <c r="E1446" s="1">
        <v>14544</v>
      </c>
      <c r="F1446" s="1">
        <v>353</v>
      </c>
      <c r="G1446" s="1">
        <v>0</v>
      </c>
      <c r="H1446" s="1">
        <v>13099</v>
      </c>
      <c r="I1446" s="1">
        <v>826</v>
      </c>
      <c r="J1446" s="3">
        <f t="shared" si="76"/>
        <v>13099</v>
      </c>
      <c r="K1446" s="1">
        <v>0</v>
      </c>
      <c r="L1446" s="1">
        <v>0</v>
      </c>
      <c r="M1446" s="1">
        <v>0</v>
      </c>
      <c r="O1446" s="14">
        <v>0</v>
      </c>
      <c r="P1446" s="17">
        <f t="shared" si="75"/>
        <v>13099</v>
      </c>
      <c r="Q1446" s="1">
        <v>0</v>
      </c>
      <c r="R1446" s="1">
        <v>0</v>
      </c>
      <c r="S1446" s="20">
        <v>37926</v>
      </c>
      <c r="T1446" s="1">
        <v>28822</v>
      </c>
      <c r="U1446" s="9">
        <v>13099</v>
      </c>
      <c r="V1446" s="9" t="s">
        <v>21</v>
      </c>
    </row>
    <row r="1447" spans="1:22" x14ac:dyDescent="0.25">
      <c r="A1447" s="10" t="s">
        <v>36</v>
      </c>
      <c r="B1447" t="b">
        <v>0</v>
      </c>
      <c r="C1447" t="b">
        <v>0</v>
      </c>
      <c r="D1447" s="1">
        <v>0</v>
      </c>
      <c r="E1447" s="1">
        <v>10892</v>
      </c>
      <c r="F1447" s="1">
        <v>168</v>
      </c>
      <c r="G1447" s="1">
        <v>0</v>
      </c>
      <c r="H1447" s="1">
        <v>9957</v>
      </c>
      <c r="I1447" s="1">
        <v>553</v>
      </c>
      <c r="J1447" s="3">
        <f t="shared" si="76"/>
        <v>9957</v>
      </c>
      <c r="K1447" s="1">
        <v>0</v>
      </c>
      <c r="L1447" s="1">
        <v>0</v>
      </c>
      <c r="M1447" s="1">
        <v>0</v>
      </c>
      <c r="O1447" s="14">
        <v>0</v>
      </c>
      <c r="P1447" s="17">
        <f t="shared" si="75"/>
        <v>9957</v>
      </c>
      <c r="Q1447" s="1">
        <v>0</v>
      </c>
      <c r="R1447" s="1">
        <v>0</v>
      </c>
      <c r="S1447" s="20">
        <v>37956</v>
      </c>
      <c r="T1447" s="1">
        <v>21570</v>
      </c>
      <c r="U1447" s="9">
        <v>9957</v>
      </c>
      <c r="V1447" s="9" t="s">
        <v>21</v>
      </c>
    </row>
    <row r="1448" spans="1:22" x14ac:dyDescent="0.25">
      <c r="A1448" s="10" t="s">
        <v>36</v>
      </c>
      <c r="B1448" t="b">
        <v>0</v>
      </c>
      <c r="C1448" t="b">
        <v>0</v>
      </c>
      <c r="D1448" s="1">
        <v>0</v>
      </c>
      <c r="E1448" s="1">
        <v>10005</v>
      </c>
      <c r="F1448" s="1">
        <v>174</v>
      </c>
      <c r="G1448" s="1">
        <v>0</v>
      </c>
      <c r="H1448" s="1">
        <v>11569</v>
      </c>
      <c r="I1448" s="1">
        <v>571</v>
      </c>
      <c r="J1448" s="3">
        <f t="shared" si="76"/>
        <v>11569</v>
      </c>
      <c r="K1448" s="1">
        <v>0</v>
      </c>
      <c r="L1448" s="1">
        <v>0</v>
      </c>
      <c r="M1448" s="1">
        <v>0</v>
      </c>
      <c r="O1448" s="14">
        <v>0</v>
      </c>
      <c r="P1448" s="17">
        <f t="shared" si="75"/>
        <v>11569</v>
      </c>
      <c r="Q1448" s="1">
        <v>0</v>
      </c>
      <c r="R1448" s="1">
        <v>0</v>
      </c>
      <c r="S1448" s="20">
        <v>37987</v>
      </c>
      <c r="T1448" s="1">
        <v>22319</v>
      </c>
      <c r="U1448" s="9">
        <v>11569</v>
      </c>
      <c r="V1448" s="9" t="s">
        <v>41</v>
      </c>
    </row>
    <row r="1449" spans="1:22" x14ac:dyDescent="0.25">
      <c r="A1449" s="10" t="s">
        <v>36</v>
      </c>
      <c r="B1449" t="b">
        <v>0</v>
      </c>
      <c r="C1449" t="b">
        <v>0</v>
      </c>
      <c r="D1449" s="1">
        <v>0</v>
      </c>
      <c r="E1449" s="1">
        <v>10693</v>
      </c>
      <c r="F1449" s="1">
        <v>0</v>
      </c>
      <c r="G1449" s="1">
        <v>0</v>
      </c>
      <c r="H1449" s="1">
        <v>28033</v>
      </c>
      <c r="I1449" s="1">
        <v>569</v>
      </c>
      <c r="J1449" s="3">
        <f t="shared" si="76"/>
        <v>28033</v>
      </c>
      <c r="K1449" s="1">
        <v>0</v>
      </c>
      <c r="L1449" s="1">
        <v>0</v>
      </c>
      <c r="M1449" s="1">
        <v>0</v>
      </c>
      <c r="O1449" s="14">
        <v>0</v>
      </c>
      <c r="P1449" s="17">
        <f t="shared" si="75"/>
        <v>28033</v>
      </c>
      <c r="Q1449" s="1">
        <v>0</v>
      </c>
      <c r="R1449" s="1">
        <v>0</v>
      </c>
      <c r="S1449" s="20">
        <v>38018</v>
      </c>
      <c r="T1449" s="1">
        <v>39295</v>
      </c>
      <c r="U1449" s="9">
        <v>28033</v>
      </c>
      <c r="V1449" s="9" t="s">
        <v>41</v>
      </c>
    </row>
    <row r="1450" spans="1:22" x14ac:dyDescent="0.25">
      <c r="A1450" s="10" t="s">
        <v>36</v>
      </c>
      <c r="B1450" t="b">
        <v>0</v>
      </c>
      <c r="C1450" t="b">
        <v>0</v>
      </c>
      <c r="D1450" s="1">
        <v>0</v>
      </c>
      <c r="E1450" s="1">
        <v>11531</v>
      </c>
      <c r="F1450" s="1">
        <v>1998</v>
      </c>
      <c r="G1450" s="1">
        <v>0</v>
      </c>
      <c r="H1450" s="1">
        <v>25558</v>
      </c>
      <c r="I1450" s="1">
        <v>2057</v>
      </c>
      <c r="J1450" s="3">
        <f t="shared" si="76"/>
        <v>25558</v>
      </c>
      <c r="K1450" s="1">
        <v>0</v>
      </c>
      <c r="L1450" s="1">
        <v>0</v>
      </c>
      <c r="M1450" s="1">
        <v>0</v>
      </c>
      <c r="O1450" s="14">
        <v>0</v>
      </c>
      <c r="P1450" s="17">
        <f t="shared" si="75"/>
        <v>25558</v>
      </c>
      <c r="Q1450" s="1">
        <v>0</v>
      </c>
      <c r="R1450" s="1">
        <v>0</v>
      </c>
      <c r="S1450" s="20">
        <v>38047</v>
      </c>
      <c r="T1450" s="1">
        <v>41144</v>
      </c>
      <c r="U1450" s="9">
        <v>25558</v>
      </c>
      <c r="V1450" s="9" t="s">
        <v>41</v>
      </c>
    </row>
    <row r="1451" spans="1:22" x14ac:dyDescent="0.25">
      <c r="A1451" s="10" t="s">
        <v>36</v>
      </c>
      <c r="B1451" t="b">
        <v>0</v>
      </c>
      <c r="C1451" t="b">
        <v>0</v>
      </c>
      <c r="D1451" s="1">
        <v>0</v>
      </c>
      <c r="E1451" s="1">
        <v>24139</v>
      </c>
      <c r="F1451" s="1">
        <v>0</v>
      </c>
      <c r="G1451" s="1">
        <v>0</v>
      </c>
      <c r="H1451" s="1">
        <v>29128</v>
      </c>
      <c r="I1451" s="1">
        <v>3345</v>
      </c>
      <c r="J1451" s="3">
        <f t="shared" si="76"/>
        <v>29128</v>
      </c>
      <c r="K1451" s="1">
        <v>0</v>
      </c>
      <c r="L1451" s="1">
        <v>0</v>
      </c>
      <c r="M1451" s="1">
        <v>0</v>
      </c>
      <c r="O1451" s="14">
        <v>0</v>
      </c>
      <c r="P1451" s="17">
        <f t="shared" si="75"/>
        <v>29128</v>
      </c>
      <c r="Q1451" s="1">
        <v>0</v>
      </c>
      <c r="R1451" s="1">
        <v>0</v>
      </c>
      <c r="S1451" s="20">
        <v>38078</v>
      </c>
      <c r="T1451" s="1">
        <v>56612</v>
      </c>
      <c r="U1451" s="9">
        <v>29128</v>
      </c>
      <c r="V1451" s="9" t="s">
        <v>41</v>
      </c>
    </row>
    <row r="1452" spans="1:22" x14ac:dyDescent="0.25">
      <c r="A1452" s="10" t="s">
        <v>36</v>
      </c>
      <c r="B1452" t="b">
        <v>0</v>
      </c>
      <c r="C1452" t="b">
        <v>0</v>
      </c>
      <c r="D1452" s="1">
        <v>0</v>
      </c>
      <c r="E1452" s="1">
        <v>23213</v>
      </c>
      <c r="F1452" s="1">
        <v>4098</v>
      </c>
      <c r="G1452" s="1">
        <v>0</v>
      </c>
      <c r="H1452" s="1">
        <v>29401</v>
      </c>
      <c r="I1452" s="1">
        <v>3877</v>
      </c>
      <c r="J1452" s="3">
        <f t="shared" si="76"/>
        <v>29401</v>
      </c>
      <c r="K1452" s="1">
        <v>0</v>
      </c>
      <c r="L1452" s="1">
        <v>0</v>
      </c>
      <c r="M1452" s="1">
        <v>0</v>
      </c>
      <c r="O1452" s="14">
        <v>0</v>
      </c>
      <c r="P1452" s="17">
        <f t="shared" si="75"/>
        <v>29401</v>
      </c>
      <c r="Q1452" s="1">
        <v>0</v>
      </c>
      <c r="R1452" s="1">
        <v>0</v>
      </c>
      <c r="S1452" s="20">
        <v>38108</v>
      </c>
      <c r="T1452" s="1">
        <v>60589</v>
      </c>
      <c r="U1452" s="9">
        <v>29401</v>
      </c>
      <c r="V1452" s="9" t="s">
        <v>41</v>
      </c>
    </row>
    <row r="1453" spans="1:22" x14ac:dyDescent="0.25">
      <c r="A1453" s="10" t="s">
        <v>36</v>
      </c>
      <c r="B1453" t="b">
        <v>0</v>
      </c>
      <c r="C1453" t="b">
        <v>0</v>
      </c>
      <c r="D1453" s="1">
        <v>0</v>
      </c>
      <c r="E1453" s="1">
        <v>12836</v>
      </c>
      <c r="F1453" s="1">
        <v>6516</v>
      </c>
      <c r="G1453" s="1">
        <v>0</v>
      </c>
      <c r="H1453" s="1">
        <v>10272</v>
      </c>
      <c r="I1453" s="1">
        <v>2884</v>
      </c>
      <c r="J1453" s="3">
        <f t="shared" si="76"/>
        <v>10272</v>
      </c>
      <c r="K1453" s="1">
        <v>0</v>
      </c>
      <c r="L1453" s="1">
        <v>0</v>
      </c>
      <c r="M1453" s="1">
        <v>0</v>
      </c>
      <c r="O1453" s="14">
        <v>0</v>
      </c>
      <c r="P1453" s="17">
        <f t="shared" si="75"/>
        <v>10272</v>
      </c>
      <c r="Q1453" s="1">
        <v>0</v>
      </c>
      <c r="R1453" s="1">
        <v>0</v>
      </c>
      <c r="S1453" s="20">
        <v>38139</v>
      </c>
      <c r="T1453" s="1">
        <v>32508</v>
      </c>
      <c r="U1453" s="9">
        <v>10272</v>
      </c>
      <c r="V1453" s="9" t="s">
        <v>41</v>
      </c>
    </row>
    <row r="1454" spans="1:22" x14ac:dyDescent="0.25">
      <c r="A1454" s="10" t="s">
        <v>36</v>
      </c>
      <c r="B1454" t="b">
        <v>0</v>
      </c>
      <c r="C1454" t="b">
        <v>0</v>
      </c>
      <c r="D1454" s="1">
        <v>0</v>
      </c>
      <c r="E1454" s="1">
        <v>29171</v>
      </c>
      <c r="F1454" s="1">
        <v>0</v>
      </c>
      <c r="G1454" s="1">
        <v>0</v>
      </c>
      <c r="H1454" s="1">
        <v>13431</v>
      </c>
      <c r="I1454" s="1">
        <v>297</v>
      </c>
      <c r="J1454" s="3">
        <f t="shared" si="76"/>
        <v>13431</v>
      </c>
      <c r="K1454" s="1">
        <v>0</v>
      </c>
      <c r="L1454" s="1">
        <v>0</v>
      </c>
      <c r="M1454" s="1">
        <v>0</v>
      </c>
      <c r="O1454" s="14">
        <v>0</v>
      </c>
      <c r="P1454" s="17">
        <f t="shared" si="75"/>
        <v>13431</v>
      </c>
      <c r="Q1454" s="1">
        <v>0</v>
      </c>
      <c r="R1454" s="1">
        <v>0</v>
      </c>
      <c r="S1454" s="20">
        <v>38169</v>
      </c>
      <c r="T1454" s="1">
        <v>42899</v>
      </c>
      <c r="U1454" s="9">
        <v>13431</v>
      </c>
      <c r="V1454" s="9" t="s">
        <v>41</v>
      </c>
    </row>
    <row r="1455" spans="1:22" x14ac:dyDescent="0.25">
      <c r="A1455" s="10" t="s">
        <v>36</v>
      </c>
      <c r="B1455" t="b">
        <v>0</v>
      </c>
      <c r="C1455" t="b">
        <v>0</v>
      </c>
      <c r="D1455" s="1">
        <v>0</v>
      </c>
      <c r="E1455" s="1">
        <v>23601</v>
      </c>
      <c r="F1455" s="1">
        <v>695</v>
      </c>
      <c r="G1455" s="1">
        <v>0</v>
      </c>
      <c r="H1455" s="1">
        <v>10863</v>
      </c>
      <c r="I1455" s="1">
        <v>507</v>
      </c>
      <c r="J1455" s="3">
        <f t="shared" si="76"/>
        <v>10863</v>
      </c>
      <c r="K1455" s="1">
        <v>0</v>
      </c>
      <c r="L1455" s="1">
        <v>0</v>
      </c>
      <c r="M1455" s="1">
        <v>0</v>
      </c>
      <c r="O1455" s="14">
        <v>0</v>
      </c>
      <c r="P1455" s="17">
        <f t="shared" si="75"/>
        <v>10863</v>
      </c>
      <c r="Q1455" s="1">
        <v>0</v>
      </c>
      <c r="R1455" s="1">
        <v>0</v>
      </c>
      <c r="S1455" s="20">
        <v>38200</v>
      </c>
      <c r="T1455" s="1">
        <v>35666</v>
      </c>
      <c r="U1455" s="9">
        <v>10863</v>
      </c>
      <c r="V1455" s="9" t="s">
        <v>41</v>
      </c>
    </row>
    <row r="1456" spans="1:22" x14ac:dyDescent="0.25">
      <c r="A1456" s="10" t="s">
        <v>36</v>
      </c>
      <c r="B1456" t="b">
        <v>0</v>
      </c>
      <c r="C1456" t="b">
        <v>0</v>
      </c>
      <c r="D1456" s="1">
        <v>0</v>
      </c>
      <c r="E1456" s="1">
        <v>22407</v>
      </c>
      <c r="F1456" s="1">
        <v>0</v>
      </c>
      <c r="G1456" s="1">
        <v>0</v>
      </c>
      <c r="H1456" s="1">
        <v>16215</v>
      </c>
      <c r="I1456" s="1">
        <v>0</v>
      </c>
      <c r="J1456" s="3">
        <f t="shared" si="76"/>
        <v>16215</v>
      </c>
      <c r="K1456" s="1">
        <v>0</v>
      </c>
      <c r="L1456" s="1">
        <v>0</v>
      </c>
      <c r="M1456" s="1">
        <v>0</v>
      </c>
      <c r="O1456" s="14">
        <v>0</v>
      </c>
      <c r="P1456" s="17">
        <f t="shared" si="75"/>
        <v>16215</v>
      </c>
      <c r="Q1456" s="1">
        <v>0</v>
      </c>
      <c r="R1456" s="1">
        <v>0</v>
      </c>
      <c r="S1456" s="20">
        <v>38231</v>
      </c>
      <c r="T1456" s="1">
        <v>38622</v>
      </c>
      <c r="U1456" s="9">
        <v>16215</v>
      </c>
      <c r="V1456" s="9" t="s">
        <v>41</v>
      </c>
    </row>
    <row r="1457" spans="1:22" x14ac:dyDescent="0.25">
      <c r="A1457" s="10" t="s">
        <v>36</v>
      </c>
      <c r="B1457" t="b">
        <v>0</v>
      </c>
      <c r="C1457" t="b">
        <v>0</v>
      </c>
      <c r="D1457" s="1">
        <v>0</v>
      </c>
      <c r="E1457" s="1">
        <v>16990</v>
      </c>
      <c r="F1457" s="1">
        <v>527</v>
      </c>
      <c r="G1457" s="1">
        <v>0</v>
      </c>
      <c r="H1457" s="1">
        <v>8894</v>
      </c>
      <c r="I1457" s="1">
        <v>5298</v>
      </c>
      <c r="J1457" s="3">
        <f t="shared" si="76"/>
        <v>8894</v>
      </c>
      <c r="K1457" s="1">
        <v>0</v>
      </c>
      <c r="L1457" s="1">
        <v>0</v>
      </c>
      <c r="M1457" s="1">
        <v>0</v>
      </c>
      <c r="O1457" s="14">
        <v>0</v>
      </c>
      <c r="P1457" s="17">
        <f t="shared" si="75"/>
        <v>8894</v>
      </c>
      <c r="Q1457" s="1">
        <v>0</v>
      </c>
      <c r="R1457" s="1">
        <v>0</v>
      </c>
      <c r="S1457" s="20">
        <v>38261</v>
      </c>
      <c r="T1457" s="1">
        <v>31709</v>
      </c>
      <c r="U1457" s="9">
        <v>8894</v>
      </c>
      <c r="V1457" s="9" t="s">
        <v>41</v>
      </c>
    </row>
    <row r="1458" spans="1:22" x14ac:dyDescent="0.25">
      <c r="A1458" s="10" t="s">
        <v>36</v>
      </c>
      <c r="B1458" t="b">
        <v>0</v>
      </c>
      <c r="C1458" t="b">
        <v>0</v>
      </c>
      <c r="D1458" s="1">
        <v>0</v>
      </c>
      <c r="E1458" s="1">
        <v>13269</v>
      </c>
      <c r="F1458" s="1">
        <v>619</v>
      </c>
      <c r="G1458" s="1">
        <v>0</v>
      </c>
      <c r="H1458" s="1">
        <v>5140</v>
      </c>
      <c r="I1458" s="1">
        <v>2721</v>
      </c>
      <c r="J1458" s="3">
        <f t="shared" si="76"/>
        <v>5140</v>
      </c>
      <c r="K1458" s="1">
        <v>0</v>
      </c>
      <c r="L1458" s="1">
        <v>0</v>
      </c>
      <c r="M1458" s="1">
        <v>0</v>
      </c>
      <c r="O1458" s="14">
        <v>0</v>
      </c>
      <c r="P1458" s="17">
        <f t="shared" si="75"/>
        <v>5140</v>
      </c>
      <c r="Q1458" s="1">
        <v>0</v>
      </c>
      <c r="R1458" s="1">
        <v>0</v>
      </c>
      <c r="S1458" s="20">
        <v>38292</v>
      </c>
      <c r="T1458" s="1">
        <v>21749</v>
      </c>
      <c r="U1458" s="9">
        <v>5140</v>
      </c>
      <c r="V1458" s="9" t="s">
        <v>41</v>
      </c>
    </row>
    <row r="1459" spans="1:22" x14ac:dyDescent="0.25">
      <c r="A1459" s="10" t="s">
        <v>36</v>
      </c>
      <c r="B1459" t="b">
        <v>0</v>
      </c>
      <c r="C1459" t="b">
        <v>0</v>
      </c>
      <c r="D1459" s="1">
        <v>0</v>
      </c>
      <c r="E1459" s="1">
        <v>14377</v>
      </c>
      <c r="F1459" s="1">
        <v>1328</v>
      </c>
      <c r="G1459" s="1">
        <v>0</v>
      </c>
      <c r="H1459" s="1">
        <v>6609</v>
      </c>
      <c r="I1459" s="1">
        <v>174</v>
      </c>
      <c r="J1459" s="3">
        <f t="shared" si="76"/>
        <v>6609</v>
      </c>
      <c r="K1459" s="1">
        <v>0</v>
      </c>
      <c r="L1459" s="1">
        <v>0</v>
      </c>
      <c r="M1459" s="1">
        <v>0</v>
      </c>
      <c r="O1459" s="14">
        <v>0</v>
      </c>
      <c r="P1459" s="17">
        <f t="shared" si="75"/>
        <v>6609</v>
      </c>
      <c r="Q1459" s="1">
        <v>0</v>
      </c>
      <c r="R1459" s="1">
        <v>0</v>
      </c>
      <c r="S1459" s="20">
        <v>38322</v>
      </c>
      <c r="T1459" s="1">
        <v>22488</v>
      </c>
      <c r="U1459" s="9">
        <v>6609</v>
      </c>
      <c r="V1459" s="9" t="s">
        <v>41</v>
      </c>
    </row>
    <row r="1460" spans="1:22" x14ac:dyDescent="0.25">
      <c r="A1460" s="10" t="s">
        <v>36</v>
      </c>
      <c r="B1460" t="b">
        <v>0</v>
      </c>
      <c r="C1460" t="b">
        <v>0</v>
      </c>
      <c r="D1460" s="1">
        <v>0</v>
      </c>
      <c r="E1460" s="1">
        <v>10579</v>
      </c>
      <c r="F1460" s="1">
        <v>428</v>
      </c>
      <c r="G1460" s="1">
        <v>0</v>
      </c>
      <c r="H1460" s="1">
        <v>6658</v>
      </c>
      <c r="I1460" s="1">
        <v>4511</v>
      </c>
      <c r="J1460" s="3">
        <f t="shared" si="76"/>
        <v>6658</v>
      </c>
      <c r="K1460" s="1">
        <v>0</v>
      </c>
      <c r="L1460" s="1">
        <v>0</v>
      </c>
      <c r="M1460" s="1">
        <v>0</v>
      </c>
      <c r="O1460" s="14">
        <v>0</v>
      </c>
      <c r="P1460" s="17">
        <f t="shared" si="75"/>
        <v>6658</v>
      </c>
      <c r="Q1460" s="1">
        <v>0</v>
      </c>
      <c r="R1460" s="1">
        <v>0</v>
      </c>
      <c r="S1460" s="20">
        <v>38353</v>
      </c>
      <c r="T1460" s="1">
        <v>22176</v>
      </c>
      <c r="U1460" s="9">
        <v>6658</v>
      </c>
      <c r="V1460" s="9" t="s">
        <v>21</v>
      </c>
    </row>
    <row r="1461" spans="1:22" x14ac:dyDescent="0.25">
      <c r="A1461" s="10" t="s">
        <v>36</v>
      </c>
      <c r="B1461" t="b">
        <v>0</v>
      </c>
      <c r="C1461" t="b">
        <v>0</v>
      </c>
      <c r="D1461" s="1">
        <v>0</v>
      </c>
      <c r="E1461" s="1">
        <v>12928</v>
      </c>
      <c r="F1461" s="1">
        <v>1398</v>
      </c>
      <c r="G1461" s="1">
        <v>0</v>
      </c>
      <c r="H1461" s="1">
        <v>20625</v>
      </c>
      <c r="I1461" s="1">
        <v>6336</v>
      </c>
      <c r="J1461" s="3">
        <f t="shared" si="76"/>
        <v>20625</v>
      </c>
      <c r="K1461" s="1">
        <v>0</v>
      </c>
      <c r="L1461" s="1">
        <v>0</v>
      </c>
      <c r="M1461" s="1">
        <v>0</v>
      </c>
      <c r="O1461" s="14">
        <v>0</v>
      </c>
      <c r="P1461" s="17">
        <f t="shared" si="75"/>
        <v>20625</v>
      </c>
      <c r="Q1461" s="1">
        <v>0</v>
      </c>
      <c r="R1461" s="1">
        <v>0</v>
      </c>
      <c r="S1461" s="20">
        <v>38384</v>
      </c>
      <c r="T1461" s="1">
        <v>41287</v>
      </c>
      <c r="U1461" s="9">
        <v>20625</v>
      </c>
      <c r="V1461" s="9" t="s">
        <v>21</v>
      </c>
    </row>
    <row r="1462" spans="1:22" x14ac:dyDescent="0.25">
      <c r="A1462" s="10" t="s">
        <v>36</v>
      </c>
      <c r="B1462" t="b">
        <v>0</v>
      </c>
      <c r="C1462" t="b">
        <v>0</v>
      </c>
      <c r="D1462" s="1">
        <v>0</v>
      </c>
      <c r="E1462" s="1">
        <v>25995</v>
      </c>
      <c r="F1462" s="1">
        <v>6672</v>
      </c>
      <c r="G1462" s="1">
        <v>0</v>
      </c>
      <c r="H1462" s="1">
        <v>10496</v>
      </c>
      <c r="I1462" s="1">
        <v>8379</v>
      </c>
      <c r="J1462" s="3">
        <f t="shared" si="76"/>
        <v>10496</v>
      </c>
      <c r="K1462" s="1">
        <v>0</v>
      </c>
      <c r="L1462" s="1">
        <v>0</v>
      </c>
      <c r="M1462" s="1">
        <v>0</v>
      </c>
      <c r="O1462" s="14">
        <v>0</v>
      </c>
      <c r="P1462" s="17">
        <f t="shared" si="75"/>
        <v>10496</v>
      </c>
      <c r="Q1462" s="1">
        <v>0</v>
      </c>
      <c r="R1462" s="1">
        <v>0</v>
      </c>
      <c r="S1462" s="20">
        <v>38412</v>
      </c>
      <c r="T1462" s="1">
        <v>51542</v>
      </c>
      <c r="U1462" s="9">
        <v>10496</v>
      </c>
      <c r="V1462" s="9" t="s">
        <v>21</v>
      </c>
    </row>
    <row r="1463" spans="1:22" x14ac:dyDescent="0.25">
      <c r="A1463" s="10" t="s">
        <v>36</v>
      </c>
      <c r="B1463" t="b">
        <v>0</v>
      </c>
      <c r="C1463" t="b">
        <v>0</v>
      </c>
      <c r="D1463" s="1">
        <v>4631</v>
      </c>
      <c r="E1463" s="1">
        <v>17660</v>
      </c>
      <c r="F1463" s="1">
        <v>6921</v>
      </c>
      <c r="G1463" s="1">
        <v>0</v>
      </c>
      <c r="H1463" s="1">
        <v>3822</v>
      </c>
      <c r="I1463" s="1">
        <v>15732</v>
      </c>
      <c r="J1463" s="3">
        <f t="shared" si="76"/>
        <v>3822</v>
      </c>
      <c r="K1463" s="1">
        <v>0</v>
      </c>
      <c r="L1463" s="1">
        <v>0</v>
      </c>
      <c r="M1463" s="1">
        <v>0</v>
      </c>
      <c r="O1463" s="14">
        <v>0</v>
      </c>
      <c r="P1463" s="17">
        <f t="shared" si="75"/>
        <v>3822</v>
      </c>
      <c r="Q1463" s="1">
        <v>0</v>
      </c>
      <c r="R1463" s="1">
        <v>0</v>
      </c>
      <c r="S1463" s="20">
        <v>38443</v>
      </c>
      <c r="T1463" s="1">
        <v>48766</v>
      </c>
      <c r="U1463" s="9">
        <v>3822</v>
      </c>
      <c r="V1463" s="9" t="s">
        <v>21</v>
      </c>
    </row>
    <row r="1464" spans="1:22" x14ac:dyDescent="0.25">
      <c r="A1464" s="10" t="s">
        <v>36</v>
      </c>
      <c r="B1464" t="b">
        <v>0</v>
      </c>
      <c r="C1464" t="b">
        <v>0</v>
      </c>
      <c r="D1464" s="1">
        <v>0</v>
      </c>
      <c r="E1464" s="1">
        <v>21361</v>
      </c>
      <c r="F1464" s="1">
        <v>12857</v>
      </c>
      <c r="G1464" s="1">
        <v>0</v>
      </c>
      <c r="H1464" s="1">
        <v>6038</v>
      </c>
      <c r="I1464" s="1">
        <v>9946</v>
      </c>
      <c r="J1464" s="3">
        <f t="shared" si="76"/>
        <v>6038</v>
      </c>
      <c r="K1464" s="1">
        <v>0</v>
      </c>
      <c r="L1464" s="1">
        <v>0</v>
      </c>
      <c r="M1464" s="1">
        <v>0</v>
      </c>
      <c r="O1464" s="14">
        <v>0</v>
      </c>
      <c r="P1464" s="17">
        <f t="shared" si="75"/>
        <v>6038</v>
      </c>
      <c r="Q1464" s="1">
        <v>0</v>
      </c>
      <c r="R1464" s="1">
        <v>0</v>
      </c>
      <c r="S1464" s="20">
        <v>38473</v>
      </c>
      <c r="T1464" s="1">
        <v>50202</v>
      </c>
      <c r="U1464" s="9">
        <v>6038</v>
      </c>
      <c r="V1464" s="9" t="s">
        <v>21</v>
      </c>
    </row>
    <row r="1465" spans="1:22" x14ac:dyDescent="0.25">
      <c r="A1465" s="10" t="s">
        <v>36</v>
      </c>
      <c r="B1465" t="b">
        <v>0</v>
      </c>
      <c r="C1465" t="b">
        <v>0</v>
      </c>
      <c r="D1465" s="1">
        <v>0</v>
      </c>
      <c r="E1465" s="1">
        <v>21473</v>
      </c>
      <c r="F1465" s="1">
        <v>8249</v>
      </c>
      <c r="G1465" s="1">
        <v>0</v>
      </c>
      <c r="H1465" s="1">
        <v>11214</v>
      </c>
      <c r="I1465" s="1">
        <v>5171</v>
      </c>
      <c r="J1465" s="3">
        <f t="shared" si="76"/>
        <v>11214</v>
      </c>
      <c r="K1465" s="1">
        <v>0</v>
      </c>
      <c r="L1465" s="1">
        <v>0</v>
      </c>
      <c r="M1465" s="1">
        <v>0</v>
      </c>
      <c r="O1465" s="14">
        <v>0</v>
      </c>
      <c r="P1465" s="17">
        <f t="shared" si="75"/>
        <v>11214</v>
      </c>
      <c r="Q1465" s="1">
        <v>0</v>
      </c>
      <c r="R1465" s="1">
        <v>0</v>
      </c>
      <c r="S1465" s="20">
        <v>38504</v>
      </c>
      <c r="T1465" s="1">
        <v>46107</v>
      </c>
      <c r="U1465" s="9">
        <v>11214</v>
      </c>
      <c r="V1465" s="9" t="s">
        <v>21</v>
      </c>
    </row>
    <row r="1466" spans="1:22" x14ac:dyDescent="0.25">
      <c r="A1466" s="10" t="s">
        <v>36</v>
      </c>
      <c r="B1466" t="b">
        <v>0</v>
      </c>
      <c r="C1466" t="b">
        <v>0</v>
      </c>
      <c r="D1466" s="1">
        <v>0</v>
      </c>
      <c r="E1466" s="1">
        <v>20320</v>
      </c>
      <c r="F1466" s="1">
        <v>1030</v>
      </c>
      <c r="G1466" s="1">
        <v>0</v>
      </c>
      <c r="H1466" s="1">
        <v>11970</v>
      </c>
      <c r="I1466" s="1">
        <v>231</v>
      </c>
      <c r="J1466" s="3">
        <f t="shared" si="76"/>
        <v>11970</v>
      </c>
      <c r="K1466" s="1">
        <v>0</v>
      </c>
      <c r="L1466" s="1">
        <v>0</v>
      </c>
      <c r="M1466" s="1">
        <v>0</v>
      </c>
      <c r="O1466" s="14">
        <v>0</v>
      </c>
      <c r="P1466" s="17">
        <f t="shared" si="75"/>
        <v>11970</v>
      </c>
      <c r="Q1466" s="1">
        <v>0</v>
      </c>
      <c r="R1466" s="1">
        <v>0</v>
      </c>
      <c r="S1466" s="20">
        <v>38534</v>
      </c>
      <c r="T1466" s="1">
        <v>33551</v>
      </c>
      <c r="U1466" s="9">
        <v>11970</v>
      </c>
      <c r="V1466" s="9" t="s">
        <v>21</v>
      </c>
    </row>
    <row r="1467" spans="1:22" x14ac:dyDescent="0.25">
      <c r="A1467" s="10" t="s">
        <v>36</v>
      </c>
      <c r="B1467" t="b">
        <v>0</v>
      </c>
      <c r="C1467" t="b">
        <v>0</v>
      </c>
      <c r="D1467" s="1">
        <v>0</v>
      </c>
      <c r="E1467" s="1">
        <v>16861</v>
      </c>
      <c r="F1467" s="1">
        <v>863</v>
      </c>
      <c r="G1467" s="1">
        <v>0</v>
      </c>
      <c r="H1467" s="1">
        <v>9127</v>
      </c>
      <c r="I1467" s="1">
        <v>438</v>
      </c>
      <c r="J1467" s="3">
        <f t="shared" si="76"/>
        <v>9127</v>
      </c>
      <c r="K1467" s="1">
        <v>0</v>
      </c>
      <c r="L1467" s="1">
        <v>0</v>
      </c>
      <c r="M1467" s="1">
        <v>0</v>
      </c>
      <c r="O1467" s="14">
        <v>0</v>
      </c>
      <c r="P1467" s="17">
        <f t="shared" si="75"/>
        <v>9127</v>
      </c>
      <c r="Q1467" s="1">
        <v>0</v>
      </c>
      <c r="R1467" s="1">
        <v>0</v>
      </c>
      <c r="S1467" s="20">
        <v>38565</v>
      </c>
      <c r="T1467" s="1">
        <v>27289</v>
      </c>
      <c r="U1467" s="9">
        <v>9127</v>
      </c>
      <c r="V1467" s="9" t="s">
        <v>21</v>
      </c>
    </row>
    <row r="1468" spans="1:22" x14ac:dyDescent="0.25">
      <c r="A1468" s="10" t="s">
        <v>36</v>
      </c>
      <c r="B1468" t="b">
        <v>0</v>
      </c>
      <c r="C1468" t="b">
        <v>0</v>
      </c>
      <c r="D1468" s="1">
        <v>0</v>
      </c>
      <c r="E1468" s="1">
        <v>9743</v>
      </c>
      <c r="F1468" s="1">
        <v>452</v>
      </c>
      <c r="G1468" s="1">
        <v>0</v>
      </c>
      <c r="H1468" s="1">
        <v>14408</v>
      </c>
      <c r="I1468" s="1">
        <v>2825</v>
      </c>
      <c r="J1468" s="3">
        <f t="shared" si="76"/>
        <v>14408</v>
      </c>
      <c r="K1468" s="1">
        <v>0</v>
      </c>
      <c r="L1468" s="1">
        <v>0</v>
      </c>
      <c r="M1468" s="1">
        <v>0</v>
      </c>
      <c r="O1468" s="14">
        <v>0</v>
      </c>
      <c r="P1468" s="17">
        <f t="shared" si="75"/>
        <v>14408</v>
      </c>
      <c r="Q1468" s="1">
        <v>0</v>
      </c>
      <c r="R1468" s="1">
        <v>0</v>
      </c>
      <c r="S1468" s="20">
        <v>38596</v>
      </c>
      <c r="T1468" s="1">
        <v>27428</v>
      </c>
      <c r="U1468" s="9">
        <v>14408</v>
      </c>
      <c r="V1468" s="9" t="s">
        <v>21</v>
      </c>
    </row>
    <row r="1469" spans="1:22" x14ac:dyDescent="0.25">
      <c r="A1469" s="10" t="s">
        <v>36</v>
      </c>
      <c r="B1469" t="b">
        <v>0</v>
      </c>
      <c r="C1469" t="b">
        <v>0</v>
      </c>
      <c r="D1469" s="1">
        <v>0</v>
      </c>
      <c r="E1469" s="1">
        <v>10856</v>
      </c>
      <c r="F1469" s="1">
        <v>851</v>
      </c>
      <c r="G1469" s="1">
        <v>0</v>
      </c>
      <c r="H1469" s="1">
        <v>9247</v>
      </c>
      <c r="I1469" s="1">
        <v>3306</v>
      </c>
      <c r="J1469" s="3">
        <f t="shared" si="76"/>
        <v>9247</v>
      </c>
      <c r="K1469" s="1">
        <v>0</v>
      </c>
      <c r="L1469" s="1">
        <v>0</v>
      </c>
      <c r="M1469" s="1">
        <v>0</v>
      </c>
      <c r="O1469" s="14">
        <v>0</v>
      </c>
      <c r="P1469" s="17">
        <f t="shared" si="75"/>
        <v>9247</v>
      </c>
      <c r="Q1469" s="1">
        <v>0</v>
      </c>
      <c r="R1469" s="1">
        <v>0</v>
      </c>
      <c r="S1469" s="20">
        <v>38626</v>
      </c>
      <c r="T1469" s="1">
        <v>24260</v>
      </c>
      <c r="U1469" s="9">
        <v>9247</v>
      </c>
      <c r="V1469" s="9" t="s">
        <v>21</v>
      </c>
    </row>
    <row r="1470" spans="1:22" x14ac:dyDescent="0.25">
      <c r="A1470" s="10" t="s">
        <v>36</v>
      </c>
      <c r="B1470" t="b">
        <v>0</v>
      </c>
      <c r="C1470" t="b">
        <v>0</v>
      </c>
      <c r="D1470" s="1">
        <v>0</v>
      </c>
      <c r="E1470" s="1">
        <v>12151</v>
      </c>
      <c r="F1470" s="1">
        <v>470</v>
      </c>
      <c r="G1470" s="1">
        <v>0</v>
      </c>
      <c r="H1470" s="1">
        <v>9898</v>
      </c>
      <c r="I1470" s="1">
        <v>3485</v>
      </c>
      <c r="J1470" s="3">
        <f t="shared" si="76"/>
        <v>9898</v>
      </c>
      <c r="K1470" s="1">
        <v>0</v>
      </c>
      <c r="L1470" s="1">
        <v>0</v>
      </c>
      <c r="M1470" s="1">
        <v>0</v>
      </c>
      <c r="O1470" s="14">
        <v>0</v>
      </c>
      <c r="P1470" s="17">
        <f t="shared" si="75"/>
        <v>9898</v>
      </c>
      <c r="Q1470" s="1">
        <v>0</v>
      </c>
      <c r="R1470" s="1">
        <v>0</v>
      </c>
      <c r="S1470" s="20">
        <v>38657</v>
      </c>
      <c r="T1470" s="1">
        <v>26004</v>
      </c>
      <c r="U1470" s="9">
        <v>9898</v>
      </c>
      <c r="V1470" s="9" t="s">
        <v>21</v>
      </c>
    </row>
    <row r="1471" spans="1:22" x14ac:dyDescent="0.25">
      <c r="A1471" s="10" t="s">
        <v>36</v>
      </c>
      <c r="B1471" t="b">
        <v>0</v>
      </c>
      <c r="C1471" t="b">
        <v>0</v>
      </c>
      <c r="D1471" s="1">
        <v>0</v>
      </c>
      <c r="E1471" s="1">
        <v>12297</v>
      </c>
      <c r="F1471" s="1">
        <v>273</v>
      </c>
      <c r="G1471" s="1">
        <v>0</v>
      </c>
      <c r="H1471" s="1">
        <v>8762</v>
      </c>
      <c r="I1471" s="1">
        <v>1239</v>
      </c>
      <c r="J1471" s="3">
        <f t="shared" si="76"/>
        <v>8762</v>
      </c>
      <c r="K1471" s="1">
        <v>0</v>
      </c>
      <c r="L1471" s="1">
        <v>0</v>
      </c>
      <c r="M1471" s="1">
        <v>0</v>
      </c>
      <c r="O1471" s="14">
        <v>0</v>
      </c>
      <c r="P1471" s="17">
        <f t="shared" si="75"/>
        <v>8762</v>
      </c>
      <c r="Q1471" s="1">
        <v>0</v>
      </c>
      <c r="R1471" s="1">
        <v>0</v>
      </c>
      <c r="S1471" s="20">
        <v>38687</v>
      </c>
      <c r="T1471" s="1">
        <v>22571</v>
      </c>
      <c r="U1471" s="9">
        <v>8762</v>
      </c>
      <c r="V1471" s="9" t="s">
        <v>21</v>
      </c>
    </row>
    <row r="1472" spans="1:22" x14ac:dyDescent="0.25">
      <c r="A1472" s="10" t="s">
        <v>36</v>
      </c>
      <c r="B1472" t="b">
        <v>0</v>
      </c>
      <c r="C1472" t="b">
        <v>0</v>
      </c>
      <c r="D1472" s="1">
        <v>0</v>
      </c>
      <c r="E1472" s="1">
        <v>10016</v>
      </c>
      <c r="F1472" s="1">
        <v>221</v>
      </c>
      <c r="G1472" s="1">
        <v>0</v>
      </c>
      <c r="H1472" s="1">
        <v>8295</v>
      </c>
      <c r="I1472" s="1">
        <v>2833</v>
      </c>
      <c r="J1472" s="3">
        <f t="shared" si="76"/>
        <v>8295</v>
      </c>
      <c r="K1472" s="1">
        <v>0</v>
      </c>
      <c r="L1472" s="1">
        <v>0</v>
      </c>
      <c r="M1472" s="1">
        <v>0</v>
      </c>
      <c r="O1472" s="14">
        <v>0</v>
      </c>
      <c r="P1472" s="17">
        <f t="shared" si="75"/>
        <v>8295</v>
      </c>
      <c r="Q1472" s="1">
        <v>0</v>
      </c>
      <c r="R1472" s="1">
        <v>0</v>
      </c>
      <c r="S1472" s="20">
        <v>38718</v>
      </c>
      <c r="T1472" s="1">
        <v>21365</v>
      </c>
      <c r="U1472" s="9">
        <v>8295</v>
      </c>
      <c r="V1472" s="9" t="s">
        <v>21</v>
      </c>
    </row>
    <row r="1473" spans="1:22" x14ac:dyDescent="0.25">
      <c r="A1473" s="10" t="s">
        <v>36</v>
      </c>
      <c r="B1473" t="b">
        <v>0</v>
      </c>
      <c r="C1473" t="b">
        <v>0</v>
      </c>
      <c r="D1473" s="1">
        <v>0</v>
      </c>
      <c r="E1473" s="1">
        <v>10210</v>
      </c>
      <c r="F1473" s="1">
        <v>469</v>
      </c>
      <c r="G1473" s="1">
        <v>0</v>
      </c>
      <c r="H1473" s="1">
        <v>19804</v>
      </c>
      <c r="I1473" s="1">
        <v>5835</v>
      </c>
      <c r="J1473" s="3">
        <f t="shared" si="76"/>
        <v>19804</v>
      </c>
      <c r="K1473" s="1">
        <v>0</v>
      </c>
      <c r="L1473" s="1">
        <v>0</v>
      </c>
      <c r="M1473" s="1">
        <v>0</v>
      </c>
      <c r="O1473" s="14">
        <v>0</v>
      </c>
      <c r="P1473" s="17">
        <f t="shared" si="75"/>
        <v>19804</v>
      </c>
      <c r="Q1473" s="1">
        <v>0</v>
      </c>
      <c r="R1473" s="1">
        <v>0</v>
      </c>
      <c r="S1473" s="20">
        <v>38749</v>
      </c>
      <c r="T1473" s="1">
        <v>36318</v>
      </c>
      <c r="U1473" s="9">
        <v>19804</v>
      </c>
      <c r="V1473" s="9" t="s">
        <v>21</v>
      </c>
    </row>
    <row r="1474" spans="1:22" x14ac:dyDescent="0.25">
      <c r="A1474" s="10" t="s">
        <v>36</v>
      </c>
      <c r="B1474" t="b">
        <v>0</v>
      </c>
      <c r="C1474" t="b">
        <v>0</v>
      </c>
      <c r="D1474" s="1">
        <v>0</v>
      </c>
      <c r="E1474" s="1">
        <v>11307</v>
      </c>
      <c r="F1474" s="1">
        <v>3759</v>
      </c>
      <c r="G1474" s="1">
        <v>0</v>
      </c>
      <c r="H1474" s="1">
        <v>9273</v>
      </c>
      <c r="I1474" s="1">
        <v>11802</v>
      </c>
      <c r="J1474" s="3">
        <f t="shared" si="76"/>
        <v>9273</v>
      </c>
      <c r="K1474" s="1">
        <v>0</v>
      </c>
      <c r="L1474" s="1">
        <v>0</v>
      </c>
      <c r="M1474" s="1">
        <v>0</v>
      </c>
      <c r="O1474" s="14">
        <v>0</v>
      </c>
      <c r="P1474" s="17">
        <f t="shared" si="75"/>
        <v>9273</v>
      </c>
      <c r="Q1474" s="1">
        <v>0</v>
      </c>
      <c r="R1474" s="1">
        <v>0</v>
      </c>
      <c r="S1474" s="20">
        <v>38777</v>
      </c>
      <c r="T1474" s="1">
        <v>36141</v>
      </c>
      <c r="U1474" s="9">
        <v>9273</v>
      </c>
      <c r="V1474" s="9" t="s">
        <v>21</v>
      </c>
    </row>
    <row r="1475" spans="1:22" x14ac:dyDescent="0.25">
      <c r="A1475" s="10" t="s">
        <v>36</v>
      </c>
      <c r="B1475" t="b">
        <v>0</v>
      </c>
      <c r="C1475" t="b">
        <v>0</v>
      </c>
      <c r="D1475" s="1">
        <v>0</v>
      </c>
      <c r="E1475" s="1">
        <v>17884</v>
      </c>
      <c r="F1475" s="1">
        <v>6375</v>
      </c>
      <c r="G1475" s="1">
        <v>0</v>
      </c>
      <c r="H1475" s="1">
        <v>10853</v>
      </c>
      <c r="I1475" s="1">
        <v>8669</v>
      </c>
      <c r="J1475" s="3">
        <f t="shared" si="76"/>
        <v>10853</v>
      </c>
      <c r="K1475" s="1">
        <v>0</v>
      </c>
      <c r="L1475" s="1">
        <v>0</v>
      </c>
      <c r="M1475" s="1">
        <v>0</v>
      </c>
      <c r="O1475" s="14">
        <v>0</v>
      </c>
      <c r="P1475" s="17">
        <f t="shared" si="75"/>
        <v>10853</v>
      </c>
      <c r="Q1475" s="1">
        <v>0</v>
      </c>
      <c r="R1475" s="1">
        <v>0</v>
      </c>
      <c r="S1475" s="20">
        <v>38808</v>
      </c>
      <c r="T1475" s="1">
        <v>43781</v>
      </c>
      <c r="U1475" s="9">
        <v>10853</v>
      </c>
      <c r="V1475" s="9" t="s">
        <v>21</v>
      </c>
    </row>
    <row r="1476" spans="1:22" x14ac:dyDescent="0.25">
      <c r="A1476" s="10" t="s">
        <v>36</v>
      </c>
      <c r="B1476" t="b">
        <v>0</v>
      </c>
      <c r="C1476" t="b">
        <v>0</v>
      </c>
      <c r="D1476" s="1">
        <v>0</v>
      </c>
      <c r="E1476" s="1">
        <v>10100</v>
      </c>
      <c r="F1476" s="1">
        <v>11624</v>
      </c>
      <c r="G1476" s="1">
        <v>0</v>
      </c>
      <c r="H1476" s="1">
        <v>9997</v>
      </c>
      <c r="I1476" s="1">
        <v>8511</v>
      </c>
      <c r="J1476" s="3">
        <f t="shared" si="76"/>
        <v>9997</v>
      </c>
      <c r="K1476" s="1">
        <v>0</v>
      </c>
      <c r="L1476" s="1">
        <v>0</v>
      </c>
      <c r="M1476" s="1">
        <v>0</v>
      </c>
      <c r="O1476" s="14">
        <v>0</v>
      </c>
      <c r="P1476" s="17">
        <f t="shared" si="75"/>
        <v>9997</v>
      </c>
      <c r="Q1476" s="1">
        <v>0</v>
      </c>
      <c r="R1476" s="1">
        <v>0</v>
      </c>
      <c r="S1476" s="20">
        <v>38838</v>
      </c>
      <c r="T1476" s="1">
        <v>40232</v>
      </c>
      <c r="U1476" s="9">
        <v>9997</v>
      </c>
      <c r="V1476" s="9" t="s">
        <v>21</v>
      </c>
    </row>
    <row r="1477" spans="1:22" x14ac:dyDescent="0.25">
      <c r="A1477" s="10" t="s">
        <v>36</v>
      </c>
      <c r="B1477" t="b">
        <v>0</v>
      </c>
      <c r="C1477" t="b">
        <v>0</v>
      </c>
      <c r="D1477" s="1">
        <v>0</v>
      </c>
      <c r="E1477" s="1">
        <v>13461</v>
      </c>
      <c r="F1477" s="1">
        <v>6206</v>
      </c>
      <c r="G1477" s="1">
        <v>0</v>
      </c>
      <c r="H1477" s="1">
        <v>9043</v>
      </c>
      <c r="I1477" s="1">
        <v>4188</v>
      </c>
      <c r="J1477" s="3">
        <f t="shared" si="76"/>
        <v>9043</v>
      </c>
      <c r="K1477" s="1">
        <v>0</v>
      </c>
      <c r="L1477" s="1">
        <v>0</v>
      </c>
      <c r="M1477" s="1">
        <v>0</v>
      </c>
      <c r="O1477" s="14">
        <v>0</v>
      </c>
      <c r="P1477" s="17">
        <f t="shared" si="75"/>
        <v>9043</v>
      </c>
      <c r="Q1477" s="1">
        <v>0</v>
      </c>
      <c r="R1477" s="1">
        <v>0</v>
      </c>
      <c r="S1477" s="20">
        <v>38869</v>
      </c>
      <c r="T1477" s="1">
        <v>32898</v>
      </c>
      <c r="U1477" s="9">
        <v>9043</v>
      </c>
      <c r="V1477" s="9" t="s">
        <v>21</v>
      </c>
    </row>
    <row r="1478" spans="1:22" x14ac:dyDescent="0.25">
      <c r="A1478" s="10" t="s">
        <v>36</v>
      </c>
      <c r="B1478" t="b">
        <v>0</v>
      </c>
      <c r="C1478" t="b">
        <v>0</v>
      </c>
      <c r="D1478" s="1">
        <v>0</v>
      </c>
      <c r="E1478" s="1">
        <v>18299</v>
      </c>
      <c r="F1478" s="1">
        <v>983</v>
      </c>
      <c r="G1478" s="1">
        <v>0</v>
      </c>
      <c r="H1478" s="1">
        <v>10502</v>
      </c>
      <c r="I1478" s="1">
        <v>2238</v>
      </c>
      <c r="J1478" s="3">
        <f t="shared" si="76"/>
        <v>10502</v>
      </c>
      <c r="K1478" s="1">
        <v>0</v>
      </c>
      <c r="L1478" s="1">
        <v>0</v>
      </c>
      <c r="M1478" s="1">
        <v>0</v>
      </c>
      <c r="O1478" s="14">
        <v>0</v>
      </c>
      <c r="P1478" s="17">
        <f t="shared" si="75"/>
        <v>10502</v>
      </c>
      <c r="Q1478" s="1">
        <v>0</v>
      </c>
      <c r="R1478" s="1">
        <v>0</v>
      </c>
      <c r="S1478" s="20">
        <v>38899</v>
      </c>
      <c r="T1478" s="1">
        <v>32022</v>
      </c>
      <c r="U1478" s="9">
        <v>10502</v>
      </c>
      <c r="V1478" s="9" t="s">
        <v>21</v>
      </c>
    </row>
    <row r="1479" spans="1:22" x14ac:dyDescent="0.25">
      <c r="A1479" s="10" t="s">
        <v>36</v>
      </c>
      <c r="B1479" t="b">
        <v>0</v>
      </c>
      <c r="C1479" t="b">
        <v>0</v>
      </c>
      <c r="D1479" s="1">
        <v>0</v>
      </c>
      <c r="E1479" s="1">
        <v>16297</v>
      </c>
      <c r="F1479" s="1">
        <v>1195</v>
      </c>
      <c r="G1479" s="1">
        <v>0</v>
      </c>
      <c r="H1479" s="1">
        <v>9258</v>
      </c>
      <c r="I1479" s="1">
        <v>91</v>
      </c>
      <c r="J1479" s="3">
        <f t="shared" si="76"/>
        <v>9258</v>
      </c>
      <c r="K1479" s="1">
        <v>0</v>
      </c>
      <c r="L1479" s="1">
        <v>0</v>
      </c>
      <c r="M1479" s="1">
        <v>0</v>
      </c>
      <c r="O1479" s="14">
        <v>0</v>
      </c>
      <c r="P1479" s="17">
        <f t="shared" si="75"/>
        <v>9258</v>
      </c>
      <c r="Q1479" s="1">
        <v>0</v>
      </c>
      <c r="R1479" s="1">
        <v>0</v>
      </c>
      <c r="S1479" s="20">
        <v>38930</v>
      </c>
      <c r="T1479" s="1">
        <v>26841</v>
      </c>
      <c r="U1479" s="9">
        <v>9258</v>
      </c>
      <c r="V1479" s="9" t="s">
        <v>21</v>
      </c>
    </row>
    <row r="1480" spans="1:22" x14ac:dyDescent="0.25">
      <c r="A1480" s="10" t="s">
        <v>36</v>
      </c>
      <c r="B1480" t="b">
        <v>0</v>
      </c>
      <c r="C1480" t="b">
        <v>0</v>
      </c>
      <c r="D1480" s="1">
        <v>0</v>
      </c>
      <c r="E1480" s="1">
        <v>10920</v>
      </c>
      <c r="F1480" s="1">
        <v>259</v>
      </c>
      <c r="G1480" s="1">
        <v>0</v>
      </c>
      <c r="H1480" s="1">
        <v>13056</v>
      </c>
      <c r="I1480" s="1">
        <v>1044</v>
      </c>
      <c r="J1480" s="3">
        <f t="shared" si="76"/>
        <v>13056</v>
      </c>
      <c r="K1480" s="1">
        <v>0</v>
      </c>
      <c r="L1480" s="1">
        <v>0</v>
      </c>
      <c r="M1480" s="1">
        <v>0</v>
      </c>
      <c r="O1480" s="14">
        <v>0</v>
      </c>
      <c r="P1480" s="17">
        <f t="shared" si="75"/>
        <v>13056</v>
      </c>
      <c r="Q1480" s="1">
        <v>0</v>
      </c>
      <c r="R1480" s="1">
        <v>0</v>
      </c>
      <c r="S1480" s="20">
        <v>38961</v>
      </c>
      <c r="T1480" s="1">
        <v>25279</v>
      </c>
      <c r="U1480" s="9">
        <v>13056</v>
      </c>
      <c r="V1480" s="9" t="s">
        <v>21</v>
      </c>
    </row>
    <row r="1481" spans="1:22" x14ac:dyDescent="0.25">
      <c r="A1481" s="10" t="s">
        <v>36</v>
      </c>
      <c r="B1481" t="b">
        <v>0</v>
      </c>
      <c r="C1481" t="b">
        <v>0</v>
      </c>
      <c r="D1481" s="1">
        <v>0</v>
      </c>
      <c r="E1481" s="1">
        <v>8938</v>
      </c>
      <c r="F1481" s="1">
        <v>1135</v>
      </c>
      <c r="G1481" s="1">
        <v>0</v>
      </c>
      <c r="H1481" s="1">
        <v>7311</v>
      </c>
      <c r="I1481" s="1">
        <v>3361</v>
      </c>
      <c r="J1481" s="3">
        <f t="shared" si="76"/>
        <v>7311</v>
      </c>
      <c r="K1481" s="1">
        <v>0</v>
      </c>
      <c r="L1481" s="1">
        <v>0</v>
      </c>
      <c r="M1481" s="1">
        <v>0</v>
      </c>
      <c r="O1481" s="14">
        <v>0</v>
      </c>
      <c r="P1481" s="17">
        <f t="shared" si="75"/>
        <v>7311</v>
      </c>
      <c r="Q1481" s="1">
        <v>0</v>
      </c>
      <c r="R1481" s="1">
        <v>0</v>
      </c>
      <c r="S1481" s="20">
        <v>38991</v>
      </c>
      <c r="T1481" s="1">
        <v>20745</v>
      </c>
      <c r="U1481" s="9">
        <v>7311</v>
      </c>
      <c r="V1481" s="9" t="s">
        <v>21</v>
      </c>
    </row>
    <row r="1482" spans="1:22" x14ac:dyDescent="0.25">
      <c r="A1482" s="10" t="s">
        <v>36</v>
      </c>
      <c r="B1482" t="b">
        <v>0</v>
      </c>
      <c r="C1482" t="b">
        <v>0</v>
      </c>
      <c r="D1482" s="1">
        <v>0</v>
      </c>
      <c r="E1482" s="1">
        <v>10579</v>
      </c>
      <c r="F1482" s="1">
        <v>388</v>
      </c>
      <c r="G1482" s="1">
        <v>0</v>
      </c>
      <c r="H1482" s="1">
        <v>13249</v>
      </c>
      <c r="I1482" s="1">
        <v>4673</v>
      </c>
      <c r="J1482" s="3">
        <f t="shared" si="76"/>
        <v>13249</v>
      </c>
      <c r="K1482" s="1">
        <v>0</v>
      </c>
      <c r="L1482" s="1">
        <v>0</v>
      </c>
      <c r="M1482" s="1">
        <v>0</v>
      </c>
      <c r="O1482" s="14">
        <v>0</v>
      </c>
      <c r="P1482" s="17">
        <f t="shared" ref="P1482:P1545" si="77">J1482</f>
        <v>13249</v>
      </c>
      <c r="Q1482" s="1">
        <v>0</v>
      </c>
      <c r="R1482" s="1">
        <v>0</v>
      </c>
      <c r="S1482" s="20">
        <v>39022</v>
      </c>
      <c r="T1482" s="1">
        <v>28889</v>
      </c>
      <c r="U1482" s="9">
        <v>13249</v>
      </c>
      <c r="V1482" s="9" t="s">
        <v>21</v>
      </c>
    </row>
    <row r="1483" spans="1:22" x14ac:dyDescent="0.25">
      <c r="A1483" s="10" t="s">
        <v>36</v>
      </c>
      <c r="B1483" t="b">
        <v>0</v>
      </c>
      <c r="C1483" t="b">
        <v>0</v>
      </c>
      <c r="D1483" s="1">
        <v>0</v>
      </c>
      <c r="E1483" s="1">
        <v>11974</v>
      </c>
      <c r="F1483" s="1">
        <v>267</v>
      </c>
      <c r="G1483" s="1">
        <v>0</v>
      </c>
      <c r="H1483" s="1">
        <v>7871</v>
      </c>
      <c r="I1483" s="1">
        <v>2488</v>
      </c>
      <c r="J1483" s="3">
        <f t="shared" ref="J1483:J1546" si="78">G1483+H1483</f>
        <v>7871</v>
      </c>
      <c r="K1483" s="1">
        <v>0</v>
      </c>
      <c r="L1483" s="1">
        <v>0</v>
      </c>
      <c r="M1483" s="1">
        <v>0</v>
      </c>
      <c r="O1483" s="14">
        <v>0</v>
      </c>
      <c r="P1483" s="17">
        <f t="shared" si="77"/>
        <v>7871</v>
      </c>
      <c r="Q1483" s="1">
        <v>0</v>
      </c>
      <c r="R1483" s="1">
        <v>0</v>
      </c>
      <c r="S1483" s="20">
        <v>39052</v>
      </c>
      <c r="T1483" s="1">
        <v>22600</v>
      </c>
      <c r="U1483" s="9">
        <v>7871</v>
      </c>
      <c r="V1483" s="9" t="s">
        <v>21</v>
      </c>
    </row>
    <row r="1484" spans="1:22" x14ac:dyDescent="0.25">
      <c r="A1484" s="10" t="s">
        <v>36</v>
      </c>
      <c r="B1484" t="b">
        <v>0</v>
      </c>
      <c r="C1484" t="b">
        <v>0</v>
      </c>
      <c r="D1484" s="1">
        <v>0</v>
      </c>
      <c r="E1484" s="1">
        <v>10419</v>
      </c>
      <c r="F1484" s="1">
        <v>213</v>
      </c>
      <c r="G1484" s="1">
        <v>0</v>
      </c>
      <c r="H1484" s="1">
        <v>7581</v>
      </c>
      <c r="I1484" s="1">
        <v>3328</v>
      </c>
      <c r="J1484" s="3">
        <f t="shared" si="78"/>
        <v>7581</v>
      </c>
      <c r="K1484" s="1">
        <v>0</v>
      </c>
      <c r="L1484" s="1">
        <v>0</v>
      </c>
      <c r="M1484" s="1">
        <v>0</v>
      </c>
      <c r="O1484" s="14">
        <v>0</v>
      </c>
      <c r="P1484" s="17">
        <f t="shared" si="77"/>
        <v>7581</v>
      </c>
      <c r="Q1484" s="1">
        <v>0</v>
      </c>
      <c r="R1484" s="1">
        <v>0</v>
      </c>
      <c r="S1484" s="20">
        <v>39083</v>
      </c>
      <c r="T1484" s="1">
        <v>21541</v>
      </c>
      <c r="U1484" s="9">
        <v>7581</v>
      </c>
      <c r="V1484" s="9" t="s">
        <v>41</v>
      </c>
    </row>
    <row r="1485" spans="1:22" x14ac:dyDescent="0.25">
      <c r="A1485" s="10" t="s">
        <v>36</v>
      </c>
      <c r="B1485" t="b">
        <v>0</v>
      </c>
      <c r="C1485" t="b">
        <v>0</v>
      </c>
      <c r="D1485" s="1">
        <v>0</v>
      </c>
      <c r="E1485" s="1">
        <v>11030</v>
      </c>
      <c r="F1485" s="1">
        <v>758</v>
      </c>
      <c r="G1485" s="1">
        <v>0</v>
      </c>
      <c r="H1485" s="1">
        <v>18956</v>
      </c>
      <c r="I1485" s="1">
        <v>5700</v>
      </c>
      <c r="J1485" s="3">
        <f t="shared" si="78"/>
        <v>18956</v>
      </c>
      <c r="K1485" s="1">
        <v>0</v>
      </c>
      <c r="L1485" s="1">
        <v>0</v>
      </c>
      <c r="M1485" s="1">
        <v>0</v>
      </c>
      <c r="O1485" s="14">
        <v>0</v>
      </c>
      <c r="P1485" s="17">
        <f t="shared" si="77"/>
        <v>18956</v>
      </c>
      <c r="Q1485" s="1">
        <v>0</v>
      </c>
      <c r="R1485" s="1">
        <v>0</v>
      </c>
      <c r="S1485" s="20">
        <v>39114</v>
      </c>
      <c r="T1485" s="1">
        <v>36444</v>
      </c>
      <c r="U1485" s="9">
        <v>18956</v>
      </c>
      <c r="V1485" s="9" t="s">
        <v>41</v>
      </c>
    </row>
    <row r="1486" spans="1:22" x14ac:dyDescent="0.25">
      <c r="A1486" s="10" t="s">
        <v>36</v>
      </c>
      <c r="B1486" t="b">
        <v>0</v>
      </c>
      <c r="C1486" t="b">
        <v>0</v>
      </c>
      <c r="D1486" s="1">
        <v>0</v>
      </c>
      <c r="E1486" s="1">
        <v>11150</v>
      </c>
      <c r="F1486" s="1">
        <v>4441</v>
      </c>
      <c r="G1486" s="1">
        <v>0</v>
      </c>
      <c r="H1486" s="1">
        <v>8137</v>
      </c>
      <c r="I1486" s="1">
        <v>13654</v>
      </c>
      <c r="J1486" s="3">
        <f t="shared" si="78"/>
        <v>8137</v>
      </c>
      <c r="K1486" s="1">
        <v>0</v>
      </c>
      <c r="L1486" s="1">
        <v>0</v>
      </c>
      <c r="M1486" s="1">
        <v>0</v>
      </c>
      <c r="O1486" s="14">
        <v>0</v>
      </c>
      <c r="P1486" s="17">
        <f t="shared" si="77"/>
        <v>8137</v>
      </c>
      <c r="Q1486" s="1">
        <v>0</v>
      </c>
      <c r="R1486" s="1">
        <v>0</v>
      </c>
      <c r="S1486" s="20">
        <v>39142</v>
      </c>
      <c r="T1486" s="1">
        <v>37382</v>
      </c>
      <c r="U1486" s="9">
        <v>8137</v>
      </c>
      <c r="V1486" s="9" t="s">
        <v>41</v>
      </c>
    </row>
    <row r="1487" spans="1:22" x14ac:dyDescent="0.25">
      <c r="A1487" s="10" t="s">
        <v>36</v>
      </c>
      <c r="B1487" t="b">
        <v>0</v>
      </c>
      <c r="C1487" t="b">
        <v>0</v>
      </c>
      <c r="D1487" s="1">
        <v>0</v>
      </c>
      <c r="E1487" s="1">
        <v>14009</v>
      </c>
      <c r="F1487" s="1">
        <v>5125</v>
      </c>
      <c r="G1487" s="1">
        <v>0</v>
      </c>
      <c r="H1487" s="1">
        <v>9265</v>
      </c>
      <c r="I1487" s="1">
        <v>13516</v>
      </c>
      <c r="J1487" s="3">
        <f t="shared" si="78"/>
        <v>9265</v>
      </c>
      <c r="K1487" s="1">
        <v>0</v>
      </c>
      <c r="L1487" s="1">
        <v>0</v>
      </c>
      <c r="M1487" s="1">
        <v>0</v>
      </c>
      <c r="O1487" s="14">
        <v>0</v>
      </c>
      <c r="P1487" s="17">
        <f t="shared" si="77"/>
        <v>9265</v>
      </c>
      <c r="Q1487" s="1">
        <v>0</v>
      </c>
      <c r="R1487" s="1">
        <v>0</v>
      </c>
      <c r="S1487" s="20">
        <v>39173</v>
      </c>
      <c r="T1487" s="1">
        <v>41915</v>
      </c>
      <c r="U1487" s="9">
        <v>9265</v>
      </c>
      <c r="V1487" s="9" t="s">
        <v>41</v>
      </c>
    </row>
    <row r="1488" spans="1:22" x14ac:dyDescent="0.25">
      <c r="A1488" s="10" t="s">
        <v>36</v>
      </c>
      <c r="B1488" t="b">
        <v>0</v>
      </c>
      <c r="C1488" t="b">
        <v>0</v>
      </c>
      <c r="D1488" s="1">
        <v>0</v>
      </c>
      <c r="E1488" s="1">
        <v>9984</v>
      </c>
      <c r="F1488" s="1">
        <v>13148</v>
      </c>
      <c r="G1488" s="1">
        <v>0</v>
      </c>
      <c r="H1488" s="1">
        <v>10116</v>
      </c>
      <c r="I1488" s="1">
        <v>10802</v>
      </c>
      <c r="J1488" s="3">
        <f t="shared" si="78"/>
        <v>10116</v>
      </c>
      <c r="K1488" s="1">
        <v>0</v>
      </c>
      <c r="L1488" s="1">
        <v>0</v>
      </c>
      <c r="M1488" s="1">
        <v>0</v>
      </c>
      <c r="O1488" s="14">
        <v>0</v>
      </c>
      <c r="P1488" s="17">
        <f t="shared" si="77"/>
        <v>10116</v>
      </c>
      <c r="Q1488" s="1">
        <v>0</v>
      </c>
      <c r="R1488" s="1">
        <v>0</v>
      </c>
      <c r="S1488" s="20">
        <v>39203</v>
      </c>
      <c r="T1488" s="1">
        <v>44050</v>
      </c>
      <c r="U1488" s="9">
        <v>10116</v>
      </c>
      <c r="V1488" s="9" t="s">
        <v>41</v>
      </c>
    </row>
    <row r="1489" spans="1:22" x14ac:dyDescent="0.25">
      <c r="A1489" s="10" t="s">
        <v>36</v>
      </c>
      <c r="B1489" t="b">
        <v>0</v>
      </c>
      <c r="C1489" t="b">
        <v>0</v>
      </c>
      <c r="D1489" s="1">
        <v>0</v>
      </c>
      <c r="E1489" s="1">
        <v>14343</v>
      </c>
      <c r="F1489" s="1">
        <v>5505</v>
      </c>
      <c r="G1489" s="1">
        <v>0</v>
      </c>
      <c r="H1489" s="1">
        <v>8510</v>
      </c>
      <c r="I1489" s="1">
        <v>4587</v>
      </c>
      <c r="J1489" s="3">
        <f t="shared" si="78"/>
        <v>8510</v>
      </c>
      <c r="K1489" s="1">
        <v>0</v>
      </c>
      <c r="L1489" s="1">
        <v>0</v>
      </c>
      <c r="M1489" s="1">
        <v>0</v>
      </c>
      <c r="O1489" s="14">
        <v>0</v>
      </c>
      <c r="P1489" s="17">
        <f t="shared" si="77"/>
        <v>8510</v>
      </c>
      <c r="Q1489" s="1">
        <v>0</v>
      </c>
      <c r="R1489" s="1">
        <v>0</v>
      </c>
      <c r="S1489" s="20">
        <v>39234</v>
      </c>
      <c r="T1489" s="1">
        <v>32945</v>
      </c>
      <c r="U1489" s="9">
        <v>8510</v>
      </c>
      <c r="V1489" s="9" t="s">
        <v>41</v>
      </c>
    </row>
    <row r="1490" spans="1:22" x14ac:dyDescent="0.25">
      <c r="A1490" s="10" t="s">
        <v>36</v>
      </c>
      <c r="B1490" t="b">
        <v>0</v>
      </c>
      <c r="C1490" t="b">
        <v>0</v>
      </c>
      <c r="D1490" s="1">
        <v>0</v>
      </c>
      <c r="E1490" s="1">
        <v>18748</v>
      </c>
      <c r="F1490" s="1">
        <v>1010</v>
      </c>
      <c r="G1490" s="1">
        <v>0</v>
      </c>
      <c r="H1490" s="1">
        <v>10038</v>
      </c>
      <c r="I1490" s="1">
        <v>314</v>
      </c>
      <c r="J1490" s="3">
        <f t="shared" si="78"/>
        <v>10038</v>
      </c>
      <c r="K1490" s="1">
        <v>0</v>
      </c>
      <c r="L1490" s="1">
        <v>0</v>
      </c>
      <c r="M1490" s="1">
        <v>0</v>
      </c>
      <c r="O1490" s="14">
        <v>0</v>
      </c>
      <c r="P1490" s="17">
        <f t="shared" si="77"/>
        <v>10038</v>
      </c>
      <c r="Q1490" s="1">
        <v>0</v>
      </c>
      <c r="R1490" s="1">
        <v>0</v>
      </c>
      <c r="S1490" s="20">
        <v>39264</v>
      </c>
      <c r="T1490" s="1">
        <v>30110</v>
      </c>
      <c r="U1490" s="9">
        <v>10038</v>
      </c>
      <c r="V1490" s="9" t="s">
        <v>41</v>
      </c>
    </row>
    <row r="1491" spans="1:22" x14ac:dyDescent="0.25">
      <c r="A1491" s="10" t="s">
        <v>36</v>
      </c>
      <c r="B1491" t="b">
        <v>0</v>
      </c>
      <c r="C1491" t="b">
        <v>0</v>
      </c>
      <c r="D1491" s="1">
        <v>0</v>
      </c>
      <c r="E1491" s="1">
        <v>16503</v>
      </c>
      <c r="F1491" s="1">
        <v>848</v>
      </c>
      <c r="G1491" s="1">
        <v>0</v>
      </c>
      <c r="H1491" s="1">
        <v>8154</v>
      </c>
      <c r="I1491" s="1">
        <v>806</v>
      </c>
      <c r="J1491" s="3">
        <f t="shared" si="78"/>
        <v>8154</v>
      </c>
      <c r="K1491" s="1">
        <v>0</v>
      </c>
      <c r="L1491" s="1">
        <v>0</v>
      </c>
      <c r="M1491" s="1">
        <v>0</v>
      </c>
      <c r="O1491" s="14">
        <v>0</v>
      </c>
      <c r="P1491" s="17">
        <f t="shared" si="77"/>
        <v>8154</v>
      </c>
      <c r="Q1491" s="1">
        <v>0</v>
      </c>
      <c r="R1491" s="1">
        <v>0</v>
      </c>
      <c r="S1491" s="20">
        <v>39295</v>
      </c>
      <c r="T1491" s="1">
        <v>26311</v>
      </c>
      <c r="U1491" s="9">
        <v>8154</v>
      </c>
      <c r="V1491" s="9" t="s">
        <v>41</v>
      </c>
    </row>
    <row r="1492" spans="1:22" x14ac:dyDescent="0.25">
      <c r="A1492" s="10" t="s">
        <v>36</v>
      </c>
      <c r="B1492" t="b">
        <v>0</v>
      </c>
      <c r="C1492" t="b">
        <v>0</v>
      </c>
      <c r="D1492" s="1">
        <v>0</v>
      </c>
      <c r="E1492" s="1">
        <v>11595</v>
      </c>
      <c r="F1492" s="1">
        <v>1145</v>
      </c>
      <c r="G1492" s="1">
        <v>0</v>
      </c>
      <c r="H1492" s="1">
        <v>8910</v>
      </c>
      <c r="I1492" s="1">
        <v>455</v>
      </c>
      <c r="J1492" s="3">
        <f t="shared" si="78"/>
        <v>8910</v>
      </c>
      <c r="K1492" s="1">
        <v>0</v>
      </c>
      <c r="L1492" s="1">
        <v>0</v>
      </c>
      <c r="M1492" s="1">
        <v>0</v>
      </c>
      <c r="O1492" s="14">
        <v>0</v>
      </c>
      <c r="P1492" s="17">
        <f t="shared" si="77"/>
        <v>8910</v>
      </c>
      <c r="Q1492" s="1">
        <v>0</v>
      </c>
      <c r="R1492" s="1">
        <v>0</v>
      </c>
      <c r="S1492" s="20">
        <v>39326</v>
      </c>
      <c r="T1492" s="1">
        <v>22105</v>
      </c>
      <c r="U1492" s="9">
        <v>8910</v>
      </c>
      <c r="V1492" s="9" t="s">
        <v>41</v>
      </c>
    </row>
    <row r="1493" spans="1:22" x14ac:dyDescent="0.25">
      <c r="A1493" s="10" t="s">
        <v>36</v>
      </c>
      <c r="B1493" t="b">
        <v>0</v>
      </c>
      <c r="C1493" t="b">
        <v>0</v>
      </c>
      <c r="D1493" s="1">
        <v>0</v>
      </c>
      <c r="E1493" s="1">
        <v>9337</v>
      </c>
      <c r="F1493" s="1">
        <v>773</v>
      </c>
      <c r="G1493" s="1">
        <v>0</v>
      </c>
      <c r="H1493" s="1">
        <v>6652</v>
      </c>
      <c r="I1493" s="1">
        <v>4146</v>
      </c>
      <c r="J1493" s="3">
        <f t="shared" si="78"/>
        <v>6652</v>
      </c>
      <c r="K1493" s="1">
        <v>0</v>
      </c>
      <c r="L1493" s="1">
        <v>0</v>
      </c>
      <c r="M1493" s="1">
        <v>0</v>
      </c>
      <c r="O1493" s="14">
        <v>0</v>
      </c>
      <c r="P1493" s="17">
        <f t="shared" si="77"/>
        <v>6652</v>
      </c>
      <c r="Q1493" s="1">
        <v>0</v>
      </c>
      <c r="R1493" s="1">
        <v>0</v>
      </c>
      <c r="S1493" s="20">
        <v>39356</v>
      </c>
      <c r="T1493" s="1">
        <v>20908</v>
      </c>
      <c r="U1493" s="9">
        <v>6652</v>
      </c>
      <c r="V1493" s="9" t="s">
        <v>41</v>
      </c>
    </row>
    <row r="1494" spans="1:22" x14ac:dyDescent="0.25">
      <c r="A1494" s="10" t="s">
        <v>36</v>
      </c>
      <c r="B1494" t="b">
        <v>0</v>
      </c>
      <c r="C1494" t="b">
        <v>0</v>
      </c>
      <c r="D1494" s="1">
        <v>0</v>
      </c>
      <c r="E1494" s="1">
        <v>10944</v>
      </c>
      <c r="F1494" s="1">
        <v>376</v>
      </c>
      <c r="G1494" s="1">
        <v>0</v>
      </c>
      <c r="H1494" s="1">
        <v>14501</v>
      </c>
      <c r="I1494" s="1">
        <v>3744</v>
      </c>
      <c r="J1494" s="3">
        <f t="shared" si="78"/>
        <v>14501</v>
      </c>
      <c r="K1494" s="1">
        <v>0</v>
      </c>
      <c r="L1494" s="1">
        <v>0</v>
      </c>
      <c r="M1494" s="1">
        <v>0</v>
      </c>
      <c r="O1494" s="14">
        <v>0</v>
      </c>
      <c r="P1494" s="17">
        <f t="shared" si="77"/>
        <v>14501</v>
      </c>
      <c r="Q1494" s="1">
        <v>0</v>
      </c>
      <c r="R1494" s="1">
        <v>0</v>
      </c>
      <c r="S1494" s="20">
        <v>39387</v>
      </c>
      <c r="T1494" s="1">
        <v>29565</v>
      </c>
      <c r="U1494" s="9">
        <v>14501</v>
      </c>
      <c r="V1494" s="9" t="s">
        <v>41</v>
      </c>
    </row>
    <row r="1495" spans="1:22" x14ac:dyDescent="0.25">
      <c r="A1495" s="10" t="s">
        <v>36</v>
      </c>
      <c r="B1495" t="b">
        <v>0</v>
      </c>
      <c r="C1495" t="b">
        <v>0</v>
      </c>
      <c r="D1495" s="1">
        <v>0</v>
      </c>
      <c r="E1495" s="1">
        <v>12593</v>
      </c>
      <c r="F1495" s="1">
        <v>453</v>
      </c>
      <c r="G1495" s="1">
        <v>0</v>
      </c>
      <c r="H1495" s="1">
        <v>21377</v>
      </c>
      <c r="I1495" s="1">
        <v>1627</v>
      </c>
      <c r="J1495" s="3">
        <f t="shared" si="78"/>
        <v>21377</v>
      </c>
      <c r="K1495" s="1">
        <v>0</v>
      </c>
      <c r="L1495" s="1">
        <v>0</v>
      </c>
      <c r="M1495" s="1">
        <v>0</v>
      </c>
      <c r="O1495" s="14">
        <v>0</v>
      </c>
      <c r="P1495" s="17">
        <f t="shared" si="77"/>
        <v>21377</v>
      </c>
      <c r="Q1495" s="1">
        <v>0</v>
      </c>
      <c r="R1495" s="1">
        <v>0</v>
      </c>
      <c r="S1495" s="20">
        <v>39417</v>
      </c>
      <c r="T1495" s="1">
        <v>36050</v>
      </c>
      <c r="U1495" s="9">
        <v>21377</v>
      </c>
      <c r="V1495" s="9" t="s">
        <v>41</v>
      </c>
    </row>
    <row r="1496" spans="1:22" x14ac:dyDescent="0.25">
      <c r="A1496" s="10" t="s">
        <v>36</v>
      </c>
      <c r="B1496" t="b">
        <v>0</v>
      </c>
      <c r="C1496" t="b">
        <v>0</v>
      </c>
      <c r="D1496" s="1">
        <v>0</v>
      </c>
      <c r="E1496" s="1">
        <v>9398</v>
      </c>
      <c r="F1496" s="1">
        <v>613</v>
      </c>
      <c r="G1496" s="1">
        <v>0</v>
      </c>
      <c r="H1496" s="1">
        <v>6809</v>
      </c>
      <c r="I1496" s="1">
        <v>3303</v>
      </c>
      <c r="J1496" s="3">
        <f t="shared" si="78"/>
        <v>6809</v>
      </c>
      <c r="K1496" s="1">
        <v>0</v>
      </c>
      <c r="L1496" s="1">
        <v>0</v>
      </c>
      <c r="M1496" s="1">
        <v>0</v>
      </c>
      <c r="O1496" s="14">
        <v>0</v>
      </c>
      <c r="P1496" s="17">
        <f t="shared" si="77"/>
        <v>6809</v>
      </c>
      <c r="Q1496" s="1">
        <v>0</v>
      </c>
      <c r="R1496" s="1">
        <v>0</v>
      </c>
      <c r="S1496" s="20">
        <v>39448</v>
      </c>
      <c r="T1496" s="1">
        <v>20123</v>
      </c>
      <c r="U1496" s="9">
        <v>6809</v>
      </c>
      <c r="V1496" s="9" t="s">
        <v>46</v>
      </c>
    </row>
    <row r="1497" spans="1:22" x14ac:dyDescent="0.25">
      <c r="A1497" s="10" t="s">
        <v>36</v>
      </c>
      <c r="B1497" t="b">
        <v>0</v>
      </c>
      <c r="C1497" t="b">
        <v>0</v>
      </c>
      <c r="D1497" s="1">
        <v>0</v>
      </c>
      <c r="E1497" s="1">
        <v>9348</v>
      </c>
      <c r="F1497" s="1">
        <v>784</v>
      </c>
      <c r="G1497" s="1">
        <v>0</v>
      </c>
      <c r="H1497" s="1">
        <v>17258</v>
      </c>
      <c r="I1497" s="1">
        <v>6877</v>
      </c>
      <c r="J1497" s="3">
        <f t="shared" si="78"/>
        <v>17258</v>
      </c>
      <c r="K1497" s="1">
        <v>0</v>
      </c>
      <c r="L1497" s="1">
        <v>0</v>
      </c>
      <c r="M1497" s="1">
        <v>0</v>
      </c>
      <c r="O1497" s="14">
        <v>0</v>
      </c>
      <c r="P1497" s="17">
        <f t="shared" si="77"/>
        <v>17258</v>
      </c>
      <c r="Q1497" s="1">
        <v>0</v>
      </c>
      <c r="R1497" s="1">
        <v>0</v>
      </c>
      <c r="S1497" s="20">
        <v>39479</v>
      </c>
      <c r="T1497" s="1">
        <v>34267</v>
      </c>
      <c r="U1497" s="9">
        <v>17258</v>
      </c>
      <c r="V1497" s="9" t="s">
        <v>46</v>
      </c>
    </row>
    <row r="1498" spans="1:22" x14ac:dyDescent="0.25">
      <c r="A1498" s="10" t="s">
        <v>36</v>
      </c>
      <c r="B1498" t="b">
        <v>0</v>
      </c>
      <c r="C1498" t="b">
        <v>0</v>
      </c>
      <c r="D1498" s="1">
        <v>0</v>
      </c>
      <c r="E1498" s="1">
        <v>14486</v>
      </c>
      <c r="F1498" s="1">
        <v>3283</v>
      </c>
      <c r="G1498" s="1">
        <v>0</v>
      </c>
      <c r="H1498" s="1">
        <v>9263</v>
      </c>
      <c r="I1498" s="1">
        <v>9236</v>
      </c>
      <c r="J1498" s="3">
        <f t="shared" si="78"/>
        <v>9263</v>
      </c>
      <c r="K1498" s="1">
        <v>0</v>
      </c>
      <c r="L1498" s="1">
        <v>0</v>
      </c>
      <c r="M1498" s="1">
        <v>0</v>
      </c>
      <c r="O1498" s="14">
        <v>0</v>
      </c>
      <c r="P1498" s="17">
        <f t="shared" si="77"/>
        <v>9263</v>
      </c>
      <c r="Q1498" s="1">
        <v>0</v>
      </c>
      <c r="R1498" s="1">
        <v>0</v>
      </c>
      <c r="S1498" s="20">
        <v>39508</v>
      </c>
      <c r="T1498" s="1">
        <v>36268</v>
      </c>
      <c r="U1498" s="9">
        <v>9263</v>
      </c>
      <c r="V1498" s="9" t="s">
        <v>46</v>
      </c>
    </row>
    <row r="1499" spans="1:22" x14ac:dyDescent="0.25">
      <c r="A1499" s="10" t="s">
        <v>36</v>
      </c>
      <c r="B1499" t="b">
        <v>0</v>
      </c>
      <c r="C1499" t="b">
        <v>0</v>
      </c>
      <c r="D1499" s="1">
        <v>0</v>
      </c>
      <c r="E1499" s="1">
        <v>10548</v>
      </c>
      <c r="F1499" s="1">
        <v>6837</v>
      </c>
      <c r="G1499" s="1">
        <v>0</v>
      </c>
      <c r="H1499" s="1">
        <v>7668</v>
      </c>
      <c r="I1499" s="1">
        <v>15211</v>
      </c>
      <c r="J1499" s="3">
        <f t="shared" si="78"/>
        <v>7668</v>
      </c>
      <c r="K1499" s="1">
        <v>0</v>
      </c>
      <c r="L1499" s="1">
        <v>0</v>
      </c>
      <c r="M1499" s="1">
        <v>0</v>
      </c>
      <c r="O1499" s="14">
        <v>0</v>
      </c>
      <c r="P1499" s="17">
        <f t="shared" si="77"/>
        <v>7668</v>
      </c>
      <c r="Q1499" s="1">
        <v>0</v>
      </c>
      <c r="R1499" s="1">
        <v>0</v>
      </c>
      <c r="S1499" s="20">
        <v>39539</v>
      </c>
      <c r="T1499" s="1">
        <v>40264</v>
      </c>
      <c r="U1499" s="9">
        <v>7668</v>
      </c>
      <c r="V1499" s="9" t="s">
        <v>46</v>
      </c>
    </row>
    <row r="1500" spans="1:22" x14ac:dyDescent="0.25">
      <c r="A1500" s="10" t="s">
        <v>36</v>
      </c>
      <c r="B1500" t="b">
        <v>0</v>
      </c>
      <c r="C1500" t="b">
        <v>0</v>
      </c>
      <c r="D1500" s="1">
        <v>0</v>
      </c>
      <c r="E1500" s="1">
        <v>10507</v>
      </c>
      <c r="F1500" s="1">
        <v>14306</v>
      </c>
      <c r="G1500" s="1">
        <v>0</v>
      </c>
      <c r="H1500" s="1">
        <v>10771</v>
      </c>
      <c r="I1500" s="1">
        <v>7974</v>
      </c>
      <c r="J1500" s="3">
        <f t="shared" si="78"/>
        <v>10771</v>
      </c>
      <c r="K1500" s="1">
        <v>0</v>
      </c>
      <c r="L1500" s="1">
        <v>0</v>
      </c>
      <c r="M1500" s="1">
        <v>0</v>
      </c>
      <c r="O1500" s="14">
        <v>0</v>
      </c>
      <c r="P1500" s="17">
        <f t="shared" si="77"/>
        <v>10771</v>
      </c>
      <c r="Q1500" s="1">
        <v>0</v>
      </c>
      <c r="R1500" s="1">
        <v>0</v>
      </c>
      <c r="S1500" s="20">
        <v>39569</v>
      </c>
      <c r="T1500" s="1">
        <v>43558</v>
      </c>
      <c r="U1500" s="9">
        <v>10771</v>
      </c>
      <c r="V1500" s="9" t="s">
        <v>46</v>
      </c>
    </row>
    <row r="1501" spans="1:22" x14ac:dyDescent="0.25">
      <c r="A1501" s="10" t="s">
        <v>36</v>
      </c>
      <c r="B1501" t="b">
        <v>0</v>
      </c>
      <c r="C1501" t="b">
        <v>0</v>
      </c>
      <c r="D1501" s="1">
        <v>0</v>
      </c>
      <c r="E1501" s="1">
        <v>12683</v>
      </c>
      <c r="F1501" s="1">
        <v>3979</v>
      </c>
      <c r="G1501" s="1">
        <v>0</v>
      </c>
      <c r="H1501" s="1">
        <v>7902</v>
      </c>
      <c r="I1501" s="1">
        <v>3728</v>
      </c>
      <c r="J1501" s="3">
        <f t="shared" si="78"/>
        <v>7902</v>
      </c>
      <c r="K1501" s="1">
        <v>0</v>
      </c>
      <c r="L1501" s="1">
        <v>0</v>
      </c>
      <c r="M1501" s="1">
        <v>0</v>
      </c>
      <c r="O1501" s="14">
        <v>0</v>
      </c>
      <c r="P1501" s="17">
        <f t="shared" si="77"/>
        <v>7902</v>
      </c>
      <c r="Q1501" s="1">
        <v>0</v>
      </c>
      <c r="R1501" s="1">
        <v>0</v>
      </c>
      <c r="S1501" s="20">
        <v>39600</v>
      </c>
      <c r="T1501" s="1">
        <v>28292</v>
      </c>
      <c r="U1501" s="9">
        <v>7902</v>
      </c>
      <c r="V1501" s="9" t="s">
        <v>46</v>
      </c>
    </row>
    <row r="1502" spans="1:22" x14ac:dyDescent="0.25">
      <c r="A1502" s="10" t="s">
        <v>36</v>
      </c>
      <c r="B1502" t="b">
        <v>0</v>
      </c>
      <c r="C1502" t="b">
        <v>0</v>
      </c>
      <c r="D1502" s="1">
        <v>0</v>
      </c>
      <c r="E1502" s="1">
        <v>17558</v>
      </c>
      <c r="F1502" s="1">
        <v>1203</v>
      </c>
      <c r="G1502" s="1">
        <v>0</v>
      </c>
      <c r="H1502" s="1">
        <v>9679</v>
      </c>
      <c r="I1502" s="1">
        <v>457</v>
      </c>
      <c r="J1502" s="3">
        <f t="shared" si="78"/>
        <v>9679</v>
      </c>
      <c r="K1502" s="1">
        <v>0</v>
      </c>
      <c r="L1502" s="1">
        <v>0</v>
      </c>
      <c r="M1502" s="1">
        <v>0</v>
      </c>
      <c r="O1502" s="14">
        <v>0</v>
      </c>
      <c r="P1502" s="17">
        <f t="shared" si="77"/>
        <v>9679</v>
      </c>
      <c r="Q1502" s="1">
        <v>0</v>
      </c>
      <c r="R1502" s="1">
        <v>0</v>
      </c>
      <c r="S1502" s="20">
        <v>39630</v>
      </c>
      <c r="T1502" s="1">
        <v>28897</v>
      </c>
      <c r="U1502" s="9">
        <v>9679</v>
      </c>
      <c r="V1502" s="9" t="s">
        <v>46</v>
      </c>
    </row>
    <row r="1503" spans="1:22" x14ac:dyDescent="0.25">
      <c r="A1503" s="10" t="s">
        <v>36</v>
      </c>
      <c r="B1503" t="b">
        <v>0</v>
      </c>
      <c r="C1503" t="b">
        <v>0</v>
      </c>
      <c r="D1503" s="1">
        <v>0</v>
      </c>
      <c r="E1503" s="1">
        <v>17013</v>
      </c>
      <c r="F1503" s="1">
        <v>957</v>
      </c>
      <c r="G1503" s="1">
        <v>0</v>
      </c>
      <c r="H1503" s="1">
        <v>13097</v>
      </c>
      <c r="I1503" s="1">
        <v>996</v>
      </c>
      <c r="J1503" s="3">
        <f t="shared" si="78"/>
        <v>13097</v>
      </c>
      <c r="K1503" s="1">
        <v>0</v>
      </c>
      <c r="L1503" s="1">
        <v>0</v>
      </c>
      <c r="M1503" s="1">
        <v>0</v>
      </c>
      <c r="O1503" s="14">
        <v>0</v>
      </c>
      <c r="P1503" s="17">
        <f t="shared" si="77"/>
        <v>13097</v>
      </c>
      <c r="Q1503" s="1">
        <v>0</v>
      </c>
      <c r="R1503" s="1">
        <v>0</v>
      </c>
      <c r="S1503" s="20">
        <v>39661</v>
      </c>
      <c r="T1503" s="1">
        <v>32063</v>
      </c>
      <c r="U1503" s="9">
        <v>13097</v>
      </c>
      <c r="V1503" s="9" t="s">
        <v>46</v>
      </c>
    </row>
    <row r="1504" spans="1:22" x14ac:dyDescent="0.25">
      <c r="A1504" s="10" t="s">
        <v>36</v>
      </c>
      <c r="B1504" t="b">
        <v>0</v>
      </c>
      <c r="C1504" t="b">
        <v>0</v>
      </c>
      <c r="D1504" s="1">
        <v>0</v>
      </c>
      <c r="E1504" s="1">
        <v>9019</v>
      </c>
      <c r="F1504" s="1">
        <v>588</v>
      </c>
      <c r="G1504" s="1">
        <v>0</v>
      </c>
      <c r="H1504" s="1">
        <v>8140</v>
      </c>
      <c r="I1504" s="1">
        <v>455</v>
      </c>
      <c r="J1504" s="3">
        <f t="shared" si="78"/>
        <v>8140</v>
      </c>
      <c r="K1504" s="1">
        <v>0</v>
      </c>
      <c r="L1504" s="1">
        <v>0</v>
      </c>
      <c r="M1504" s="1">
        <v>0</v>
      </c>
      <c r="O1504" s="14">
        <v>0</v>
      </c>
      <c r="P1504" s="17">
        <f t="shared" si="77"/>
        <v>8140</v>
      </c>
      <c r="Q1504" s="1">
        <v>0</v>
      </c>
      <c r="R1504" s="1">
        <v>0</v>
      </c>
      <c r="S1504" s="20">
        <v>39692</v>
      </c>
      <c r="T1504" s="1">
        <v>18202</v>
      </c>
      <c r="U1504" s="9">
        <v>8140</v>
      </c>
      <c r="V1504" s="9" t="s">
        <v>46</v>
      </c>
    </row>
    <row r="1505" spans="1:22" x14ac:dyDescent="0.25">
      <c r="A1505" s="10" t="s">
        <v>36</v>
      </c>
      <c r="B1505" t="b">
        <v>0</v>
      </c>
      <c r="C1505" t="b">
        <v>0</v>
      </c>
      <c r="D1505" s="1">
        <v>0</v>
      </c>
      <c r="E1505" s="1">
        <v>8429</v>
      </c>
      <c r="F1505" s="1">
        <v>1287</v>
      </c>
      <c r="G1505" s="1">
        <v>0</v>
      </c>
      <c r="H1505" s="1">
        <v>7137</v>
      </c>
      <c r="I1505" s="1">
        <v>4358</v>
      </c>
      <c r="J1505" s="3">
        <f t="shared" si="78"/>
        <v>7137</v>
      </c>
      <c r="K1505" s="1">
        <v>0</v>
      </c>
      <c r="L1505" s="1">
        <v>0</v>
      </c>
      <c r="M1505" s="1">
        <v>0</v>
      </c>
      <c r="O1505" s="14">
        <v>0</v>
      </c>
      <c r="P1505" s="17">
        <f t="shared" si="77"/>
        <v>7137</v>
      </c>
      <c r="Q1505" s="1">
        <v>0</v>
      </c>
      <c r="R1505" s="1">
        <v>0</v>
      </c>
      <c r="S1505" s="20">
        <v>39722</v>
      </c>
      <c r="T1505" s="1">
        <v>21211</v>
      </c>
      <c r="U1505" s="9">
        <v>7137</v>
      </c>
      <c r="V1505" s="9" t="s">
        <v>46</v>
      </c>
    </row>
    <row r="1506" spans="1:22" x14ac:dyDescent="0.25">
      <c r="A1506" s="10" t="s">
        <v>36</v>
      </c>
      <c r="B1506" t="b">
        <v>0</v>
      </c>
      <c r="C1506" t="b">
        <v>0</v>
      </c>
      <c r="D1506" s="1">
        <v>0</v>
      </c>
      <c r="E1506" s="1">
        <v>10514</v>
      </c>
      <c r="F1506" s="1">
        <v>546</v>
      </c>
      <c r="G1506" s="1">
        <v>0</v>
      </c>
      <c r="H1506" s="1">
        <v>9610</v>
      </c>
      <c r="I1506" s="1">
        <v>3357</v>
      </c>
      <c r="J1506" s="3">
        <f t="shared" si="78"/>
        <v>9610</v>
      </c>
      <c r="K1506" s="1">
        <v>0</v>
      </c>
      <c r="L1506" s="1">
        <v>0</v>
      </c>
      <c r="M1506" s="1">
        <v>0</v>
      </c>
      <c r="O1506" s="14">
        <v>0</v>
      </c>
      <c r="P1506" s="17">
        <f t="shared" si="77"/>
        <v>9610</v>
      </c>
      <c r="Q1506" s="1">
        <v>0</v>
      </c>
      <c r="R1506" s="1">
        <v>0</v>
      </c>
      <c r="S1506" s="20">
        <v>39753</v>
      </c>
      <c r="T1506" s="1">
        <v>24027</v>
      </c>
      <c r="U1506" s="9">
        <v>9610</v>
      </c>
      <c r="V1506" s="9" t="s">
        <v>46</v>
      </c>
    </row>
    <row r="1507" spans="1:22" x14ac:dyDescent="0.25">
      <c r="A1507" s="10" t="s">
        <v>36</v>
      </c>
      <c r="B1507" t="b">
        <v>0</v>
      </c>
      <c r="C1507" t="b">
        <v>0</v>
      </c>
      <c r="D1507" s="1">
        <v>0</v>
      </c>
      <c r="E1507" s="1">
        <v>10539</v>
      </c>
      <c r="F1507" s="1">
        <v>125</v>
      </c>
      <c r="G1507" s="1">
        <v>0</v>
      </c>
      <c r="H1507" s="1">
        <v>22233</v>
      </c>
      <c r="I1507" s="1">
        <v>6879</v>
      </c>
      <c r="J1507" s="3">
        <f t="shared" si="78"/>
        <v>22233</v>
      </c>
      <c r="K1507" s="1">
        <v>0</v>
      </c>
      <c r="L1507" s="1">
        <v>0</v>
      </c>
      <c r="M1507" s="1">
        <v>0</v>
      </c>
      <c r="O1507" s="14">
        <v>0</v>
      </c>
      <c r="P1507" s="17">
        <f t="shared" si="77"/>
        <v>22233</v>
      </c>
      <c r="Q1507" s="1">
        <v>0</v>
      </c>
      <c r="R1507" s="1">
        <v>0</v>
      </c>
      <c r="S1507" s="20">
        <v>39783</v>
      </c>
      <c r="T1507" s="1">
        <v>39776</v>
      </c>
      <c r="U1507" s="9">
        <v>22233</v>
      </c>
      <c r="V1507" s="9" t="s">
        <v>46</v>
      </c>
    </row>
    <row r="1508" spans="1:22" x14ac:dyDescent="0.25">
      <c r="A1508" s="10" t="s">
        <v>36</v>
      </c>
      <c r="B1508" t="b">
        <v>0</v>
      </c>
      <c r="C1508" t="b">
        <v>0</v>
      </c>
      <c r="D1508" s="1">
        <v>0</v>
      </c>
      <c r="E1508" s="1">
        <v>9948</v>
      </c>
      <c r="F1508" s="1">
        <v>388</v>
      </c>
      <c r="G1508" s="1">
        <v>0</v>
      </c>
      <c r="H1508" s="1">
        <v>8278</v>
      </c>
      <c r="I1508" s="1">
        <v>3936</v>
      </c>
      <c r="J1508" s="3">
        <f t="shared" si="78"/>
        <v>8278</v>
      </c>
      <c r="K1508" s="1">
        <v>0</v>
      </c>
      <c r="L1508" s="1">
        <v>0</v>
      </c>
      <c r="M1508" s="1">
        <v>0</v>
      </c>
      <c r="O1508" s="14">
        <v>0</v>
      </c>
      <c r="P1508" s="17">
        <f t="shared" si="77"/>
        <v>8278</v>
      </c>
      <c r="Q1508" s="1">
        <v>0</v>
      </c>
      <c r="R1508" s="1">
        <v>0</v>
      </c>
      <c r="S1508" s="20">
        <v>39814</v>
      </c>
      <c r="T1508" s="1">
        <v>22550</v>
      </c>
      <c r="U1508" s="9">
        <v>8278</v>
      </c>
      <c r="V1508" s="9" t="s">
        <v>41</v>
      </c>
    </row>
    <row r="1509" spans="1:22" x14ac:dyDescent="0.25">
      <c r="A1509" s="10" t="s">
        <v>36</v>
      </c>
      <c r="B1509" t="b">
        <v>0</v>
      </c>
      <c r="C1509" t="b">
        <v>0</v>
      </c>
      <c r="D1509" s="1">
        <v>0</v>
      </c>
      <c r="E1509" s="1">
        <v>8793</v>
      </c>
      <c r="F1509" s="1">
        <v>1138</v>
      </c>
      <c r="G1509" s="1">
        <v>0</v>
      </c>
      <c r="H1509" s="1">
        <v>9069</v>
      </c>
      <c r="I1509" s="1">
        <v>17632</v>
      </c>
      <c r="J1509" s="3">
        <f t="shared" si="78"/>
        <v>9069</v>
      </c>
      <c r="K1509" s="1">
        <v>0</v>
      </c>
      <c r="L1509" s="1">
        <v>0</v>
      </c>
      <c r="M1509" s="1">
        <v>0</v>
      </c>
      <c r="O1509" s="14">
        <v>0</v>
      </c>
      <c r="P1509" s="17">
        <f t="shared" si="77"/>
        <v>9069</v>
      </c>
      <c r="Q1509" s="1">
        <v>0</v>
      </c>
      <c r="R1509" s="1">
        <v>0</v>
      </c>
      <c r="S1509" s="20">
        <v>39845</v>
      </c>
      <c r="T1509" s="1">
        <v>36632</v>
      </c>
      <c r="U1509" s="9">
        <v>9069</v>
      </c>
      <c r="V1509" s="9" t="s">
        <v>41</v>
      </c>
    </row>
    <row r="1510" spans="1:22" x14ac:dyDescent="0.25">
      <c r="A1510" s="10" t="s">
        <v>36</v>
      </c>
      <c r="B1510" t="b">
        <v>0</v>
      </c>
      <c r="C1510" t="b">
        <v>0</v>
      </c>
      <c r="D1510" s="1">
        <v>0</v>
      </c>
      <c r="E1510" s="1">
        <v>11694</v>
      </c>
      <c r="F1510" s="1">
        <v>3307</v>
      </c>
      <c r="G1510" s="1">
        <v>0</v>
      </c>
      <c r="H1510" s="1">
        <v>8756</v>
      </c>
      <c r="I1510" s="1">
        <v>10766</v>
      </c>
      <c r="J1510" s="3">
        <f t="shared" si="78"/>
        <v>8756</v>
      </c>
      <c r="K1510" s="1">
        <v>0</v>
      </c>
      <c r="L1510" s="1">
        <v>0</v>
      </c>
      <c r="M1510" s="1">
        <v>0</v>
      </c>
      <c r="O1510" s="14">
        <v>0</v>
      </c>
      <c r="P1510" s="17">
        <f t="shared" si="77"/>
        <v>8756</v>
      </c>
      <c r="Q1510" s="1">
        <v>0</v>
      </c>
      <c r="R1510" s="1">
        <v>0</v>
      </c>
      <c r="S1510" s="20">
        <v>39873</v>
      </c>
      <c r="T1510" s="1">
        <v>34523</v>
      </c>
      <c r="U1510" s="9">
        <v>8756</v>
      </c>
      <c r="V1510" s="9" t="s">
        <v>41</v>
      </c>
    </row>
    <row r="1511" spans="1:22" x14ac:dyDescent="0.25">
      <c r="A1511" s="10" t="s">
        <v>36</v>
      </c>
      <c r="B1511" t="b">
        <v>0</v>
      </c>
      <c r="C1511" t="b">
        <v>0</v>
      </c>
      <c r="D1511" s="1">
        <v>0</v>
      </c>
      <c r="E1511" s="1">
        <v>14027</v>
      </c>
      <c r="F1511" s="1">
        <v>5659</v>
      </c>
      <c r="G1511" s="1">
        <v>0</v>
      </c>
      <c r="H1511" s="1">
        <v>10026</v>
      </c>
      <c r="I1511" s="1">
        <v>13918</v>
      </c>
      <c r="J1511" s="3">
        <f t="shared" si="78"/>
        <v>10026</v>
      </c>
      <c r="K1511" s="1">
        <v>0</v>
      </c>
      <c r="L1511" s="1">
        <v>0</v>
      </c>
      <c r="M1511" s="1">
        <v>0</v>
      </c>
      <c r="O1511" s="14">
        <v>0</v>
      </c>
      <c r="P1511" s="17">
        <f t="shared" si="77"/>
        <v>10026</v>
      </c>
      <c r="Q1511" s="1">
        <v>0</v>
      </c>
      <c r="R1511" s="1">
        <v>0</v>
      </c>
      <c r="S1511" s="20">
        <v>39904</v>
      </c>
      <c r="T1511" s="1">
        <v>43630</v>
      </c>
      <c r="U1511" s="9">
        <v>10026</v>
      </c>
      <c r="V1511" s="9" t="s">
        <v>41</v>
      </c>
    </row>
    <row r="1512" spans="1:22" x14ac:dyDescent="0.25">
      <c r="A1512" s="10" t="s">
        <v>36</v>
      </c>
      <c r="B1512" t="b">
        <v>0</v>
      </c>
      <c r="C1512" t="b">
        <v>0</v>
      </c>
      <c r="D1512" s="1">
        <v>0</v>
      </c>
      <c r="E1512" s="1">
        <v>11094</v>
      </c>
      <c r="F1512" s="1">
        <v>8981</v>
      </c>
      <c r="G1512" s="1">
        <v>0</v>
      </c>
      <c r="H1512" s="1">
        <v>10268</v>
      </c>
      <c r="I1512" s="1">
        <v>9263</v>
      </c>
      <c r="J1512" s="3">
        <f t="shared" si="78"/>
        <v>10268</v>
      </c>
      <c r="K1512" s="1">
        <v>0</v>
      </c>
      <c r="L1512" s="1">
        <v>0</v>
      </c>
      <c r="M1512" s="1">
        <v>0</v>
      </c>
      <c r="O1512" s="14">
        <v>0</v>
      </c>
      <c r="P1512" s="17">
        <f t="shared" si="77"/>
        <v>10268</v>
      </c>
      <c r="Q1512" s="1">
        <v>0</v>
      </c>
      <c r="R1512" s="1">
        <v>0</v>
      </c>
      <c r="S1512" s="20">
        <v>39934</v>
      </c>
      <c r="T1512" s="1">
        <v>39606</v>
      </c>
      <c r="U1512" s="9">
        <v>10268</v>
      </c>
      <c r="V1512" s="9" t="s">
        <v>41</v>
      </c>
    </row>
    <row r="1513" spans="1:22" x14ac:dyDescent="0.25">
      <c r="A1513" s="10" t="s">
        <v>36</v>
      </c>
      <c r="B1513" t="b">
        <v>0</v>
      </c>
      <c r="C1513" t="b">
        <v>0</v>
      </c>
      <c r="D1513" s="1">
        <v>0</v>
      </c>
      <c r="E1513" s="1">
        <v>13906</v>
      </c>
      <c r="F1513" s="1">
        <v>3692</v>
      </c>
      <c r="G1513" s="1">
        <v>0</v>
      </c>
      <c r="H1513" s="1">
        <v>36249</v>
      </c>
      <c r="I1513" s="1">
        <v>4941</v>
      </c>
      <c r="J1513" s="3">
        <f t="shared" si="78"/>
        <v>36249</v>
      </c>
      <c r="K1513" s="1">
        <v>0</v>
      </c>
      <c r="L1513" s="1">
        <v>0</v>
      </c>
      <c r="M1513" s="1">
        <v>0</v>
      </c>
      <c r="O1513" s="14">
        <v>0</v>
      </c>
      <c r="P1513" s="17">
        <f t="shared" si="77"/>
        <v>36249</v>
      </c>
      <c r="Q1513" s="1">
        <v>0</v>
      </c>
      <c r="R1513" s="1">
        <v>0</v>
      </c>
      <c r="S1513" s="20">
        <v>39965</v>
      </c>
      <c r="T1513" s="1">
        <v>58788</v>
      </c>
      <c r="U1513" s="9">
        <v>36249</v>
      </c>
      <c r="V1513" s="9" t="s">
        <v>41</v>
      </c>
    </row>
    <row r="1514" spans="1:22" x14ac:dyDescent="0.25">
      <c r="A1514" s="10" t="s">
        <v>36</v>
      </c>
      <c r="B1514" t="b">
        <v>0</v>
      </c>
      <c r="C1514" t="b">
        <v>0</v>
      </c>
      <c r="D1514" s="1">
        <v>0</v>
      </c>
      <c r="E1514" s="1">
        <v>17777</v>
      </c>
      <c r="F1514" s="1">
        <v>791</v>
      </c>
      <c r="G1514" s="1">
        <v>0</v>
      </c>
      <c r="H1514" s="1">
        <v>22967</v>
      </c>
      <c r="I1514" s="1">
        <v>687</v>
      </c>
      <c r="J1514" s="3">
        <f t="shared" si="78"/>
        <v>22967</v>
      </c>
      <c r="K1514" s="1">
        <v>0</v>
      </c>
      <c r="L1514" s="1">
        <v>0</v>
      </c>
      <c r="M1514" s="1">
        <v>0</v>
      </c>
      <c r="O1514" s="14">
        <v>0</v>
      </c>
      <c r="P1514" s="17">
        <f t="shared" si="77"/>
        <v>22967</v>
      </c>
      <c r="Q1514" s="1">
        <v>0</v>
      </c>
      <c r="R1514" s="1">
        <v>0</v>
      </c>
      <c r="S1514" s="20">
        <v>39995</v>
      </c>
      <c r="T1514" s="1">
        <v>42222</v>
      </c>
      <c r="U1514" s="9">
        <v>22967</v>
      </c>
      <c r="V1514" s="9" t="s">
        <v>41</v>
      </c>
    </row>
    <row r="1515" spans="1:22" x14ac:dyDescent="0.25">
      <c r="A1515" s="10" t="s">
        <v>36</v>
      </c>
      <c r="B1515" t="b">
        <v>0</v>
      </c>
      <c r="C1515" t="b">
        <v>0</v>
      </c>
      <c r="D1515" s="1">
        <v>0</v>
      </c>
      <c r="E1515" s="1">
        <v>16653</v>
      </c>
      <c r="F1515" s="1">
        <v>319</v>
      </c>
      <c r="G1515" s="1">
        <v>0</v>
      </c>
      <c r="H1515" s="1">
        <v>26426</v>
      </c>
      <c r="I1515" s="1">
        <v>1667</v>
      </c>
      <c r="J1515" s="3">
        <f t="shared" si="78"/>
        <v>26426</v>
      </c>
      <c r="K1515" s="1">
        <v>0</v>
      </c>
      <c r="L1515" s="1">
        <v>0</v>
      </c>
      <c r="M1515" s="1">
        <v>0</v>
      </c>
      <c r="O1515" s="14">
        <v>0</v>
      </c>
      <c r="P1515" s="17">
        <f t="shared" si="77"/>
        <v>26426</v>
      </c>
      <c r="Q1515" s="1">
        <v>0</v>
      </c>
      <c r="R1515" s="1">
        <v>0</v>
      </c>
      <c r="S1515" s="20">
        <v>40026</v>
      </c>
      <c r="T1515" s="1">
        <v>45065</v>
      </c>
      <c r="U1515" s="9">
        <v>26426</v>
      </c>
      <c r="V1515" s="9" t="s">
        <v>41</v>
      </c>
    </row>
    <row r="1516" spans="1:22" x14ac:dyDescent="0.25">
      <c r="A1516" s="10" t="s">
        <v>36</v>
      </c>
      <c r="B1516" t="b">
        <v>0</v>
      </c>
      <c r="C1516" t="b">
        <v>0</v>
      </c>
      <c r="D1516" s="1">
        <v>0</v>
      </c>
      <c r="E1516" s="1">
        <v>9622</v>
      </c>
      <c r="F1516" s="1">
        <v>287</v>
      </c>
      <c r="G1516" s="1">
        <v>0</v>
      </c>
      <c r="H1516" s="1">
        <v>71719</v>
      </c>
      <c r="I1516" s="1">
        <v>4431</v>
      </c>
      <c r="J1516" s="3">
        <f t="shared" si="78"/>
        <v>71719</v>
      </c>
      <c r="K1516" s="1">
        <v>0</v>
      </c>
      <c r="L1516" s="1">
        <v>0</v>
      </c>
      <c r="M1516" s="1">
        <v>0</v>
      </c>
      <c r="O1516" s="14">
        <v>0</v>
      </c>
      <c r="P1516" s="17">
        <f t="shared" si="77"/>
        <v>71719</v>
      </c>
      <c r="Q1516" s="1">
        <v>0</v>
      </c>
      <c r="R1516" s="1">
        <v>0</v>
      </c>
      <c r="S1516" s="20">
        <v>40057</v>
      </c>
      <c r="T1516" s="1">
        <v>86059</v>
      </c>
      <c r="U1516" s="9">
        <v>71719</v>
      </c>
      <c r="V1516" s="9" t="s">
        <v>41</v>
      </c>
    </row>
    <row r="1517" spans="1:22" x14ac:dyDescent="0.25">
      <c r="A1517" s="10" t="s">
        <v>36</v>
      </c>
      <c r="B1517" t="b">
        <v>0</v>
      </c>
      <c r="C1517" t="b">
        <v>0</v>
      </c>
      <c r="D1517" s="1">
        <v>0</v>
      </c>
      <c r="E1517" s="1">
        <v>8678</v>
      </c>
      <c r="F1517" s="1">
        <v>532</v>
      </c>
      <c r="G1517" s="1">
        <v>0</v>
      </c>
      <c r="H1517" s="1">
        <v>15327</v>
      </c>
      <c r="I1517" s="1">
        <v>3851</v>
      </c>
      <c r="J1517" s="3">
        <f t="shared" si="78"/>
        <v>15327</v>
      </c>
      <c r="K1517" s="1">
        <v>0</v>
      </c>
      <c r="L1517" s="1">
        <v>0</v>
      </c>
      <c r="M1517" s="1">
        <v>0</v>
      </c>
      <c r="O1517" s="14">
        <v>0</v>
      </c>
      <c r="P1517" s="17">
        <f t="shared" si="77"/>
        <v>15327</v>
      </c>
      <c r="Q1517" s="1">
        <v>0</v>
      </c>
      <c r="R1517" s="1">
        <v>0</v>
      </c>
      <c r="S1517" s="20">
        <v>40087</v>
      </c>
      <c r="T1517" s="1">
        <v>28388</v>
      </c>
      <c r="U1517" s="9">
        <v>15327</v>
      </c>
      <c r="V1517" s="9" t="s">
        <v>41</v>
      </c>
    </row>
    <row r="1518" spans="1:22" x14ac:dyDescent="0.25">
      <c r="A1518" s="10" t="s">
        <v>36</v>
      </c>
      <c r="B1518" t="b">
        <v>0</v>
      </c>
      <c r="C1518" t="b">
        <v>0</v>
      </c>
      <c r="D1518" s="1">
        <v>0</v>
      </c>
      <c r="E1518" s="1">
        <v>9642</v>
      </c>
      <c r="F1518" s="1">
        <v>450</v>
      </c>
      <c r="G1518" s="1">
        <v>0</v>
      </c>
      <c r="H1518" s="1">
        <v>17683</v>
      </c>
      <c r="I1518" s="1">
        <v>4629</v>
      </c>
      <c r="J1518" s="3">
        <f t="shared" si="78"/>
        <v>17683</v>
      </c>
      <c r="K1518" s="1">
        <v>0</v>
      </c>
      <c r="L1518" s="1">
        <v>0</v>
      </c>
      <c r="M1518" s="1">
        <v>0</v>
      </c>
      <c r="O1518" s="14">
        <v>0</v>
      </c>
      <c r="P1518" s="17">
        <f t="shared" si="77"/>
        <v>17683</v>
      </c>
      <c r="Q1518" s="1">
        <v>0</v>
      </c>
      <c r="R1518" s="1">
        <v>0</v>
      </c>
      <c r="S1518" s="20">
        <v>40118</v>
      </c>
      <c r="T1518" s="1">
        <v>32404</v>
      </c>
      <c r="U1518" s="9">
        <v>17683</v>
      </c>
      <c r="V1518" s="9" t="s">
        <v>41</v>
      </c>
    </row>
    <row r="1519" spans="1:22" x14ac:dyDescent="0.25">
      <c r="A1519" s="10" t="s">
        <v>36</v>
      </c>
      <c r="B1519" t="b">
        <v>0</v>
      </c>
      <c r="C1519" t="b">
        <v>0</v>
      </c>
      <c r="D1519" s="1">
        <v>0</v>
      </c>
      <c r="E1519" s="1">
        <v>11491</v>
      </c>
      <c r="F1519" s="1">
        <v>418</v>
      </c>
      <c r="G1519" s="1">
        <v>0</v>
      </c>
      <c r="H1519" s="1">
        <v>27622</v>
      </c>
      <c r="I1519" s="1">
        <v>1487</v>
      </c>
      <c r="J1519" s="3">
        <f t="shared" si="78"/>
        <v>27622</v>
      </c>
      <c r="K1519" s="1">
        <v>0</v>
      </c>
      <c r="L1519" s="1">
        <v>0</v>
      </c>
      <c r="M1519" s="1">
        <v>0</v>
      </c>
      <c r="O1519" s="14">
        <v>0</v>
      </c>
      <c r="P1519" s="17">
        <f t="shared" si="77"/>
        <v>27622</v>
      </c>
      <c r="Q1519" s="1">
        <v>0</v>
      </c>
      <c r="R1519" s="1">
        <v>0</v>
      </c>
      <c r="S1519" s="20">
        <v>40148</v>
      </c>
      <c r="T1519" s="1">
        <v>41018</v>
      </c>
      <c r="U1519" s="9">
        <v>27622</v>
      </c>
      <c r="V1519" s="9" t="s">
        <v>41</v>
      </c>
    </row>
    <row r="1520" spans="1:22" x14ac:dyDescent="0.25">
      <c r="A1520" s="10" t="s">
        <v>36</v>
      </c>
      <c r="B1520" t="b">
        <v>0</v>
      </c>
      <c r="C1520" t="b">
        <v>0</v>
      </c>
      <c r="D1520" s="1">
        <v>0</v>
      </c>
      <c r="E1520" s="1">
        <v>9280</v>
      </c>
      <c r="F1520" s="1">
        <v>195</v>
      </c>
      <c r="G1520" s="1">
        <v>0</v>
      </c>
      <c r="H1520" s="1">
        <v>9661</v>
      </c>
      <c r="I1520" s="1">
        <v>2722</v>
      </c>
      <c r="J1520" s="3">
        <f t="shared" si="78"/>
        <v>9661</v>
      </c>
      <c r="K1520" s="1">
        <v>0</v>
      </c>
      <c r="L1520" s="1">
        <v>0</v>
      </c>
      <c r="M1520" s="1">
        <v>0</v>
      </c>
      <c r="O1520" s="14">
        <v>0</v>
      </c>
      <c r="P1520" s="17">
        <f t="shared" si="77"/>
        <v>9661</v>
      </c>
      <c r="Q1520" s="1">
        <v>0</v>
      </c>
      <c r="R1520" s="1">
        <v>0</v>
      </c>
      <c r="S1520" s="20">
        <v>40179</v>
      </c>
      <c r="T1520" s="1">
        <v>21858</v>
      </c>
      <c r="U1520" s="9">
        <v>9661</v>
      </c>
      <c r="V1520" s="9" t="s">
        <v>21</v>
      </c>
    </row>
    <row r="1521" spans="1:22" x14ac:dyDescent="0.25">
      <c r="A1521" s="10" t="s">
        <v>36</v>
      </c>
      <c r="B1521" t="b">
        <v>0</v>
      </c>
      <c r="C1521" t="b">
        <v>0</v>
      </c>
      <c r="D1521" s="1">
        <v>0</v>
      </c>
      <c r="E1521" s="1">
        <v>8541</v>
      </c>
      <c r="F1521" s="1">
        <v>672</v>
      </c>
      <c r="G1521" s="1">
        <v>0</v>
      </c>
      <c r="H1521" s="1">
        <v>24943</v>
      </c>
      <c r="I1521" s="1">
        <v>7457</v>
      </c>
      <c r="J1521" s="3">
        <f t="shared" si="78"/>
        <v>24943</v>
      </c>
      <c r="K1521" s="1">
        <v>0</v>
      </c>
      <c r="L1521" s="1">
        <v>0</v>
      </c>
      <c r="M1521" s="1">
        <v>0</v>
      </c>
      <c r="O1521" s="14">
        <v>0</v>
      </c>
      <c r="P1521" s="17">
        <f t="shared" si="77"/>
        <v>24943</v>
      </c>
      <c r="Q1521" s="1">
        <v>0</v>
      </c>
      <c r="R1521" s="1">
        <v>0</v>
      </c>
      <c r="S1521" s="20">
        <v>40210</v>
      </c>
      <c r="T1521" s="1">
        <v>41613</v>
      </c>
      <c r="U1521" s="9">
        <v>24943</v>
      </c>
      <c r="V1521" s="9" t="s">
        <v>21</v>
      </c>
    </row>
    <row r="1522" spans="1:22" x14ac:dyDescent="0.25">
      <c r="A1522" s="10" t="s">
        <v>36</v>
      </c>
      <c r="B1522" t="b">
        <v>0</v>
      </c>
      <c r="C1522" t="b">
        <v>0</v>
      </c>
      <c r="D1522" s="1">
        <v>0</v>
      </c>
      <c r="E1522" s="1">
        <v>10052</v>
      </c>
      <c r="F1522" s="1">
        <v>3935</v>
      </c>
      <c r="G1522" s="1">
        <v>0</v>
      </c>
      <c r="H1522" s="1">
        <v>15152</v>
      </c>
      <c r="I1522" s="1">
        <v>10978</v>
      </c>
      <c r="J1522" s="3">
        <f t="shared" si="78"/>
        <v>15152</v>
      </c>
      <c r="K1522" s="1">
        <v>0</v>
      </c>
      <c r="L1522" s="1">
        <v>0</v>
      </c>
      <c r="M1522" s="1">
        <v>0</v>
      </c>
      <c r="O1522" s="14">
        <v>0</v>
      </c>
      <c r="P1522" s="17">
        <f t="shared" si="77"/>
        <v>15152</v>
      </c>
      <c r="Q1522" s="1">
        <v>0</v>
      </c>
      <c r="R1522" s="1">
        <v>0</v>
      </c>
      <c r="S1522" s="20">
        <v>40238</v>
      </c>
      <c r="T1522" s="1">
        <v>40117</v>
      </c>
      <c r="U1522" s="9">
        <v>15152</v>
      </c>
      <c r="V1522" s="9" t="s">
        <v>21</v>
      </c>
    </row>
    <row r="1523" spans="1:22" x14ac:dyDescent="0.25">
      <c r="A1523" s="10" t="s">
        <v>36</v>
      </c>
      <c r="B1523" t="b">
        <v>0</v>
      </c>
      <c r="C1523" t="b">
        <v>0</v>
      </c>
      <c r="D1523" s="1">
        <v>0</v>
      </c>
      <c r="E1523" s="1">
        <v>12395</v>
      </c>
      <c r="F1523" s="1">
        <v>5020</v>
      </c>
      <c r="G1523" s="1">
        <v>0</v>
      </c>
      <c r="H1523" s="1">
        <v>24291</v>
      </c>
      <c r="I1523" s="1">
        <v>10448</v>
      </c>
      <c r="J1523" s="3">
        <f t="shared" si="78"/>
        <v>24291</v>
      </c>
      <c r="K1523" s="1">
        <v>0</v>
      </c>
      <c r="L1523" s="1">
        <v>0</v>
      </c>
      <c r="M1523" s="1">
        <v>0</v>
      </c>
      <c r="O1523" s="14">
        <v>0</v>
      </c>
      <c r="P1523" s="17">
        <f t="shared" si="77"/>
        <v>24291</v>
      </c>
      <c r="Q1523" s="1">
        <v>0</v>
      </c>
      <c r="R1523" s="1">
        <v>0</v>
      </c>
      <c r="S1523" s="20">
        <v>40269</v>
      </c>
      <c r="T1523" s="1">
        <v>52154</v>
      </c>
      <c r="U1523" s="9">
        <v>24291</v>
      </c>
      <c r="V1523" s="9" t="s">
        <v>21</v>
      </c>
    </row>
    <row r="1524" spans="1:22" x14ac:dyDescent="0.25">
      <c r="A1524" s="10" t="s">
        <v>36</v>
      </c>
      <c r="B1524" t="b">
        <v>0</v>
      </c>
      <c r="C1524" t="b">
        <v>0</v>
      </c>
      <c r="D1524" s="1">
        <v>0</v>
      </c>
      <c r="E1524" s="1">
        <v>11619</v>
      </c>
      <c r="F1524" s="1">
        <v>8915</v>
      </c>
      <c r="G1524" s="1">
        <v>0</v>
      </c>
      <c r="H1524" s="1">
        <v>59075</v>
      </c>
      <c r="I1524" s="1">
        <v>6509</v>
      </c>
      <c r="J1524" s="3">
        <f t="shared" si="78"/>
        <v>59075</v>
      </c>
      <c r="K1524" s="1">
        <v>0</v>
      </c>
      <c r="L1524" s="1">
        <v>0</v>
      </c>
      <c r="M1524" s="1">
        <v>0</v>
      </c>
      <c r="O1524" s="14">
        <v>0</v>
      </c>
      <c r="P1524" s="17">
        <f t="shared" si="77"/>
        <v>59075</v>
      </c>
      <c r="Q1524" s="1">
        <v>0</v>
      </c>
      <c r="R1524" s="1">
        <v>0</v>
      </c>
      <c r="S1524" s="20">
        <v>40299</v>
      </c>
      <c r="T1524" s="1">
        <v>86118</v>
      </c>
      <c r="U1524" s="9">
        <v>59075</v>
      </c>
      <c r="V1524" s="9" t="s">
        <v>21</v>
      </c>
    </row>
    <row r="1525" spans="1:22" x14ac:dyDescent="0.25">
      <c r="A1525" s="10" t="s">
        <v>36</v>
      </c>
      <c r="B1525" t="b">
        <v>0</v>
      </c>
      <c r="C1525" t="b">
        <v>0</v>
      </c>
      <c r="D1525" s="1">
        <v>0</v>
      </c>
      <c r="E1525" s="1">
        <v>13096</v>
      </c>
      <c r="F1525" s="1">
        <v>4738</v>
      </c>
      <c r="G1525" s="1">
        <v>0</v>
      </c>
      <c r="H1525" s="1">
        <v>21682</v>
      </c>
      <c r="I1525" s="1">
        <v>5134</v>
      </c>
      <c r="J1525" s="3">
        <f t="shared" si="78"/>
        <v>21682</v>
      </c>
      <c r="K1525" s="1">
        <v>0</v>
      </c>
      <c r="L1525" s="1">
        <v>0</v>
      </c>
      <c r="M1525" s="1">
        <v>0</v>
      </c>
      <c r="O1525" s="14">
        <v>0</v>
      </c>
      <c r="P1525" s="17">
        <f t="shared" si="77"/>
        <v>21682</v>
      </c>
      <c r="Q1525" s="1">
        <v>0</v>
      </c>
      <c r="R1525" s="1">
        <v>0</v>
      </c>
      <c r="S1525" s="20">
        <v>40330</v>
      </c>
      <c r="T1525" s="1">
        <v>44650</v>
      </c>
      <c r="U1525" s="9">
        <v>21682</v>
      </c>
      <c r="V1525" s="9" t="s">
        <v>21</v>
      </c>
    </row>
    <row r="1526" spans="1:22" x14ac:dyDescent="0.25">
      <c r="A1526" s="10" t="s">
        <v>36</v>
      </c>
      <c r="B1526" t="b">
        <v>0</v>
      </c>
      <c r="C1526" t="b">
        <v>0</v>
      </c>
      <c r="D1526" s="1">
        <v>0</v>
      </c>
      <c r="E1526" s="1">
        <v>17766</v>
      </c>
      <c r="F1526" s="1">
        <v>864</v>
      </c>
      <c r="G1526" s="1">
        <v>0</v>
      </c>
      <c r="H1526" s="1">
        <v>32832</v>
      </c>
      <c r="I1526" s="1">
        <v>327</v>
      </c>
      <c r="J1526" s="3">
        <f t="shared" si="78"/>
        <v>32832</v>
      </c>
      <c r="K1526" s="1">
        <v>0</v>
      </c>
      <c r="L1526" s="1">
        <v>0</v>
      </c>
      <c r="M1526" s="1">
        <v>0</v>
      </c>
      <c r="O1526" s="14">
        <v>0</v>
      </c>
      <c r="P1526" s="17">
        <f t="shared" si="77"/>
        <v>32832</v>
      </c>
      <c r="Q1526" s="1">
        <v>0</v>
      </c>
      <c r="R1526" s="1">
        <v>0</v>
      </c>
      <c r="S1526" s="20">
        <v>40360</v>
      </c>
      <c r="T1526" s="1">
        <v>51789</v>
      </c>
      <c r="U1526" s="9">
        <v>32832</v>
      </c>
      <c r="V1526" s="9" t="s">
        <v>21</v>
      </c>
    </row>
    <row r="1527" spans="1:22" x14ac:dyDescent="0.25">
      <c r="A1527" s="10" t="s">
        <v>36</v>
      </c>
      <c r="B1527" t="b">
        <v>0</v>
      </c>
      <c r="C1527" t="b">
        <v>0</v>
      </c>
      <c r="D1527" s="1">
        <v>0</v>
      </c>
      <c r="E1527" s="1">
        <v>15689</v>
      </c>
      <c r="F1527" s="1">
        <v>352</v>
      </c>
      <c r="G1527" s="1">
        <v>0</v>
      </c>
      <c r="H1527" s="1">
        <v>30696</v>
      </c>
      <c r="I1527" s="1">
        <v>3347</v>
      </c>
      <c r="J1527" s="3">
        <f t="shared" si="78"/>
        <v>30696</v>
      </c>
      <c r="K1527" s="1">
        <v>0</v>
      </c>
      <c r="L1527" s="1">
        <v>0</v>
      </c>
      <c r="M1527" s="1">
        <v>0</v>
      </c>
      <c r="O1527" s="14">
        <v>0</v>
      </c>
      <c r="P1527" s="17">
        <f t="shared" si="77"/>
        <v>30696</v>
      </c>
      <c r="Q1527" s="1">
        <v>0</v>
      </c>
      <c r="R1527" s="1">
        <v>0</v>
      </c>
      <c r="S1527" s="20">
        <v>40391</v>
      </c>
      <c r="T1527" s="1">
        <v>50084</v>
      </c>
      <c r="U1527" s="9">
        <v>30696</v>
      </c>
      <c r="V1527" s="9" t="s">
        <v>21</v>
      </c>
    </row>
    <row r="1528" spans="1:22" x14ac:dyDescent="0.25">
      <c r="A1528" s="10" t="s">
        <v>36</v>
      </c>
      <c r="B1528" t="b">
        <v>0</v>
      </c>
      <c r="C1528" t="b">
        <v>0</v>
      </c>
      <c r="D1528" s="1">
        <v>0</v>
      </c>
      <c r="E1528" s="1">
        <v>10268</v>
      </c>
      <c r="F1528" s="1">
        <v>486</v>
      </c>
      <c r="G1528" s="1">
        <v>0</v>
      </c>
      <c r="H1528" s="1">
        <v>70526</v>
      </c>
      <c r="I1528" s="1">
        <v>2158</v>
      </c>
      <c r="J1528" s="3">
        <f t="shared" si="78"/>
        <v>70526</v>
      </c>
      <c r="K1528" s="1">
        <v>0</v>
      </c>
      <c r="L1528" s="1">
        <v>0</v>
      </c>
      <c r="M1528" s="1">
        <v>0</v>
      </c>
      <c r="O1528" s="14">
        <v>0</v>
      </c>
      <c r="P1528" s="17">
        <f t="shared" si="77"/>
        <v>70526</v>
      </c>
      <c r="Q1528" s="1">
        <v>0</v>
      </c>
      <c r="R1528" s="1">
        <v>0</v>
      </c>
      <c r="S1528" s="20">
        <v>40422</v>
      </c>
      <c r="T1528" s="1">
        <v>83438</v>
      </c>
      <c r="U1528" s="9">
        <v>70526</v>
      </c>
      <c r="V1528" s="9" t="s">
        <v>21</v>
      </c>
    </row>
    <row r="1529" spans="1:22" x14ac:dyDescent="0.25">
      <c r="A1529" s="10" t="s">
        <v>36</v>
      </c>
      <c r="B1529" t="b">
        <v>0</v>
      </c>
      <c r="C1529" t="b">
        <v>0</v>
      </c>
      <c r="D1529" s="1">
        <v>0</v>
      </c>
      <c r="E1529" s="1">
        <v>9093</v>
      </c>
      <c r="F1529" s="1">
        <v>619</v>
      </c>
      <c r="G1529" s="1">
        <v>0</v>
      </c>
      <c r="H1529" s="1">
        <v>23014</v>
      </c>
      <c r="I1529" s="1">
        <v>3284</v>
      </c>
      <c r="J1529" s="3">
        <f t="shared" si="78"/>
        <v>23014</v>
      </c>
      <c r="K1529" s="1">
        <v>0</v>
      </c>
      <c r="L1529" s="1">
        <v>0</v>
      </c>
      <c r="M1529" s="1">
        <v>0</v>
      </c>
      <c r="O1529" s="14">
        <v>0</v>
      </c>
      <c r="P1529" s="17">
        <f t="shared" si="77"/>
        <v>23014</v>
      </c>
      <c r="Q1529" s="1">
        <v>0</v>
      </c>
      <c r="R1529" s="1">
        <v>0</v>
      </c>
      <c r="S1529" s="20">
        <v>40452</v>
      </c>
      <c r="T1529" s="1">
        <v>36010</v>
      </c>
      <c r="U1529" s="9">
        <v>23014</v>
      </c>
      <c r="V1529" s="9" t="s">
        <v>21</v>
      </c>
    </row>
    <row r="1530" spans="1:22" x14ac:dyDescent="0.25">
      <c r="A1530" s="10" t="s">
        <v>36</v>
      </c>
      <c r="B1530" t="b">
        <v>0</v>
      </c>
      <c r="C1530" t="b">
        <v>0</v>
      </c>
      <c r="D1530" s="1">
        <v>0</v>
      </c>
      <c r="E1530" s="1">
        <v>10779</v>
      </c>
      <c r="F1530" s="1">
        <v>372</v>
      </c>
      <c r="G1530" s="1">
        <v>0</v>
      </c>
      <c r="H1530" s="1">
        <v>17976</v>
      </c>
      <c r="I1530" s="1">
        <v>3104</v>
      </c>
      <c r="J1530" s="3">
        <f t="shared" si="78"/>
        <v>17976</v>
      </c>
      <c r="K1530" s="1">
        <v>0</v>
      </c>
      <c r="L1530" s="1">
        <v>0</v>
      </c>
      <c r="M1530" s="1">
        <v>0</v>
      </c>
      <c r="O1530" s="14">
        <v>0</v>
      </c>
      <c r="P1530" s="17">
        <f t="shared" si="77"/>
        <v>17976</v>
      </c>
      <c r="Q1530" s="1">
        <v>0</v>
      </c>
      <c r="R1530" s="1">
        <v>0</v>
      </c>
      <c r="S1530" s="20">
        <v>40483</v>
      </c>
      <c r="T1530" s="1">
        <v>32231</v>
      </c>
      <c r="U1530" s="9">
        <v>17976</v>
      </c>
      <c r="V1530" s="9" t="s">
        <v>21</v>
      </c>
    </row>
    <row r="1531" spans="1:22" x14ac:dyDescent="0.25">
      <c r="A1531" s="10" t="s">
        <v>36</v>
      </c>
      <c r="B1531" t="b">
        <v>0</v>
      </c>
      <c r="C1531" t="b">
        <v>0</v>
      </c>
      <c r="D1531" s="1">
        <v>0</v>
      </c>
      <c r="E1531" s="1">
        <v>11263</v>
      </c>
      <c r="F1531" s="1">
        <v>117</v>
      </c>
      <c r="G1531" s="1">
        <v>0</v>
      </c>
      <c r="H1531" s="1">
        <v>36306</v>
      </c>
      <c r="I1531" s="1">
        <v>1277</v>
      </c>
      <c r="J1531" s="3">
        <f t="shared" si="78"/>
        <v>36306</v>
      </c>
      <c r="K1531" s="1">
        <v>0</v>
      </c>
      <c r="L1531" s="1">
        <v>0</v>
      </c>
      <c r="M1531" s="1">
        <v>0</v>
      </c>
      <c r="O1531" s="14">
        <v>0</v>
      </c>
      <c r="P1531" s="17">
        <f t="shared" si="77"/>
        <v>36306</v>
      </c>
      <c r="Q1531" s="1">
        <v>0</v>
      </c>
      <c r="R1531" s="1">
        <v>0</v>
      </c>
      <c r="S1531" s="20">
        <v>40513</v>
      </c>
      <c r="T1531" s="1">
        <v>48963</v>
      </c>
      <c r="U1531" s="9">
        <v>36306</v>
      </c>
      <c r="V1531" s="9" t="s">
        <v>21</v>
      </c>
    </row>
    <row r="1532" spans="1:22" x14ac:dyDescent="0.25">
      <c r="A1532" s="10" t="s">
        <v>36</v>
      </c>
      <c r="B1532" t="b">
        <v>0</v>
      </c>
      <c r="C1532" t="b">
        <v>0</v>
      </c>
      <c r="D1532" s="1">
        <v>0</v>
      </c>
      <c r="E1532" s="1">
        <v>9011</v>
      </c>
      <c r="F1532" s="1">
        <v>66</v>
      </c>
      <c r="G1532" s="1">
        <v>0</v>
      </c>
      <c r="H1532" s="1">
        <v>9873</v>
      </c>
      <c r="I1532" s="1">
        <v>2147</v>
      </c>
      <c r="J1532" s="3">
        <f t="shared" si="78"/>
        <v>9873</v>
      </c>
      <c r="K1532" s="1">
        <v>0</v>
      </c>
      <c r="L1532" s="1">
        <v>0</v>
      </c>
      <c r="M1532" s="1">
        <v>0</v>
      </c>
      <c r="O1532" s="14">
        <v>0</v>
      </c>
      <c r="P1532" s="17">
        <f t="shared" si="77"/>
        <v>9873</v>
      </c>
      <c r="Q1532" s="1">
        <v>0</v>
      </c>
      <c r="R1532" s="1">
        <v>0</v>
      </c>
      <c r="S1532" s="20">
        <v>40544</v>
      </c>
      <c r="T1532" s="1">
        <v>21097</v>
      </c>
      <c r="U1532" s="9">
        <v>9873</v>
      </c>
      <c r="V1532" s="9" t="s">
        <v>21</v>
      </c>
    </row>
    <row r="1533" spans="1:22" x14ac:dyDescent="0.25">
      <c r="A1533" s="10" t="s">
        <v>36</v>
      </c>
      <c r="B1533" t="b">
        <v>0</v>
      </c>
      <c r="C1533" t="b">
        <v>0</v>
      </c>
      <c r="D1533" s="1">
        <v>0</v>
      </c>
      <c r="E1533" s="1">
        <v>9776</v>
      </c>
      <c r="F1533" s="1">
        <v>257</v>
      </c>
      <c r="G1533" s="1">
        <v>0</v>
      </c>
      <c r="H1533" s="1">
        <v>28896</v>
      </c>
      <c r="I1533" s="1">
        <v>3588</v>
      </c>
      <c r="J1533" s="3">
        <f t="shared" si="78"/>
        <v>28896</v>
      </c>
      <c r="K1533" s="1">
        <v>0</v>
      </c>
      <c r="L1533" s="1">
        <v>0</v>
      </c>
      <c r="M1533" s="1">
        <v>0</v>
      </c>
      <c r="O1533" s="14">
        <v>0</v>
      </c>
      <c r="P1533" s="17">
        <f t="shared" si="77"/>
        <v>28896</v>
      </c>
      <c r="Q1533" s="1">
        <v>0</v>
      </c>
      <c r="R1533" s="1">
        <v>0</v>
      </c>
      <c r="S1533" s="20">
        <v>40575</v>
      </c>
      <c r="T1533" s="1">
        <v>42517</v>
      </c>
      <c r="U1533" s="9">
        <v>28896</v>
      </c>
      <c r="V1533" s="9" t="s">
        <v>21</v>
      </c>
    </row>
    <row r="1534" spans="1:22" x14ac:dyDescent="0.25">
      <c r="A1534" s="10" t="s">
        <v>36</v>
      </c>
      <c r="B1534" t="b">
        <v>0</v>
      </c>
      <c r="C1534" t="b">
        <v>0</v>
      </c>
      <c r="D1534" s="1">
        <v>0</v>
      </c>
      <c r="E1534" s="1">
        <v>11172</v>
      </c>
      <c r="F1534" s="1">
        <v>3443</v>
      </c>
      <c r="G1534" s="1">
        <v>0</v>
      </c>
      <c r="H1534" s="1">
        <v>19607</v>
      </c>
      <c r="I1534" s="1">
        <v>8329</v>
      </c>
      <c r="J1534" s="3">
        <f t="shared" si="78"/>
        <v>19607</v>
      </c>
      <c r="K1534" s="1">
        <v>0</v>
      </c>
      <c r="L1534" s="1">
        <v>0</v>
      </c>
      <c r="M1534" s="1">
        <v>0</v>
      </c>
      <c r="O1534" s="14">
        <v>0</v>
      </c>
      <c r="P1534" s="17">
        <f t="shared" si="77"/>
        <v>19607</v>
      </c>
      <c r="Q1534" s="1">
        <v>0</v>
      </c>
      <c r="R1534" s="1">
        <v>0</v>
      </c>
      <c r="S1534" s="20">
        <v>40603</v>
      </c>
      <c r="T1534" s="1">
        <v>42551</v>
      </c>
      <c r="U1534" s="9">
        <v>19607</v>
      </c>
      <c r="V1534" s="9" t="s">
        <v>21</v>
      </c>
    </row>
    <row r="1535" spans="1:22" x14ac:dyDescent="0.25">
      <c r="A1535" s="10" t="s">
        <v>36</v>
      </c>
      <c r="B1535" t="b">
        <v>0</v>
      </c>
      <c r="C1535" t="b">
        <v>0</v>
      </c>
      <c r="D1535" s="1">
        <v>0</v>
      </c>
      <c r="E1535" s="1">
        <v>12967</v>
      </c>
      <c r="F1535" s="1">
        <v>4151</v>
      </c>
      <c r="G1535" s="1">
        <v>0</v>
      </c>
      <c r="H1535" s="1">
        <v>26785</v>
      </c>
      <c r="I1535" s="1">
        <v>10854</v>
      </c>
      <c r="J1535" s="3">
        <f t="shared" si="78"/>
        <v>26785</v>
      </c>
      <c r="K1535" s="1">
        <v>0</v>
      </c>
      <c r="L1535" s="1">
        <v>0</v>
      </c>
      <c r="M1535" s="1">
        <v>0</v>
      </c>
      <c r="O1535" s="14">
        <v>0</v>
      </c>
      <c r="P1535" s="17">
        <f t="shared" si="77"/>
        <v>26785</v>
      </c>
      <c r="Q1535" s="1">
        <v>0</v>
      </c>
      <c r="R1535" s="1">
        <v>0</v>
      </c>
      <c r="S1535" s="20">
        <v>40634</v>
      </c>
      <c r="T1535" s="1">
        <v>54757</v>
      </c>
      <c r="U1535" s="9">
        <v>26785</v>
      </c>
      <c r="V1535" s="9" t="s">
        <v>21</v>
      </c>
    </row>
    <row r="1536" spans="1:22" x14ac:dyDescent="0.25">
      <c r="A1536" s="10" t="s">
        <v>36</v>
      </c>
      <c r="B1536" t="b">
        <v>0</v>
      </c>
      <c r="C1536" t="b">
        <v>0</v>
      </c>
      <c r="D1536" s="1">
        <v>0</v>
      </c>
      <c r="E1536" s="1">
        <v>10941</v>
      </c>
      <c r="F1536" s="1">
        <v>9095</v>
      </c>
      <c r="G1536" s="1">
        <v>0</v>
      </c>
      <c r="H1536" s="1">
        <v>60955</v>
      </c>
      <c r="I1536" s="1">
        <v>7986</v>
      </c>
      <c r="J1536" s="3">
        <f t="shared" si="78"/>
        <v>60955</v>
      </c>
      <c r="K1536" s="1">
        <v>0</v>
      </c>
      <c r="L1536" s="1">
        <v>0</v>
      </c>
      <c r="M1536" s="1">
        <v>0</v>
      </c>
      <c r="O1536" s="14">
        <v>0</v>
      </c>
      <c r="P1536" s="17">
        <f t="shared" si="77"/>
        <v>60955</v>
      </c>
      <c r="Q1536" s="1">
        <v>0</v>
      </c>
      <c r="R1536" s="1">
        <v>0</v>
      </c>
      <c r="S1536" s="20">
        <v>40664</v>
      </c>
      <c r="T1536" s="1">
        <v>88977</v>
      </c>
      <c r="U1536" s="9">
        <v>60955</v>
      </c>
      <c r="V1536" s="9" t="s">
        <v>21</v>
      </c>
    </row>
    <row r="1537" spans="1:22" x14ac:dyDescent="0.25">
      <c r="A1537" s="10" t="s">
        <v>36</v>
      </c>
      <c r="B1537" t="b">
        <v>0</v>
      </c>
      <c r="C1537" t="b">
        <v>0</v>
      </c>
      <c r="D1537" s="1">
        <v>0</v>
      </c>
      <c r="E1537" s="1">
        <v>13685</v>
      </c>
      <c r="F1537" s="1">
        <v>4182</v>
      </c>
      <c r="G1537" s="1">
        <v>0</v>
      </c>
      <c r="H1537" s="1">
        <v>22727</v>
      </c>
      <c r="I1537" s="1">
        <v>4894</v>
      </c>
      <c r="J1537" s="3">
        <f t="shared" si="78"/>
        <v>22727</v>
      </c>
      <c r="K1537" s="1">
        <v>0</v>
      </c>
      <c r="L1537" s="1">
        <v>0</v>
      </c>
      <c r="M1537" s="1">
        <v>0</v>
      </c>
      <c r="O1537" s="14">
        <v>0</v>
      </c>
      <c r="P1537" s="17">
        <f t="shared" si="77"/>
        <v>22727</v>
      </c>
      <c r="Q1537" s="1">
        <v>0</v>
      </c>
      <c r="R1537" s="1">
        <v>0</v>
      </c>
      <c r="S1537" s="20">
        <v>40695</v>
      </c>
      <c r="T1537" s="1">
        <v>45488</v>
      </c>
      <c r="U1537" s="9">
        <v>22727</v>
      </c>
      <c r="V1537" s="9" t="s">
        <v>21</v>
      </c>
    </row>
    <row r="1538" spans="1:22" x14ac:dyDescent="0.25">
      <c r="A1538" s="10" t="s">
        <v>36</v>
      </c>
      <c r="B1538" t="b">
        <v>0</v>
      </c>
      <c r="C1538" t="b">
        <v>0</v>
      </c>
      <c r="D1538" s="1">
        <v>0</v>
      </c>
      <c r="E1538" s="1">
        <v>18621</v>
      </c>
      <c r="F1538" s="1">
        <v>786</v>
      </c>
      <c r="G1538" s="1">
        <v>0</v>
      </c>
      <c r="H1538" s="1">
        <v>29073</v>
      </c>
      <c r="I1538" s="1">
        <v>2128</v>
      </c>
      <c r="J1538" s="3">
        <f t="shared" si="78"/>
        <v>29073</v>
      </c>
      <c r="K1538" s="1">
        <v>0</v>
      </c>
      <c r="L1538" s="1">
        <v>0</v>
      </c>
      <c r="M1538" s="1">
        <v>0</v>
      </c>
      <c r="O1538" s="14">
        <v>0</v>
      </c>
      <c r="P1538" s="17">
        <f t="shared" si="77"/>
        <v>29073</v>
      </c>
      <c r="Q1538" s="1">
        <v>0</v>
      </c>
      <c r="R1538" s="1">
        <v>0</v>
      </c>
      <c r="S1538" s="20">
        <v>40725</v>
      </c>
      <c r="T1538" s="1">
        <v>50608</v>
      </c>
      <c r="U1538" s="9">
        <v>29073</v>
      </c>
      <c r="V1538" s="9" t="s">
        <v>21</v>
      </c>
    </row>
    <row r="1539" spans="1:22" x14ac:dyDescent="0.25">
      <c r="A1539" s="10" t="s">
        <v>36</v>
      </c>
      <c r="B1539" t="b">
        <v>0</v>
      </c>
      <c r="C1539" t="b">
        <v>0</v>
      </c>
      <c r="D1539" s="1">
        <v>0</v>
      </c>
      <c r="E1539" s="1">
        <v>14854</v>
      </c>
      <c r="F1539" s="1">
        <v>400</v>
      </c>
      <c r="G1539" s="1">
        <v>0</v>
      </c>
      <c r="H1539" s="1">
        <v>23729</v>
      </c>
      <c r="I1539" s="1">
        <v>738</v>
      </c>
      <c r="J1539" s="3">
        <f t="shared" si="78"/>
        <v>23729</v>
      </c>
      <c r="K1539" s="1">
        <v>0</v>
      </c>
      <c r="L1539" s="1">
        <v>0</v>
      </c>
      <c r="M1539" s="1">
        <v>0</v>
      </c>
      <c r="O1539" s="14">
        <v>0</v>
      </c>
      <c r="P1539" s="17">
        <f t="shared" si="77"/>
        <v>23729</v>
      </c>
      <c r="Q1539" s="1">
        <v>0</v>
      </c>
      <c r="R1539" s="1">
        <v>0</v>
      </c>
      <c r="S1539" s="20">
        <v>40756</v>
      </c>
      <c r="T1539" s="1">
        <v>39721</v>
      </c>
      <c r="U1539" s="9">
        <v>23729</v>
      </c>
      <c r="V1539" s="9" t="s">
        <v>21</v>
      </c>
    </row>
    <row r="1540" spans="1:22" x14ac:dyDescent="0.25">
      <c r="A1540" s="10" t="s">
        <v>36</v>
      </c>
      <c r="B1540" t="b">
        <v>0</v>
      </c>
      <c r="C1540" t="b">
        <v>0</v>
      </c>
      <c r="D1540" s="1">
        <v>0</v>
      </c>
      <c r="E1540" s="1">
        <v>7104</v>
      </c>
      <c r="F1540" s="1">
        <v>621</v>
      </c>
      <c r="G1540" s="1">
        <v>0</v>
      </c>
      <c r="H1540" s="1">
        <v>68496</v>
      </c>
      <c r="I1540" s="1">
        <v>1609</v>
      </c>
      <c r="J1540" s="3">
        <f t="shared" si="78"/>
        <v>68496</v>
      </c>
      <c r="K1540" s="1">
        <v>0</v>
      </c>
      <c r="L1540" s="1">
        <v>0</v>
      </c>
      <c r="M1540" s="1">
        <v>0</v>
      </c>
      <c r="O1540" s="14">
        <v>0</v>
      </c>
      <c r="P1540" s="17">
        <f t="shared" si="77"/>
        <v>68496</v>
      </c>
      <c r="Q1540" s="1">
        <v>0</v>
      </c>
      <c r="R1540" s="1">
        <v>0</v>
      </c>
      <c r="S1540" s="20">
        <v>40787</v>
      </c>
      <c r="T1540" s="1">
        <v>77830</v>
      </c>
      <c r="U1540" s="9">
        <v>68496</v>
      </c>
      <c r="V1540" s="9" t="s">
        <v>21</v>
      </c>
    </row>
    <row r="1541" spans="1:22" x14ac:dyDescent="0.25">
      <c r="A1541" s="10" t="s">
        <v>36</v>
      </c>
      <c r="B1541" t="b">
        <v>0</v>
      </c>
      <c r="C1541" t="b">
        <v>0</v>
      </c>
      <c r="D1541" s="1">
        <v>0</v>
      </c>
      <c r="E1541" s="1">
        <v>9443</v>
      </c>
      <c r="F1541" s="1">
        <v>802</v>
      </c>
      <c r="G1541" s="1">
        <v>0</v>
      </c>
      <c r="H1541" s="1">
        <v>20078</v>
      </c>
      <c r="I1541" s="1">
        <v>5735</v>
      </c>
      <c r="J1541" s="3">
        <f t="shared" si="78"/>
        <v>20078</v>
      </c>
      <c r="K1541" s="1">
        <v>0</v>
      </c>
      <c r="L1541" s="1">
        <v>0</v>
      </c>
      <c r="M1541" s="1">
        <v>0</v>
      </c>
      <c r="O1541" s="14">
        <v>0</v>
      </c>
      <c r="P1541" s="17">
        <f t="shared" si="77"/>
        <v>20078</v>
      </c>
      <c r="Q1541" s="1">
        <v>0</v>
      </c>
      <c r="R1541" s="1">
        <v>0</v>
      </c>
      <c r="S1541" s="20">
        <v>40817</v>
      </c>
      <c r="T1541" s="1">
        <v>36058</v>
      </c>
      <c r="U1541" s="9">
        <v>20078</v>
      </c>
      <c r="V1541" s="9" t="s">
        <v>21</v>
      </c>
    </row>
    <row r="1542" spans="1:22" x14ac:dyDescent="0.25">
      <c r="A1542" s="10" t="s">
        <v>36</v>
      </c>
      <c r="B1542" t="b">
        <v>0</v>
      </c>
      <c r="C1542" t="b">
        <v>0</v>
      </c>
      <c r="D1542" s="1">
        <v>0</v>
      </c>
      <c r="E1542" s="1">
        <v>11654</v>
      </c>
      <c r="F1542" s="1">
        <v>364</v>
      </c>
      <c r="G1542" s="1">
        <v>0</v>
      </c>
      <c r="H1542" s="1">
        <v>16453</v>
      </c>
      <c r="I1542" s="1">
        <v>7830</v>
      </c>
      <c r="J1542" s="3">
        <f t="shared" si="78"/>
        <v>16453</v>
      </c>
      <c r="K1542" s="1">
        <v>0</v>
      </c>
      <c r="L1542" s="1">
        <v>0</v>
      </c>
      <c r="M1542" s="1">
        <v>0</v>
      </c>
      <c r="O1542" s="14">
        <v>0</v>
      </c>
      <c r="P1542" s="17">
        <f t="shared" si="77"/>
        <v>16453</v>
      </c>
      <c r="Q1542" s="1">
        <v>0</v>
      </c>
      <c r="R1542" s="1">
        <v>0</v>
      </c>
      <c r="S1542" s="20">
        <v>40848</v>
      </c>
      <c r="T1542" s="1">
        <v>36301</v>
      </c>
      <c r="U1542" s="9">
        <v>16453</v>
      </c>
      <c r="V1542" s="9" t="s">
        <v>21</v>
      </c>
    </row>
    <row r="1543" spans="1:22" x14ac:dyDescent="0.25">
      <c r="A1543" s="10" t="s">
        <v>36</v>
      </c>
      <c r="B1543" t="b">
        <v>0</v>
      </c>
      <c r="C1543" t="b">
        <v>0</v>
      </c>
      <c r="D1543" s="1">
        <v>0</v>
      </c>
      <c r="E1543" s="1">
        <v>12863</v>
      </c>
      <c r="F1543" s="1">
        <v>448</v>
      </c>
      <c r="G1543" s="1">
        <v>0</v>
      </c>
      <c r="H1543" s="1">
        <v>15800</v>
      </c>
      <c r="I1543" s="1">
        <v>17812</v>
      </c>
      <c r="J1543" s="3">
        <f t="shared" si="78"/>
        <v>15800</v>
      </c>
      <c r="K1543" s="1">
        <v>0</v>
      </c>
      <c r="L1543" s="1">
        <v>0</v>
      </c>
      <c r="M1543" s="1">
        <v>0</v>
      </c>
      <c r="O1543" s="14">
        <v>0</v>
      </c>
      <c r="P1543" s="17">
        <f t="shared" si="77"/>
        <v>15800</v>
      </c>
      <c r="Q1543" s="1">
        <v>0</v>
      </c>
      <c r="R1543" s="1">
        <v>0</v>
      </c>
      <c r="S1543" s="20">
        <v>40878</v>
      </c>
      <c r="T1543" s="1">
        <v>46923</v>
      </c>
      <c r="U1543" s="9">
        <v>15800</v>
      </c>
      <c r="V1543" s="9" t="s">
        <v>21</v>
      </c>
    </row>
    <row r="1544" spans="1:22" x14ac:dyDescent="0.25">
      <c r="A1544" s="10" t="s">
        <v>36</v>
      </c>
      <c r="B1544" t="b">
        <v>0</v>
      </c>
      <c r="C1544" t="b">
        <v>0</v>
      </c>
      <c r="D1544" s="1">
        <v>0</v>
      </c>
      <c r="E1544" s="1">
        <v>9842</v>
      </c>
      <c r="F1544" s="1">
        <v>692</v>
      </c>
      <c r="G1544" s="1">
        <v>0</v>
      </c>
      <c r="H1544" s="1">
        <v>11328</v>
      </c>
      <c r="I1544" s="1">
        <v>2994</v>
      </c>
      <c r="J1544" s="3">
        <f t="shared" si="78"/>
        <v>11328</v>
      </c>
      <c r="K1544" s="1">
        <v>0</v>
      </c>
      <c r="L1544" s="1">
        <v>0</v>
      </c>
      <c r="M1544" s="1">
        <v>0</v>
      </c>
      <c r="O1544" s="14">
        <v>0</v>
      </c>
      <c r="P1544" s="17">
        <f t="shared" si="77"/>
        <v>11328</v>
      </c>
      <c r="Q1544" s="1">
        <v>0</v>
      </c>
      <c r="R1544" s="1">
        <v>0</v>
      </c>
      <c r="S1544" s="20">
        <v>40909</v>
      </c>
      <c r="T1544" s="1">
        <v>24856</v>
      </c>
      <c r="U1544" s="9">
        <v>11328</v>
      </c>
      <c r="V1544" s="9" t="s">
        <v>21</v>
      </c>
    </row>
    <row r="1545" spans="1:22" x14ac:dyDescent="0.25">
      <c r="A1545" s="10" t="s">
        <v>36</v>
      </c>
      <c r="B1545" t="b">
        <v>0</v>
      </c>
      <c r="C1545" t="b">
        <v>0</v>
      </c>
      <c r="D1545" s="1">
        <v>0</v>
      </c>
      <c r="E1545" s="1">
        <v>10841</v>
      </c>
      <c r="F1545" s="1">
        <v>777</v>
      </c>
      <c r="G1545" s="1">
        <v>0</v>
      </c>
      <c r="H1545" s="1">
        <v>27417</v>
      </c>
      <c r="I1545" s="1">
        <v>3858</v>
      </c>
      <c r="J1545" s="3">
        <f t="shared" si="78"/>
        <v>27417</v>
      </c>
      <c r="K1545" s="1">
        <v>0</v>
      </c>
      <c r="L1545" s="1">
        <v>0</v>
      </c>
      <c r="M1545" s="1">
        <v>0</v>
      </c>
      <c r="O1545" s="14">
        <v>0</v>
      </c>
      <c r="P1545" s="17">
        <f t="shared" si="77"/>
        <v>27417</v>
      </c>
      <c r="Q1545" s="1">
        <v>0</v>
      </c>
      <c r="R1545" s="1">
        <v>0</v>
      </c>
      <c r="S1545" s="20">
        <v>40940</v>
      </c>
      <c r="T1545" s="1">
        <v>42893</v>
      </c>
      <c r="U1545" s="9">
        <v>27417</v>
      </c>
      <c r="V1545" s="9" t="s">
        <v>21</v>
      </c>
    </row>
    <row r="1546" spans="1:22" x14ac:dyDescent="0.25">
      <c r="A1546" s="10" t="s">
        <v>36</v>
      </c>
      <c r="B1546" t="b">
        <v>0</v>
      </c>
      <c r="C1546" t="b">
        <v>0</v>
      </c>
      <c r="D1546" s="1">
        <v>0</v>
      </c>
      <c r="E1546" s="1">
        <v>11942</v>
      </c>
      <c r="F1546" s="1">
        <v>3481</v>
      </c>
      <c r="G1546" s="1">
        <v>0</v>
      </c>
      <c r="H1546" s="1">
        <v>21072</v>
      </c>
      <c r="I1546" s="1">
        <v>6477</v>
      </c>
      <c r="J1546" s="3">
        <f t="shared" si="78"/>
        <v>21072</v>
      </c>
      <c r="K1546" s="1">
        <v>0</v>
      </c>
      <c r="L1546" s="1">
        <v>0</v>
      </c>
      <c r="M1546" s="1">
        <v>0</v>
      </c>
      <c r="O1546" s="14">
        <v>0</v>
      </c>
      <c r="P1546" s="17">
        <f t="shared" ref="P1546:P1609" si="79">J1546</f>
        <v>21072</v>
      </c>
      <c r="Q1546" s="1">
        <v>0</v>
      </c>
      <c r="R1546" s="1">
        <v>0</v>
      </c>
      <c r="S1546" s="20">
        <v>40969</v>
      </c>
      <c r="T1546" s="1">
        <v>42972</v>
      </c>
      <c r="U1546" s="9">
        <v>21072</v>
      </c>
      <c r="V1546" s="9" t="s">
        <v>21</v>
      </c>
    </row>
    <row r="1547" spans="1:22" x14ac:dyDescent="0.25">
      <c r="A1547" s="10" t="s">
        <v>36</v>
      </c>
      <c r="B1547" t="b">
        <v>0</v>
      </c>
      <c r="C1547" t="b">
        <v>0</v>
      </c>
      <c r="D1547" s="1">
        <v>0</v>
      </c>
      <c r="E1547" s="1">
        <v>13501</v>
      </c>
      <c r="F1547" s="1">
        <v>4509</v>
      </c>
      <c r="G1547" s="1">
        <v>0</v>
      </c>
      <c r="H1547" s="1">
        <v>25367</v>
      </c>
      <c r="I1547" s="1">
        <v>6235</v>
      </c>
      <c r="J1547" s="3">
        <f t="shared" ref="J1547:J1610" si="80">G1547+H1547</f>
        <v>25367</v>
      </c>
      <c r="K1547" s="1">
        <v>0</v>
      </c>
      <c r="L1547" s="1">
        <v>0</v>
      </c>
      <c r="M1547" s="1">
        <v>0</v>
      </c>
      <c r="O1547" s="14">
        <v>0</v>
      </c>
      <c r="P1547" s="17">
        <f t="shared" si="79"/>
        <v>25367</v>
      </c>
      <c r="Q1547" s="1">
        <v>0</v>
      </c>
      <c r="R1547" s="1">
        <v>0</v>
      </c>
      <c r="S1547" s="20">
        <v>41000</v>
      </c>
      <c r="T1547" s="1">
        <v>49612</v>
      </c>
      <c r="U1547" s="9">
        <v>25367</v>
      </c>
      <c r="V1547" s="9" t="s">
        <v>21</v>
      </c>
    </row>
    <row r="1548" spans="1:22" x14ac:dyDescent="0.25">
      <c r="A1548" s="10" t="s">
        <v>36</v>
      </c>
      <c r="B1548" t="b">
        <v>0</v>
      </c>
      <c r="C1548" t="b">
        <v>0</v>
      </c>
      <c r="D1548" s="1">
        <v>0</v>
      </c>
      <c r="E1548" s="1">
        <v>10149</v>
      </c>
      <c r="F1548" s="1">
        <v>10094</v>
      </c>
      <c r="G1548" s="1">
        <v>0</v>
      </c>
      <c r="H1548" s="1">
        <v>59421</v>
      </c>
      <c r="I1548" s="1">
        <v>5570</v>
      </c>
      <c r="J1548" s="3">
        <f t="shared" si="80"/>
        <v>59421</v>
      </c>
      <c r="K1548" s="1">
        <v>0</v>
      </c>
      <c r="L1548" s="1">
        <v>0</v>
      </c>
      <c r="M1548" s="1">
        <v>0</v>
      </c>
      <c r="O1548" s="14">
        <v>0</v>
      </c>
      <c r="P1548" s="17">
        <f t="shared" si="79"/>
        <v>59421</v>
      </c>
      <c r="Q1548" s="1">
        <v>0</v>
      </c>
      <c r="R1548" s="1">
        <v>0</v>
      </c>
      <c r="S1548" s="20">
        <v>41030</v>
      </c>
      <c r="T1548" s="1">
        <v>85234</v>
      </c>
      <c r="U1548" s="9">
        <v>59421</v>
      </c>
      <c r="V1548" s="9" t="s">
        <v>21</v>
      </c>
    </row>
    <row r="1549" spans="1:22" x14ac:dyDescent="0.25">
      <c r="A1549" s="10" t="s">
        <v>36</v>
      </c>
      <c r="B1549" t="b">
        <v>0</v>
      </c>
      <c r="C1549" t="b">
        <v>0</v>
      </c>
      <c r="D1549" s="1">
        <v>0</v>
      </c>
      <c r="E1549" s="1">
        <v>14190</v>
      </c>
      <c r="F1549" s="1">
        <v>3154</v>
      </c>
      <c r="G1549" s="1">
        <v>0</v>
      </c>
      <c r="H1549" s="1">
        <v>21679</v>
      </c>
      <c r="I1549" s="1">
        <v>2740</v>
      </c>
      <c r="J1549" s="3">
        <f t="shared" si="80"/>
        <v>21679</v>
      </c>
      <c r="K1549" s="1">
        <v>0</v>
      </c>
      <c r="L1549" s="1">
        <v>0</v>
      </c>
      <c r="M1549" s="1">
        <v>0</v>
      </c>
      <c r="O1549" s="14">
        <v>0</v>
      </c>
      <c r="P1549" s="17">
        <f t="shared" si="79"/>
        <v>21679</v>
      </c>
      <c r="Q1549" s="1">
        <v>0</v>
      </c>
      <c r="R1549" s="1">
        <v>0</v>
      </c>
      <c r="S1549" s="20">
        <v>41061</v>
      </c>
      <c r="T1549" s="1">
        <v>41763</v>
      </c>
      <c r="U1549" s="9">
        <v>21679</v>
      </c>
      <c r="V1549" s="9" t="s">
        <v>21</v>
      </c>
    </row>
    <row r="1550" spans="1:22" x14ac:dyDescent="0.25">
      <c r="A1550" s="10" t="s">
        <v>36</v>
      </c>
      <c r="B1550" t="b">
        <v>0</v>
      </c>
      <c r="C1550" t="b">
        <v>0</v>
      </c>
      <c r="D1550" s="1">
        <v>0</v>
      </c>
      <c r="E1550" s="1">
        <v>18538</v>
      </c>
      <c r="F1550" s="1">
        <v>478</v>
      </c>
      <c r="G1550" s="1">
        <v>0</v>
      </c>
      <c r="H1550" s="1">
        <v>25085</v>
      </c>
      <c r="I1550" s="1">
        <v>151</v>
      </c>
      <c r="J1550" s="3">
        <f t="shared" si="80"/>
        <v>25085</v>
      </c>
      <c r="K1550" s="1">
        <v>0</v>
      </c>
      <c r="L1550" s="1">
        <v>0</v>
      </c>
      <c r="M1550" s="1">
        <v>0</v>
      </c>
      <c r="O1550" s="14">
        <v>0</v>
      </c>
      <c r="P1550" s="17">
        <f t="shared" si="79"/>
        <v>25085</v>
      </c>
      <c r="Q1550" s="1">
        <v>0</v>
      </c>
      <c r="R1550" s="1">
        <v>0</v>
      </c>
      <c r="S1550" s="20">
        <v>41091</v>
      </c>
      <c r="T1550" s="1">
        <v>44252</v>
      </c>
      <c r="U1550" s="9">
        <v>25085</v>
      </c>
      <c r="V1550" s="9" t="s">
        <v>21</v>
      </c>
    </row>
    <row r="1551" spans="1:22" x14ac:dyDescent="0.25">
      <c r="A1551" s="10" t="s">
        <v>36</v>
      </c>
      <c r="B1551" t="b">
        <v>0</v>
      </c>
      <c r="C1551" t="b">
        <v>0</v>
      </c>
      <c r="D1551" s="1">
        <v>0</v>
      </c>
      <c r="E1551" s="1">
        <v>15327</v>
      </c>
      <c r="F1551" s="1">
        <v>784</v>
      </c>
      <c r="G1551" s="1">
        <v>0</v>
      </c>
      <c r="H1551" s="1">
        <v>26152</v>
      </c>
      <c r="I1551" s="1">
        <v>116</v>
      </c>
      <c r="J1551" s="3">
        <f t="shared" si="80"/>
        <v>26152</v>
      </c>
      <c r="K1551" s="1">
        <v>0</v>
      </c>
      <c r="L1551" s="1">
        <v>0</v>
      </c>
      <c r="M1551" s="1">
        <v>0</v>
      </c>
      <c r="O1551" s="14">
        <v>0</v>
      </c>
      <c r="P1551" s="17">
        <f t="shared" si="79"/>
        <v>26152</v>
      </c>
      <c r="Q1551" s="1">
        <v>0</v>
      </c>
      <c r="R1551" s="1">
        <v>0</v>
      </c>
      <c r="S1551" s="20">
        <v>41122</v>
      </c>
      <c r="T1551" s="1">
        <v>42379</v>
      </c>
      <c r="U1551" s="9">
        <v>26152</v>
      </c>
      <c r="V1551" s="9" t="s">
        <v>21</v>
      </c>
    </row>
    <row r="1552" spans="1:22" x14ac:dyDescent="0.25">
      <c r="A1552" s="10" t="s">
        <v>36</v>
      </c>
      <c r="B1552" t="b">
        <v>0</v>
      </c>
      <c r="C1552" t="b">
        <v>0</v>
      </c>
      <c r="D1552" s="1">
        <v>0</v>
      </c>
      <c r="E1552" s="1">
        <v>9785</v>
      </c>
      <c r="F1552" s="1">
        <v>704</v>
      </c>
      <c r="G1552" s="1">
        <v>0</v>
      </c>
      <c r="H1552" s="1">
        <v>89783</v>
      </c>
      <c r="I1552" s="1">
        <v>3695</v>
      </c>
      <c r="J1552" s="3">
        <f t="shared" si="80"/>
        <v>89783</v>
      </c>
      <c r="K1552" s="1">
        <v>0</v>
      </c>
      <c r="L1552" s="1">
        <v>0</v>
      </c>
      <c r="M1552" s="1">
        <v>0</v>
      </c>
      <c r="O1552" s="14">
        <v>0</v>
      </c>
      <c r="P1552" s="17">
        <f t="shared" si="79"/>
        <v>89783</v>
      </c>
      <c r="Q1552" s="1">
        <v>0</v>
      </c>
      <c r="R1552" s="1">
        <v>0</v>
      </c>
      <c r="S1552" s="20">
        <v>41153</v>
      </c>
      <c r="T1552" s="1">
        <v>103967</v>
      </c>
      <c r="U1552" s="9">
        <v>89783</v>
      </c>
      <c r="V1552" s="9" t="s">
        <v>21</v>
      </c>
    </row>
    <row r="1553" spans="1:22" x14ac:dyDescent="0.25">
      <c r="A1553" s="10" t="s">
        <v>36</v>
      </c>
      <c r="B1553" t="b">
        <v>0</v>
      </c>
      <c r="C1553" t="b">
        <v>0</v>
      </c>
      <c r="D1553" s="1">
        <v>0</v>
      </c>
      <c r="E1553" s="1">
        <v>8679</v>
      </c>
      <c r="F1553" s="1">
        <v>1024</v>
      </c>
      <c r="G1553" s="1">
        <v>0</v>
      </c>
      <c r="H1553" s="1">
        <v>14947</v>
      </c>
      <c r="I1553" s="1">
        <v>2514</v>
      </c>
      <c r="J1553" s="3">
        <f t="shared" si="80"/>
        <v>14947</v>
      </c>
      <c r="K1553" s="1">
        <v>0</v>
      </c>
      <c r="L1553" s="1">
        <v>0</v>
      </c>
      <c r="M1553" s="1">
        <v>0</v>
      </c>
      <c r="O1553" s="14">
        <v>0</v>
      </c>
      <c r="P1553" s="17">
        <f t="shared" si="79"/>
        <v>14947</v>
      </c>
      <c r="Q1553" s="1">
        <v>0</v>
      </c>
      <c r="R1553" s="1">
        <v>0</v>
      </c>
      <c r="S1553" s="20">
        <v>41183</v>
      </c>
      <c r="T1553" s="1">
        <v>27164</v>
      </c>
      <c r="U1553" s="9">
        <v>14947</v>
      </c>
      <c r="V1553" s="9" t="s">
        <v>21</v>
      </c>
    </row>
    <row r="1554" spans="1:22" x14ac:dyDescent="0.25">
      <c r="A1554" s="10" t="s">
        <v>36</v>
      </c>
      <c r="B1554" t="b">
        <v>0</v>
      </c>
      <c r="C1554" t="b">
        <v>0</v>
      </c>
      <c r="D1554" s="1">
        <v>0</v>
      </c>
      <c r="E1554" s="1">
        <v>10459</v>
      </c>
      <c r="F1554" s="1">
        <v>604</v>
      </c>
      <c r="G1554" s="1">
        <v>0</v>
      </c>
      <c r="H1554" s="1">
        <v>12608</v>
      </c>
      <c r="I1554" s="1">
        <v>6666</v>
      </c>
      <c r="J1554" s="3">
        <f t="shared" si="80"/>
        <v>12608</v>
      </c>
      <c r="K1554" s="1">
        <v>0</v>
      </c>
      <c r="L1554" s="1">
        <v>0</v>
      </c>
      <c r="M1554" s="1">
        <v>0</v>
      </c>
      <c r="O1554" s="14">
        <v>0</v>
      </c>
      <c r="P1554" s="17">
        <f t="shared" si="79"/>
        <v>12608</v>
      </c>
      <c r="Q1554" s="1">
        <v>0</v>
      </c>
      <c r="R1554" s="1">
        <v>0</v>
      </c>
      <c r="S1554" s="20">
        <v>41214</v>
      </c>
      <c r="T1554" s="1">
        <v>30337</v>
      </c>
      <c r="U1554" s="9">
        <v>12608</v>
      </c>
      <c r="V1554" s="9" t="s">
        <v>21</v>
      </c>
    </row>
    <row r="1555" spans="1:22" x14ac:dyDescent="0.25">
      <c r="A1555" s="10" t="s">
        <v>36</v>
      </c>
      <c r="B1555" t="b">
        <v>0</v>
      </c>
      <c r="C1555" t="b">
        <v>0</v>
      </c>
      <c r="D1555" s="1">
        <v>0</v>
      </c>
      <c r="E1555" s="1">
        <v>11766</v>
      </c>
      <c r="F1555" s="1">
        <v>313</v>
      </c>
      <c r="G1555" s="1">
        <v>0</v>
      </c>
      <c r="H1555" s="1">
        <v>14541</v>
      </c>
      <c r="I1555" s="1">
        <v>15788</v>
      </c>
      <c r="J1555" s="3">
        <f t="shared" si="80"/>
        <v>14541</v>
      </c>
      <c r="K1555" s="1">
        <v>0</v>
      </c>
      <c r="L1555" s="1">
        <v>0</v>
      </c>
      <c r="M1555" s="1">
        <v>0</v>
      </c>
      <c r="O1555" s="14">
        <v>0</v>
      </c>
      <c r="P1555" s="17">
        <f t="shared" si="79"/>
        <v>14541</v>
      </c>
      <c r="Q1555" s="1">
        <v>0</v>
      </c>
      <c r="R1555" s="1">
        <v>0</v>
      </c>
      <c r="S1555" s="20">
        <v>41244</v>
      </c>
      <c r="T1555" s="1">
        <v>42408</v>
      </c>
      <c r="U1555" s="9">
        <v>14541</v>
      </c>
      <c r="V1555" s="9" t="s">
        <v>21</v>
      </c>
    </row>
    <row r="1556" spans="1:22" x14ac:dyDescent="0.25">
      <c r="A1556" s="10" t="s">
        <v>36</v>
      </c>
      <c r="B1556" t="b">
        <v>0</v>
      </c>
      <c r="C1556" t="b">
        <v>0</v>
      </c>
      <c r="D1556" s="1">
        <v>0</v>
      </c>
      <c r="E1556" s="1">
        <v>9471</v>
      </c>
      <c r="F1556" s="1">
        <v>451</v>
      </c>
      <c r="G1556" s="1">
        <v>0</v>
      </c>
      <c r="H1556" s="1">
        <v>10651</v>
      </c>
      <c r="I1556" s="1">
        <v>2161</v>
      </c>
      <c r="J1556" s="3">
        <f t="shared" si="80"/>
        <v>10651</v>
      </c>
      <c r="K1556" s="1">
        <v>0</v>
      </c>
      <c r="L1556" s="1">
        <v>0</v>
      </c>
      <c r="M1556" s="1">
        <v>0</v>
      </c>
      <c r="O1556" s="14">
        <v>0</v>
      </c>
      <c r="P1556" s="17">
        <f t="shared" si="79"/>
        <v>10651</v>
      </c>
      <c r="Q1556" s="1">
        <v>0</v>
      </c>
      <c r="R1556" s="1">
        <v>0</v>
      </c>
      <c r="S1556" s="20">
        <v>41275</v>
      </c>
      <c r="T1556" s="1">
        <v>22734</v>
      </c>
      <c r="U1556" s="9">
        <v>10651</v>
      </c>
      <c r="V1556" s="9" t="s">
        <v>40</v>
      </c>
    </row>
    <row r="1557" spans="1:22" x14ac:dyDescent="0.25">
      <c r="A1557" s="10" t="s">
        <v>36</v>
      </c>
      <c r="B1557" t="b">
        <v>0</v>
      </c>
      <c r="C1557" t="b">
        <v>0</v>
      </c>
      <c r="D1557" s="1">
        <v>0</v>
      </c>
      <c r="E1557" s="1">
        <v>9557</v>
      </c>
      <c r="F1557" s="1">
        <v>761</v>
      </c>
      <c r="G1557" s="1">
        <v>0</v>
      </c>
      <c r="H1557" s="1">
        <v>21458</v>
      </c>
      <c r="I1557" s="1">
        <v>3228</v>
      </c>
      <c r="J1557" s="3">
        <f t="shared" si="80"/>
        <v>21458</v>
      </c>
      <c r="K1557" s="1">
        <v>0</v>
      </c>
      <c r="L1557" s="1">
        <v>0</v>
      </c>
      <c r="M1557" s="1">
        <v>0</v>
      </c>
      <c r="O1557" s="14">
        <v>0</v>
      </c>
      <c r="P1557" s="17">
        <f t="shared" si="79"/>
        <v>21458</v>
      </c>
      <c r="Q1557" s="1">
        <v>0</v>
      </c>
      <c r="R1557" s="1">
        <v>0</v>
      </c>
      <c r="S1557" s="20">
        <v>41306</v>
      </c>
      <c r="T1557" s="1">
        <v>35004</v>
      </c>
      <c r="U1557" s="9">
        <v>21458</v>
      </c>
      <c r="V1557" s="9" t="s">
        <v>40</v>
      </c>
    </row>
    <row r="1558" spans="1:22" x14ac:dyDescent="0.25">
      <c r="A1558" s="10" t="s">
        <v>36</v>
      </c>
      <c r="B1558" t="b">
        <v>0</v>
      </c>
      <c r="C1558" t="b">
        <v>0</v>
      </c>
      <c r="D1558" s="1">
        <v>0</v>
      </c>
      <c r="E1558" s="1">
        <v>12343</v>
      </c>
      <c r="F1558" s="1">
        <v>3307</v>
      </c>
      <c r="G1558" s="1">
        <v>0</v>
      </c>
      <c r="H1558" s="1">
        <v>13449</v>
      </c>
      <c r="I1558" s="1">
        <v>5806</v>
      </c>
      <c r="J1558" s="3">
        <f t="shared" si="80"/>
        <v>13449</v>
      </c>
      <c r="K1558" s="1">
        <v>0</v>
      </c>
      <c r="L1558" s="1">
        <v>0</v>
      </c>
      <c r="M1558" s="1">
        <v>0</v>
      </c>
      <c r="O1558" s="14">
        <v>0</v>
      </c>
      <c r="P1558" s="17">
        <f t="shared" si="79"/>
        <v>13449</v>
      </c>
      <c r="Q1558" s="1">
        <v>0</v>
      </c>
      <c r="R1558" s="1">
        <v>0</v>
      </c>
      <c r="S1558" s="20">
        <v>41334</v>
      </c>
      <c r="T1558" s="1">
        <v>34905</v>
      </c>
      <c r="U1558" s="9">
        <v>13449</v>
      </c>
      <c r="V1558" s="9" t="s">
        <v>40</v>
      </c>
    </row>
    <row r="1559" spans="1:22" x14ac:dyDescent="0.25">
      <c r="A1559" s="10" t="s">
        <v>36</v>
      </c>
      <c r="B1559" t="b">
        <v>0</v>
      </c>
      <c r="C1559" t="b">
        <v>0</v>
      </c>
      <c r="D1559" s="1">
        <v>0</v>
      </c>
      <c r="E1559" s="1">
        <v>11491</v>
      </c>
      <c r="F1559" s="1">
        <v>4900</v>
      </c>
      <c r="G1559" s="1">
        <v>0</v>
      </c>
      <c r="H1559" s="1">
        <v>20418</v>
      </c>
      <c r="I1559" s="1">
        <v>7971</v>
      </c>
      <c r="J1559" s="3">
        <f t="shared" si="80"/>
        <v>20418</v>
      </c>
      <c r="K1559" s="1">
        <v>0</v>
      </c>
      <c r="L1559" s="1">
        <v>0</v>
      </c>
      <c r="M1559" s="1">
        <v>0</v>
      </c>
      <c r="O1559" s="14">
        <v>0</v>
      </c>
      <c r="P1559" s="17">
        <f t="shared" si="79"/>
        <v>20418</v>
      </c>
      <c r="Q1559" s="1">
        <v>0</v>
      </c>
      <c r="R1559" s="1">
        <v>0</v>
      </c>
      <c r="S1559" s="20">
        <v>41365</v>
      </c>
      <c r="T1559" s="1">
        <v>44780</v>
      </c>
      <c r="U1559" s="9">
        <v>20418</v>
      </c>
      <c r="V1559" s="9" t="s">
        <v>40</v>
      </c>
    </row>
    <row r="1560" spans="1:22" x14ac:dyDescent="0.25">
      <c r="A1560" s="10" t="s">
        <v>36</v>
      </c>
      <c r="B1560" t="b">
        <v>0</v>
      </c>
      <c r="C1560" t="b">
        <v>0</v>
      </c>
      <c r="D1560" s="1">
        <v>0</v>
      </c>
      <c r="E1560" s="1">
        <v>9338</v>
      </c>
      <c r="F1560" s="1">
        <v>10666</v>
      </c>
      <c r="G1560" s="1">
        <v>0</v>
      </c>
      <c r="H1560" s="1">
        <v>60627</v>
      </c>
      <c r="I1560" s="1">
        <v>5088</v>
      </c>
      <c r="J1560" s="3">
        <f t="shared" si="80"/>
        <v>60627</v>
      </c>
      <c r="K1560" s="1">
        <v>0</v>
      </c>
      <c r="L1560" s="1">
        <v>0</v>
      </c>
      <c r="M1560" s="1">
        <v>0</v>
      </c>
      <c r="O1560" s="14">
        <v>0</v>
      </c>
      <c r="P1560" s="17">
        <f t="shared" si="79"/>
        <v>60627</v>
      </c>
      <c r="Q1560" s="1">
        <v>0</v>
      </c>
      <c r="R1560" s="1">
        <v>0</v>
      </c>
      <c r="S1560" s="20">
        <v>41395</v>
      </c>
      <c r="T1560" s="1">
        <v>85719</v>
      </c>
      <c r="U1560" s="9">
        <v>60627</v>
      </c>
      <c r="V1560" s="9" t="s">
        <v>40</v>
      </c>
    </row>
    <row r="1561" spans="1:22" x14ac:dyDescent="0.25">
      <c r="A1561" s="10" t="s">
        <v>36</v>
      </c>
      <c r="B1561" t="b">
        <v>0</v>
      </c>
      <c r="C1561" t="b">
        <v>0</v>
      </c>
      <c r="D1561" s="1">
        <v>0</v>
      </c>
      <c r="E1561" s="1">
        <v>14239</v>
      </c>
      <c r="F1561" s="1">
        <v>2472</v>
      </c>
      <c r="G1561" s="1">
        <v>0</v>
      </c>
      <c r="H1561" s="1">
        <v>20547</v>
      </c>
      <c r="I1561" s="1">
        <v>2372</v>
      </c>
      <c r="J1561" s="3">
        <f t="shared" si="80"/>
        <v>20547</v>
      </c>
      <c r="K1561" s="1">
        <v>0</v>
      </c>
      <c r="L1561" s="1">
        <v>0</v>
      </c>
      <c r="M1561" s="1">
        <v>0</v>
      </c>
      <c r="O1561" s="14">
        <v>0</v>
      </c>
      <c r="P1561" s="17">
        <f t="shared" si="79"/>
        <v>20547</v>
      </c>
      <c r="Q1561" s="1">
        <v>0</v>
      </c>
      <c r="R1561" s="1">
        <v>0</v>
      </c>
      <c r="S1561" s="20">
        <v>41426</v>
      </c>
      <c r="T1561" s="1">
        <v>39630</v>
      </c>
      <c r="U1561" s="9">
        <v>20547</v>
      </c>
      <c r="V1561" s="9" t="s">
        <v>40</v>
      </c>
    </row>
    <row r="1562" spans="1:22" x14ac:dyDescent="0.25">
      <c r="A1562" s="10" t="s">
        <v>36</v>
      </c>
      <c r="B1562" t="b">
        <v>0</v>
      </c>
      <c r="C1562" t="b">
        <v>0</v>
      </c>
      <c r="D1562" s="1">
        <v>0</v>
      </c>
      <c r="E1562" s="1">
        <v>17322</v>
      </c>
      <c r="F1562" s="1">
        <v>1155</v>
      </c>
      <c r="G1562" s="1">
        <v>0</v>
      </c>
      <c r="H1562" s="1">
        <v>22484</v>
      </c>
      <c r="I1562" s="1">
        <v>197</v>
      </c>
      <c r="J1562" s="3">
        <f t="shared" si="80"/>
        <v>22484</v>
      </c>
      <c r="K1562" s="1">
        <v>0</v>
      </c>
      <c r="L1562" s="1">
        <v>0</v>
      </c>
      <c r="M1562" s="1">
        <v>0</v>
      </c>
      <c r="O1562" s="14">
        <v>0</v>
      </c>
      <c r="P1562" s="17">
        <f t="shared" si="79"/>
        <v>22484</v>
      </c>
      <c r="Q1562" s="1">
        <v>0</v>
      </c>
      <c r="R1562" s="1">
        <v>0</v>
      </c>
      <c r="S1562" s="20">
        <v>41456</v>
      </c>
      <c r="T1562" s="1">
        <v>41158</v>
      </c>
      <c r="U1562" s="9">
        <v>22484</v>
      </c>
      <c r="V1562" s="9" t="s">
        <v>40</v>
      </c>
    </row>
    <row r="1563" spans="1:22" x14ac:dyDescent="0.25">
      <c r="A1563" s="10" t="s">
        <v>36</v>
      </c>
      <c r="B1563" t="b">
        <v>0</v>
      </c>
      <c r="C1563" t="b">
        <v>0</v>
      </c>
      <c r="D1563" s="1">
        <v>0</v>
      </c>
      <c r="E1563" s="1">
        <v>15768</v>
      </c>
      <c r="F1563" s="1">
        <v>644</v>
      </c>
      <c r="G1563" s="1">
        <v>0</v>
      </c>
      <c r="H1563" s="1">
        <v>26904</v>
      </c>
      <c r="I1563" s="1">
        <v>542</v>
      </c>
      <c r="J1563" s="3">
        <f t="shared" si="80"/>
        <v>26904</v>
      </c>
      <c r="K1563" s="1">
        <v>0</v>
      </c>
      <c r="L1563" s="1">
        <v>0</v>
      </c>
      <c r="M1563" s="1">
        <v>0</v>
      </c>
      <c r="O1563" s="14">
        <v>0</v>
      </c>
      <c r="P1563" s="17">
        <f t="shared" si="79"/>
        <v>26904</v>
      </c>
      <c r="Q1563" s="1">
        <v>0</v>
      </c>
      <c r="R1563" s="1">
        <v>0</v>
      </c>
      <c r="S1563" s="20">
        <v>41487</v>
      </c>
      <c r="T1563" s="1">
        <v>43858</v>
      </c>
      <c r="U1563" s="9">
        <v>26904</v>
      </c>
      <c r="V1563" s="9" t="s">
        <v>40</v>
      </c>
    </row>
    <row r="1564" spans="1:22" x14ac:dyDescent="0.25">
      <c r="A1564" s="10" t="s">
        <v>36</v>
      </c>
      <c r="B1564" t="b">
        <v>0</v>
      </c>
      <c r="C1564" t="b">
        <v>0</v>
      </c>
      <c r="D1564" s="1">
        <v>0</v>
      </c>
      <c r="E1564" s="1">
        <v>10304</v>
      </c>
      <c r="F1564" s="1">
        <v>584</v>
      </c>
      <c r="G1564" s="1">
        <v>0</v>
      </c>
      <c r="H1564" s="1">
        <v>19143</v>
      </c>
      <c r="I1564" s="1">
        <v>472</v>
      </c>
      <c r="J1564" s="3">
        <f t="shared" si="80"/>
        <v>19143</v>
      </c>
      <c r="K1564" s="1">
        <v>0</v>
      </c>
      <c r="L1564" s="1">
        <v>0</v>
      </c>
      <c r="M1564" s="1">
        <v>0</v>
      </c>
      <c r="O1564" s="14">
        <v>0</v>
      </c>
      <c r="P1564" s="17">
        <f t="shared" si="79"/>
        <v>19143</v>
      </c>
      <c r="Q1564" s="1">
        <v>0</v>
      </c>
      <c r="R1564" s="1">
        <v>0</v>
      </c>
      <c r="S1564" s="20">
        <v>41518</v>
      </c>
      <c r="T1564" s="1">
        <v>30503</v>
      </c>
      <c r="U1564" s="9">
        <v>19143</v>
      </c>
      <c r="V1564" s="9" t="s">
        <v>40</v>
      </c>
    </row>
    <row r="1565" spans="1:22" x14ac:dyDescent="0.25">
      <c r="A1565" s="10" t="s">
        <v>36</v>
      </c>
      <c r="B1565" t="b">
        <v>0</v>
      </c>
      <c r="C1565" t="b">
        <v>0</v>
      </c>
      <c r="D1565" s="1">
        <v>0</v>
      </c>
      <c r="E1565" s="1">
        <v>9024</v>
      </c>
      <c r="F1565" s="1">
        <v>1272</v>
      </c>
      <c r="G1565" s="1">
        <v>0</v>
      </c>
      <c r="H1565" s="1">
        <v>16297</v>
      </c>
      <c r="I1565" s="1">
        <v>2499</v>
      </c>
      <c r="J1565" s="3">
        <f t="shared" si="80"/>
        <v>16297</v>
      </c>
      <c r="K1565" s="1">
        <v>0</v>
      </c>
      <c r="L1565" s="1">
        <v>0</v>
      </c>
      <c r="M1565" s="1">
        <v>0</v>
      </c>
      <c r="O1565" s="14">
        <v>0</v>
      </c>
      <c r="P1565" s="17">
        <f t="shared" si="79"/>
        <v>16297</v>
      </c>
      <c r="Q1565" s="1">
        <v>0</v>
      </c>
      <c r="R1565" s="1">
        <v>0</v>
      </c>
      <c r="S1565" s="20">
        <v>41548</v>
      </c>
      <c r="T1565" s="1">
        <v>29092</v>
      </c>
      <c r="U1565" s="9">
        <v>16297</v>
      </c>
      <c r="V1565" s="9" t="s">
        <v>40</v>
      </c>
    </row>
    <row r="1566" spans="1:22" x14ac:dyDescent="0.25">
      <c r="A1566" s="10" t="s">
        <v>36</v>
      </c>
      <c r="B1566" t="b">
        <v>0</v>
      </c>
      <c r="C1566" t="b">
        <v>0</v>
      </c>
      <c r="D1566" s="1">
        <v>0</v>
      </c>
      <c r="E1566" s="1">
        <v>11725</v>
      </c>
      <c r="F1566" s="1">
        <v>472</v>
      </c>
      <c r="G1566" s="1">
        <v>0</v>
      </c>
      <c r="H1566" s="1">
        <v>13121</v>
      </c>
      <c r="I1566" s="1">
        <v>2205</v>
      </c>
      <c r="J1566" s="3">
        <f t="shared" si="80"/>
        <v>13121</v>
      </c>
      <c r="K1566" s="1">
        <v>0</v>
      </c>
      <c r="L1566" s="1">
        <v>0</v>
      </c>
      <c r="M1566" s="1">
        <v>0</v>
      </c>
      <c r="O1566" s="14">
        <v>0</v>
      </c>
      <c r="P1566" s="17">
        <f t="shared" si="79"/>
        <v>13121</v>
      </c>
      <c r="Q1566" s="1">
        <v>0</v>
      </c>
      <c r="R1566" s="1">
        <v>0</v>
      </c>
      <c r="S1566" s="20">
        <v>41579</v>
      </c>
      <c r="T1566" s="1">
        <v>27523</v>
      </c>
      <c r="U1566" s="9">
        <v>13121</v>
      </c>
      <c r="V1566" s="9" t="s">
        <v>40</v>
      </c>
    </row>
    <row r="1567" spans="1:22" x14ac:dyDescent="0.25">
      <c r="A1567" s="10" t="s">
        <v>36</v>
      </c>
      <c r="B1567" t="b">
        <v>0</v>
      </c>
      <c r="C1567" t="b">
        <v>0</v>
      </c>
      <c r="D1567" s="1">
        <v>0</v>
      </c>
      <c r="E1567" s="1">
        <v>11464</v>
      </c>
      <c r="F1567" s="1">
        <v>640</v>
      </c>
      <c r="G1567" s="1">
        <v>0</v>
      </c>
      <c r="H1567" s="1">
        <v>38786</v>
      </c>
      <c r="I1567" s="1">
        <v>1641</v>
      </c>
      <c r="J1567" s="3">
        <f t="shared" si="80"/>
        <v>38786</v>
      </c>
      <c r="K1567" s="1">
        <v>0</v>
      </c>
      <c r="L1567" s="1">
        <v>0</v>
      </c>
      <c r="M1567" s="1">
        <v>0</v>
      </c>
      <c r="O1567" s="14">
        <v>0</v>
      </c>
      <c r="P1567" s="17">
        <f t="shared" si="79"/>
        <v>38786</v>
      </c>
      <c r="Q1567" s="1">
        <v>0</v>
      </c>
      <c r="R1567" s="1">
        <v>0</v>
      </c>
      <c r="S1567" s="20">
        <v>41609</v>
      </c>
      <c r="T1567" s="1">
        <v>52531</v>
      </c>
      <c r="U1567" s="9">
        <v>38786</v>
      </c>
      <c r="V1567" s="9" t="s">
        <v>40</v>
      </c>
    </row>
    <row r="1568" spans="1:22" x14ac:dyDescent="0.25">
      <c r="A1568" s="10" t="s">
        <v>36</v>
      </c>
      <c r="B1568" t="b">
        <v>0</v>
      </c>
      <c r="C1568" t="b">
        <v>0</v>
      </c>
      <c r="D1568" s="1">
        <v>0</v>
      </c>
      <c r="E1568" s="1">
        <v>9429</v>
      </c>
      <c r="F1568" s="1">
        <v>372</v>
      </c>
      <c r="G1568" s="1">
        <v>0</v>
      </c>
      <c r="H1568" s="1">
        <v>10014</v>
      </c>
      <c r="I1568" s="1">
        <v>1738</v>
      </c>
      <c r="J1568" s="3">
        <f t="shared" si="80"/>
        <v>10014</v>
      </c>
      <c r="K1568" s="1">
        <v>0</v>
      </c>
      <c r="L1568" s="1">
        <v>0</v>
      </c>
      <c r="M1568" s="1">
        <v>0</v>
      </c>
      <c r="O1568" s="14">
        <v>0</v>
      </c>
      <c r="P1568" s="17">
        <f t="shared" si="79"/>
        <v>10014</v>
      </c>
      <c r="Q1568" s="1">
        <v>0</v>
      </c>
      <c r="R1568" s="1">
        <v>0</v>
      </c>
      <c r="S1568" s="20">
        <v>41640</v>
      </c>
      <c r="T1568" s="1">
        <v>21553</v>
      </c>
      <c r="U1568" s="9">
        <v>10014</v>
      </c>
      <c r="V1568" s="9" t="s">
        <v>39</v>
      </c>
    </row>
    <row r="1569" spans="1:22" x14ac:dyDescent="0.25">
      <c r="A1569" s="10" t="s">
        <v>36</v>
      </c>
      <c r="B1569" t="b">
        <v>0</v>
      </c>
      <c r="C1569" t="b">
        <v>0</v>
      </c>
      <c r="D1569" s="1">
        <v>0</v>
      </c>
      <c r="E1569" s="1">
        <v>9440</v>
      </c>
      <c r="F1569" s="1">
        <v>932</v>
      </c>
      <c r="G1569" s="1">
        <v>0</v>
      </c>
      <c r="H1569" s="1">
        <v>9049</v>
      </c>
      <c r="I1569" s="1">
        <v>3370</v>
      </c>
      <c r="J1569" s="3">
        <f t="shared" si="80"/>
        <v>9049</v>
      </c>
      <c r="K1569" s="1">
        <v>0</v>
      </c>
      <c r="L1569" s="1">
        <v>0</v>
      </c>
      <c r="M1569" s="1">
        <v>0</v>
      </c>
      <c r="O1569" s="14">
        <v>0</v>
      </c>
      <c r="P1569" s="17">
        <f t="shared" si="79"/>
        <v>9049</v>
      </c>
      <c r="Q1569" s="1">
        <v>0</v>
      </c>
      <c r="R1569" s="1">
        <v>0</v>
      </c>
      <c r="S1569" s="20">
        <v>41671</v>
      </c>
      <c r="T1569" s="1">
        <v>22791</v>
      </c>
      <c r="U1569" s="9">
        <v>9049</v>
      </c>
      <c r="V1569" s="9" t="s">
        <v>39</v>
      </c>
    </row>
    <row r="1570" spans="1:22" x14ac:dyDescent="0.25">
      <c r="A1570" s="10" t="s">
        <v>36</v>
      </c>
      <c r="B1570" t="b">
        <v>0</v>
      </c>
      <c r="C1570" t="b">
        <v>0</v>
      </c>
      <c r="D1570" s="1">
        <v>0</v>
      </c>
      <c r="E1570" s="1">
        <v>11921</v>
      </c>
      <c r="F1570" s="1">
        <v>3092</v>
      </c>
      <c r="G1570" s="1">
        <v>0</v>
      </c>
      <c r="H1570" s="1">
        <v>13244</v>
      </c>
      <c r="I1570" s="1">
        <v>5082</v>
      </c>
      <c r="J1570" s="3">
        <f t="shared" si="80"/>
        <v>13244</v>
      </c>
      <c r="K1570" s="1">
        <v>0</v>
      </c>
      <c r="L1570" s="1">
        <v>0</v>
      </c>
      <c r="M1570" s="1">
        <v>0</v>
      </c>
      <c r="O1570" s="14">
        <v>0</v>
      </c>
      <c r="P1570" s="17">
        <f t="shared" si="79"/>
        <v>13244</v>
      </c>
      <c r="Q1570" s="1">
        <v>0</v>
      </c>
      <c r="R1570" s="1">
        <v>0</v>
      </c>
      <c r="S1570" s="20">
        <v>41699</v>
      </c>
      <c r="T1570" s="1">
        <v>33339</v>
      </c>
      <c r="U1570" s="9">
        <v>13244</v>
      </c>
      <c r="V1570" s="9" t="s">
        <v>39</v>
      </c>
    </row>
    <row r="1571" spans="1:22" x14ac:dyDescent="0.25">
      <c r="A1571" s="10" t="s">
        <v>36</v>
      </c>
      <c r="B1571" t="b">
        <v>0</v>
      </c>
      <c r="C1571" t="b">
        <v>0</v>
      </c>
      <c r="D1571" s="1">
        <v>0</v>
      </c>
      <c r="E1571" s="1">
        <v>12925</v>
      </c>
      <c r="F1571" s="1">
        <v>5747</v>
      </c>
      <c r="G1571" s="1">
        <v>0</v>
      </c>
      <c r="H1571" s="1">
        <v>23929</v>
      </c>
      <c r="I1571" s="1">
        <v>6744</v>
      </c>
      <c r="J1571" s="3">
        <f t="shared" si="80"/>
        <v>23929</v>
      </c>
      <c r="K1571" s="1">
        <v>0</v>
      </c>
      <c r="L1571" s="1">
        <v>0</v>
      </c>
      <c r="M1571" s="1">
        <v>0</v>
      </c>
      <c r="O1571" s="14">
        <v>0</v>
      </c>
      <c r="P1571" s="17">
        <f t="shared" si="79"/>
        <v>23929</v>
      </c>
      <c r="Q1571" s="1">
        <v>0</v>
      </c>
      <c r="R1571" s="1">
        <v>0</v>
      </c>
      <c r="S1571" s="20">
        <v>41730</v>
      </c>
      <c r="T1571" s="1">
        <v>49345</v>
      </c>
      <c r="U1571" s="9">
        <v>23929</v>
      </c>
      <c r="V1571" s="9" t="s">
        <v>39</v>
      </c>
    </row>
    <row r="1572" spans="1:22" x14ac:dyDescent="0.25">
      <c r="A1572" s="10" t="s">
        <v>36</v>
      </c>
      <c r="B1572" t="b">
        <v>0</v>
      </c>
      <c r="C1572" t="b">
        <v>0</v>
      </c>
      <c r="D1572" s="1">
        <v>0</v>
      </c>
      <c r="E1572" s="1">
        <v>10768</v>
      </c>
      <c r="F1572" s="1">
        <v>8348</v>
      </c>
      <c r="G1572" s="1">
        <v>0</v>
      </c>
      <c r="H1572" s="1">
        <v>11339</v>
      </c>
      <c r="I1572" s="1">
        <v>4243</v>
      </c>
      <c r="J1572" s="3">
        <f t="shared" si="80"/>
        <v>11339</v>
      </c>
      <c r="K1572" s="1">
        <v>0</v>
      </c>
      <c r="L1572" s="1">
        <v>0</v>
      </c>
      <c r="M1572" s="1">
        <v>0</v>
      </c>
      <c r="O1572" s="14">
        <v>0</v>
      </c>
      <c r="P1572" s="17">
        <f t="shared" si="79"/>
        <v>11339</v>
      </c>
      <c r="Q1572" s="1">
        <v>0</v>
      </c>
      <c r="R1572" s="1">
        <v>0</v>
      </c>
      <c r="S1572" s="20">
        <v>41760</v>
      </c>
      <c r="T1572" s="1">
        <v>34698</v>
      </c>
      <c r="U1572" s="9">
        <v>11339</v>
      </c>
      <c r="V1572" s="9" t="s">
        <v>39</v>
      </c>
    </row>
    <row r="1573" spans="1:22" x14ac:dyDescent="0.25">
      <c r="A1573" s="10" t="s">
        <v>36</v>
      </c>
      <c r="B1573" t="b">
        <v>0</v>
      </c>
      <c r="C1573" t="b">
        <v>0</v>
      </c>
      <c r="D1573" s="1">
        <v>0</v>
      </c>
      <c r="E1573" s="1">
        <v>14226</v>
      </c>
      <c r="F1573" s="1">
        <v>2561</v>
      </c>
      <c r="G1573" s="1">
        <v>0</v>
      </c>
      <c r="H1573" s="1">
        <v>12231</v>
      </c>
      <c r="I1573" s="1">
        <v>2133</v>
      </c>
      <c r="J1573" s="3">
        <f t="shared" si="80"/>
        <v>12231</v>
      </c>
      <c r="K1573" s="1">
        <v>0</v>
      </c>
      <c r="L1573" s="1">
        <v>0</v>
      </c>
      <c r="M1573" s="1">
        <v>0</v>
      </c>
      <c r="O1573" s="14">
        <v>0</v>
      </c>
      <c r="P1573" s="17">
        <f t="shared" si="79"/>
        <v>12231</v>
      </c>
      <c r="Q1573" s="1">
        <v>0</v>
      </c>
      <c r="R1573" s="1">
        <v>0</v>
      </c>
      <c r="S1573" s="20">
        <v>41791</v>
      </c>
      <c r="T1573" s="1">
        <v>31151</v>
      </c>
      <c r="U1573" s="9">
        <v>12231</v>
      </c>
      <c r="V1573" s="9" t="s">
        <v>39</v>
      </c>
    </row>
    <row r="1574" spans="1:22" x14ac:dyDescent="0.25">
      <c r="A1574" s="10" t="s">
        <v>36</v>
      </c>
      <c r="B1574" t="b">
        <v>0</v>
      </c>
      <c r="C1574" t="b">
        <v>0</v>
      </c>
      <c r="D1574" s="1">
        <v>0</v>
      </c>
      <c r="E1574" s="1">
        <v>18304</v>
      </c>
      <c r="F1574" s="1">
        <v>1242</v>
      </c>
      <c r="G1574" s="1">
        <v>0</v>
      </c>
      <c r="H1574" s="1">
        <v>22032</v>
      </c>
      <c r="I1574" s="1">
        <v>145</v>
      </c>
      <c r="J1574" s="3">
        <f t="shared" si="80"/>
        <v>22032</v>
      </c>
      <c r="K1574" s="1">
        <v>0</v>
      </c>
      <c r="L1574" s="1">
        <v>0</v>
      </c>
      <c r="M1574" s="1">
        <v>0</v>
      </c>
      <c r="O1574" s="14">
        <v>0</v>
      </c>
      <c r="P1574" s="17">
        <f t="shared" si="79"/>
        <v>22032</v>
      </c>
      <c r="Q1574" s="1">
        <v>0</v>
      </c>
      <c r="R1574" s="1">
        <v>0</v>
      </c>
      <c r="S1574" s="20">
        <v>41821</v>
      </c>
      <c r="T1574" s="1">
        <v>41723</v>
      </c>
      <c r="U1574" s="9">
        <v>22032</v>
      </c>
      <c r="V1574" s="9" t="s">
        <v>39</v>
      </c>
    </row>
    <row r="1575" spans="1:22" x14ac:dyDescent="0.25">
      <c r="A1575" s="10" t="s">
        <v>36</v>
      </c>
      <c r="B1575" t="b">
        <v>0</v>
      </c>
      <c r="C1575" t="b">
        <v>0</v>
      </c>
      <c r="D1575" s="1">
        <v>0</v>
      </c>
      <c r="E1575" s="1">
        <v>16826</v>
      </c>
      <c r="F1575" s="1">
        <v>606</v>
      </c>
      <c r="G1575" s="1">
        <v>0</v>
      </c>
      <c r="H1575" s="1">
        <v>27263</v>
      </c>
      <c r="I1575" s="1">
        <v>804</v>
      </c>
      <c r="J1575" s="3">
        <f t="shared" si="80"/>
        <v>27263</v>
      </c>
      <c r="K1575" s="1">
        <v>0</v>
      </c>
      <c r="L1575" s="1">
        <v>0</v>
      </c>
      <c r="M1575" s="1">
        <v>0</v>
      </c>
      <c r="O1575" s="14">
        <v>0</v>
      </c>
      <c r="P1575" s="17">
        <f t="shared" si="79"/>
        <v>27263</v>
      </c>
      <c r="Q1575" s="1">
        <v>0</v>
      </c>
      <c r="R1575" s="1">
        <v>0</v>
      </c>
      <c r="S1575" s="20">
        <v>41852</v>
      </c>
      <c r="T1575" s="1">
        <v>45499</v>
      </c>
      <c r="U1575" s="9">
        <v>27263</v>
      </c>
      <c r="V1575" s="9" t="s">
        <v>39</v>
      </c>
    </row>
    <row r="1576" spans="1:22" x14ac:dyDescent="0.25">
      <c r="A1576" s="10" t="s">
        <v>36</v>
      </c>
      <c r="B1576" t="b">
        <v>0</v>
      </c>
      <c r="C1576" t="b">
        <v>0</v>
      </c>
      <c r="D1576" s="1">
        <v>0</v>
      </c>
      <c r="E1576" s="1">
        <v>9908</v>
      </c>
      <c r="F1576" s="1">
        <v>717</v>
      </c>
      <c r="G1576" s="1">
        <v>0</v>
      </c>
      <c r="H1576" s="1">
        <v>18641</v>
      </c>
      <c r="I1576" s="1">
        <v>719</v>
      </c>
      <c r="J1576" s="3">
        <f t="shared" si="80"/>
        <v>18641</v>
      </c>
      <c r="K1576" s="1">
        <v>0</v>
      </c>
      <c r="L1576" s="1">
        <v>0</v>
      </c>
      <c r="M1576" s="1">
        <v>0</v>
      </c>
      <c r="O1576" s="14">
        <v>0</v>
      </c>
      <c r="P1576" s="17">
        <f t="shared" si="79"/>
        <v>18641</v>
      </c>
      <c r="Q1576" s="1">
        <v>0</v>
      </c>
      <c r="R1576" s="1">
        <v>0</v>
      </c>
      <c r="S1576" s="20">
        <v>41883</v>
      </c>
      <c r="T1576" s="1">
        <v>29985</v>
      </c>
      <c r="U1576" s="9">
        <v>18641</v>
      </c>
      <c r="V1576" s="9" t="s">
        <v>39</v>
      </c>
    </row>
    <row r="1577" spans="1:22" x14ac:dyDescent="0.25">
      <c r="A1577" s="10" t="s">
        <v>36</v>
      </c>
      <c r="B1577" t="b">
        <v>0</v>
      </c>
      <c r="C1577" t="b">
        <v>0</v>
      </c>
      <c r="D1577" s="1">
        <v>0</v>
      </c>
      <c r="E1577" s="1">
        <v>8908</v>
      </c>
      <c r="F1577" s="1">
        <v>761</v>
      </c>
      <c r="G1577" s="1">
        <v>0</v>
      </c>
      <c r="H1577" s="1">
        <v>8939</v>
      </c>
      <c r="I1577" s="1">
        <v>1640</v>
      </c>
      <c r="J1577" s="3">
        <f t="shared" si="80"/>
        <v>8939</v>
      </c>
      <c r="K1577" s="1">
        <v>0</v>
      </c>
      <c r="L1577" s="1">
        <v>0</v>
      </c>
      <c r="M1577" s="1">
        <v>0</v>
      </c>
      <c r="O1577" s="14">
        <v>0</v>
      </c>
      <c r="P1577" s="17">
        <f t="shared" si="79"/>
        <v>8939</v>
      </c>
      <c r="Q1577" s="1">
        <v>0</v>
      </c>
      <c r="R1577" s="1">
        <v>0</v>
      </c>
      <c r="S1577" s="20">
        <v>41913</v>
      </c>
      <c r="T1577" s="1">
        <v>20248</v>
      </c>
      <c r="U1577" s="9">
        <v>8939</v>
      </c>
      <c r="V1577" s="9" t="s">
        <v>39</v>
      </c>
    </row>
    <row r="1578" spans="1:22" x14ac:dyDescent="0.25">
      <c r="A1578" s="10" t="s">
        <v>36</v>
      </c>
      <c r="B1578" t="b">
        <v>0</v>
      </c>
      <c r="C1578" t="b">
        <v>0</v>
      </c>
      <c r="D1578" s="1">
        <v>0</v>
      </c>
      <c r="E1578" s="1">
        <v>12746</v>
      </c>
      <c r="F1578" s="1">
        <v>670</v>
      </c>
      <c r="G1578" s="1">
        <v>0</v>
      </c>
      <c r="H1578" s="1">
        <v>16208</v>
      </c>
      <c r="I1578" s="1">
        <v>979</v>
      </c>
      <c r="J1578" s="3">
        <f t="shared" si="80"/>
        <v>16208</v>
      </c>
      <c r="K1578" s="1">
        <v>0</v>
      </c>
      <c r="L1578" s="1">
        <v>0</v>
      </c>
      <c r="M1578" s="1">
        <v>0</v>
      </c>
      <c r="O1578" s="14">
        <v>0</v>
      </c>
      <c r="P1578" s="17">
        <f t="shared" si="79"/>
        <v>16208</v>
      </c>
      <c r="Q1578" s="1">
        <v>0</v>
      </c>
      <c r="R1578" s="1">
        <v>0</v>
      </c>
      <c r="S1578" s="20">
        <v>41944</v>
      </c>
      <c r="T1578" s="1">
        <v>30603</v>
      </c>
      <c r="U1578" s="9">
        <v>16208</v>
      </c>
      <c r="V1578" s="9" t="s">
        <v>39</v>
      </c>
    </row>
    <row r="1579" spans="1:22" x14ac:dyDescent="0.25">
      <c r="A1579" s="10" t="s">
        <v>36</v>
      </c>
      <c r="B1579" t="b">
        <v>0</v>
      </c>
      <c r="C1579" t="b">
        <v>0</v>
      </c>
      <c r="D1579" s="1">
        <v>0</v>
      </c>
      <c r="E1579" s="1">
        <v>12840</v>
      </c>
      <c r="F1579" s="1">
        <v>356</v>
      </c>
      <c r="G1579" s="1">
        <v>0</v>
      </c>
      <c r="H1579" s="1">
        <v>7282</v>
      </c>
      <c r="I1579" s="1">
        <v>913</v>
      </c>
      <c r="J1579" s="3">
        <f t="shared" si="80"/>
        <v>7282</v>
      </c>
      <c r="K1579" s="1">
        <v>0</v>
      </c>
      <c r="L1579" s="1">
        <v>0</v>
      </c>
      <c r="M1579" s="1">
        <v>0</v>
      </c>
      <c r="O1579" s="14">
        <v>0</v>
      </c>
      <c r="P1579" s="17">
        <f t="shared" si="79"/>
        <v>7282</v>
      </c>
      <c r="Q1579" s="1">
        <v>0</v>
      </c>
      <c r="R1579" s="1">
        <v>0</v>
      </c>
      <c r="S1579" s="20">
        <v>41974</v>
      </c>
      <c r="T1579" s="1">
        <v>21391</v>
      </c>
      <c r="U1579" s="9">
        <v>7282</v>
      </c>
      <c r="V1579" s="9" t="s">
        <v>39</v>
      </c>
    </row>
    <row r="1580" spans="1:22" x14ac:dyDescent="0.25">
      <c r="A1580" s="10" t="s">
        <v>36</v>
      </c>
      <c r="B1580" t="b">
        <v>0</v>
      </c>
      <c r="C1580" t="b">
        <v>0</v>
      </c>
      <c r="D1580" s="1">
        <v>0</v>
      </c>
      <c r="E1580" s="1">
        <v>11218</v>
      </c>
      <c r="F1580" s="1">
        <v>279</v>
      </c>
      <c r="G1580" s="1">
        <v>0</v>
      </c>
      <c r="H1580" s="1">
        <v>10159</v>
      </c>
      <c r="I1580" s="1">
        <v>1694</v>
      </c>
      <c r="J1580" s="3">
        <f t="shared" si="80"/>
        <v>10159</v>
      </c>
      <c r="K1580" s="1">
        <v>0</v>
      </c>
      <c r="L1580" s="1">
        <v>0</v>
      </c>
      <c r="M1580" s="1">
        <v>0</v>
      </c>
      <c r="O1580" s="14">
        <v>0</v>
      </c>
      <c r="P1580" s="17">
        <f t="shared" si="79"/>
        <v>10159</v>
      </c>
      <c r="Q1580" s="1">
        <v>0</v>
      </c>
      <c r="R1580" s="1">
        <v>0</v>
      </c>
      <c r="S1580" s="20">
        <v>42005</v>
      </c>
      <c r="T1580" s="1">
        <v>23350</v>
      </c>
      <c r="U1580" s="9">
        <v>10159</v>
      </c>
      <c r="V1580" s="9" t="s">
        <v>39</v>
      </c>
    </row>
    <row r="1581" spans="1:22" x14ac:dyDescent="0.25">
      <c r="A1581" s="10" t="s">
        <v>36</v>
      </c>
      <c r="B1581" t="b">
        <v>0</v>
      </c>
      <c r="C1581" t="b">
        <v>0</v>
      </c>
      <c r="D1581" s="1">
        <v>0</v>
      </c>
      <c r="E1581" s="1">
        <v>10292</v>
      </c>
      <c r="F1581" s="1">
        <v>1270</v>
      </c>
      <c r="G1581" s="1">
        <v>0</v>
      </c>
      <c r="H1581" s="1">
        <v>20312</v>
      </c>
      <c r="I1581" s="1">
        <v>3047</v>
      </c>
      <c r="J1581" s="3">
        <f t="shared" si="80"/>
        <v>20312</v>
      </c>
      <c r="K1581" s="1">
        <v>0</v>
      </c>
      <c r="L1581" s="1">
        <v>0</v>
      </c>
      <c r="M1581" s="1">
        <v>0</v>
      </c>
      <c r="O1581" s="14">
        <v>0</v>
      </c>
      <c r="P1581" s="17">
        <f t="shared" si="79"/>
        <v>20312</v>
      </c>
      <c r="Q1581" s="1">
        <v>0</v>
      </c>
      <c r="R1581" s="1">
        <v>0</v>
      </c>
      <c r="S1581" s="20">
        <v>42036</v>
      </c>
      <c r="T1581" s="1">
        <v>34921</v>
      </c>
      <c r="U1581" s="9">
        <v>20312</v>
      </c>
      <c r="V1581" s="9" t="s">
        <v>39</v>
      </c>
    </row>
    <row r="1582" spans="1:22" x14ac:dyDescent="0.25">
      <c r="A1582" s="10" t="s">
        <v>36</v>
      </c>
      <c r="B1582" t="b">
        <v>0</v>
      </c>
      <c r="C1582" t="b">
        <v>0</v>
      </c>
      <c r="D1582" s="1">
        <v>0</v>
      </c>
      <c r="E1582" s="1">
        <v>12044</v>
      </c>
      <c r="F1582" s="1">
        <v>3750</v>
      </c>
      <c r="G1582" s="1">
        <v>0</v>
      </c>
      <c r="H1582" s="1">
        <v>15966</v>
      </c>
      <c r="I1582" s="1">
        <v>4657</v>
      </c>
      <c r="J1582" s="3">
        <f t="shared" si="80"/>
        <v>15966</v>
      </c>
      <c r="K1582" s="1">
        <v>0</v>
      </c>
      <c r="L1582" s="1">
        <v>0</v>
      </c>
      <c r="M1582" s="1">
        <v>0</v>
      </c>
      <c r="O1582" s="14">
        <v>0</v>
      </c>
      <c r="P1582" s="17">
        <f t="shared" si="79"/>
        <v>15966</v>
      </c>
      <c r="Q1582" s="1">
        <v>0</v>
      </c>
      <c r="R1582" s="1">
        <v>0</v>
      </c>
      <c r="S1582" s="20">
        <v>42064</v>
      </c>
      <c r="T1582" s="1">
        <v>36417</v>
      </c>
      <c r="U1582" s="9">
        <v>15966</v>
      </c>
      <c r="V1582" s="9" t="s">
        <v>39</v>
      </c>
    </row>
    <row r="1583" spans="1:22" x14ac:dyDescent="0.25">
      <c r="A1583" s="10" t="s">
        <v>36</v>
      </c>
      <c r="B1583" t="b">
        <v>0</v>
      </c>
      <c r="C1583" t="b">
        <v>0</v>
      </c>
      <c r="D1583" s="1">
        <v>0</v>
      </c>
      <c r="E1583" s="1">
        <v>12961</v>
      </c>
      <c r="F1583" s="1">
        <v>6091</v>
      </c>
      <c r="G1583" s="1">
        <v>0</v>
      </c>
      <c r="H1583" s="1">
        <v>25896</v>
      </c>
      <c r="I1583" s="1">
        <v>6127</v>
      </c>
      <c r="J1583" s="3">
        <f t="shared" si="80"/>
        <v>25896</v>
      </c>
      <c r="K1583" s="1">
        <v>0</v>
      </c>
      <c r="L1583" s="1">
        <v>0</v>
      </c>
      <c r="M1583" s="1">
        <v>0</v>
      </c>
      <c r="O1583" s="14">
        <v>0</v>
      </c>
      <c r="P1583" s="17">
        <f t="shared" si="79"/>
        <v>25896</v>
      </c>
      <c r="Q1583" s="1">
        <v>0</v>
      </c>
      <c r="R1583" s="1">
        <v>0</v>
      </c>
      <c r="S1583" s="20">
        <v>42095</v>
      </c>
      <c r="T1583" s="1">
        <v>51075</v>
      </c>
      <c r="U1583" s="9">
        <v>25896</v>
      </c>
      <c r="V1583" s="9" t="s">
        <v>39</v>
      </c>
    </row>
    <row r="1584" spans="1:22" x14ac:dyDescent="0.25">
      <c r="A1584" s="10" t="s">
        <v>36</v>
      </c>
      <c r="B1584" t="b">
        <v>0</v>
      </c>
      <c r="C1584" t="b">
        <v>0</v>
      </c>
      <c r="D1584" s="1">
        <v>0</v>
      </c>
      <c r="E1584" s="1">
        <v>12306</v>
      </c>
      <c r="F1584" s="1">
        <v>8722</v>
      </c>
      <c r="G1584" s="1">
        <v>0</v>
      </c>
      <c r="H1584" s="1">
        <v>31864</v>
      </c>
      <c r="I1584" s="1">
        <v>4414</v>
      </c>
      <c r="J1584" s="3">
        <f t="shared" si="80"/>
        <v>31864</v>
      </c>
      <c r="K1584" s="1">
        <v>0</v>
      </c>
      <c r="L1584" s="1">
        <v>0</v>
      </c>
      <c r="M1584" s="1">
        <v>0</v>
      </c>
      <c r="O1584" s="14">
        <v>0</v>
      </c>
      <c r="P1584" s="17">
        <f t="shared" si="79"/>
        <v>31864</v>
      </c>
      <c r="Q1584" s="1">
        <v>0</v>
      </c>
      <c r="R1584" s="1">
        <v>0</v>
      </c>
      <c r="S1584" s="20">
        <v>42125</v>
      </c>
      <c r="T1584" s="1">
        <v>57306</v>
      </c>
      <c r="U1584" s="9">
        <v>31864</v>
      </c>
      <c r="V1584" s="9" t="s">
        <v>39</v>
      </c>
    </row>
    <row r="1585" spans="1:22" x14ac:dyDescent="0.25">
      <c r="A1585" s="10" t="s">
        <v>36</v>
      </c>
      <c r="B1585" t="b">
        <v>0</v>
      </c>
      <c r="C1585" t="b">
        <v>0</v>
      </c>
      <c r="D1585" s="1">
        <v>0</v>
      </c>
      <c r="E1585" s="1">
        <v>14231</v>
      </c>
      <c r="F1585" s="1">
        <v>2054</v>
      </c>
      <c r="G1585" s="1">
        <v>0</v>
      </c>
      <c r="H1585" s="1">
        <v>30014</v>
      </c>
      <c r="I1585" s="1">
        <v>3183</v>
      </c>
      <c r="J1585" s="3">
        <f t="shared" si="80"/>
        <v>30014</v>
      </c>
      <c r="K1585" s="1">
        <v>0</v>
      </c>
      <c r="L1585" s="1">
        <v>0</v>
      </c>
      <c r="M1585" s="1">
        <v>0</v>
      </c>
      <c r="O1585" s="14">
        <v>0</v>
      </c>
      <c r="P1585" s="17">
        <f t="shared" si="79"/>
        <v>30014</v>
      </c>
      <c r="Q1585" s="1">
        <v>0</v>
      </c>
      <c r="R1585" s="1">
        <v>0</v>
      </c>
      <c r="S1585" s="20">
        <v>42156</v>
      </c>
      <c r="T1585" s="1">
        <v>49482</v>
      </c>
      <c r="U1585" s="9">
        <v>30014</v>
      </c>
      <c r="V1585" s="9" t="s">
        <v>39</v>
      </c>
    </row>
    <row r="1586" spans="1:22" x14ac:dyDescent="0.25">
      <c r="A1586" s="10" t="s">
        <v>36</v>
      </c>
      <c r="B1586" t="b">
        <v>0</v>
      </c>
      <c r="C1586" t="b">
        <v>0</v>
      </c>
      <c r="D1586" s="1">
        <v>0</v>
      </c>
      <c r="E1586" s="1">
        <v>19427</v>
      </c>
      <c r="F1586" s="1">
        <v>1573</v>
      </c>
      <c r="G1586" s="1">
        <v>0</v>
      </c>
      <c r="H1586" s="1">
        <v>27230</v>
      </c>
      <c r="I1586" s="1">
        <v>0</v>
      </c>
      <c r="J1586" s="3">
        <f t="shared" si="80"/>
        <v>27230</v>
      </c>
      <c r="K1586" s="1">
        <v>0</v>
      </c>
      <c r="L1586" s="1">
        <v>0</v>
      </c>
      <c r="M1586" s="1">
        <v>0</v>
      </c>
      <c r="O1586" s="14">
        <v>0</v>
      </c>
      <c r="P1586" s="17">
        <f t="shared" si="79"/>
        <v>27230</v>
      </c>
      <c r="Q1586" s="1">
        <v>0</v>
      </c>
      <c r="R1586" s="1">
        <v>0</v>
      </c>
      <c r="S1586" s="20">
        <v>42186</v>
      </c>
      <c r="T1586" s="1">
        <v>48230</v>
      </c>
      <c r="U1586" s="9">
        <v>27230</v>
      </c>
      <c r="V1586" s="9" t="s">
        <v>39</v>
      </c>
    </row>
    <row r="1587" spans="1:22" x14ac:dyDescent="0.25">
      <c r="A1587" s="10" t="s">
        <v>36</v>
      </c>
      <c r="B1587" t="b">
        <v>0</v>
      </c>
      <c r="C1587" t="b">
        <v>0</v>
      </c>
      <c r="D1587" s="1">
        <v>0</v>
      </c>
      <c r="E1587" s="1">
        <v>17982</v>
      </c>
      <c r="F1587" s="1">
        <v>495</v>
      </c>
      <c r="G1587" s="1">
        <v>0</v>
      </c>
      <c r="H1587" s="1">
        <v>28670</v>
      </c>
      <c r="I1587" s="1">
        <v>0</v>
      </c>
      <c r="J1587" s="3">
        <f t="shared" si="80"/>
        <v>28670</v>
      </c>
      <c r="K1587" s="1">
        <v>0</v>
      </c>
      <c r="L1587" s="1">
        <v>0</v>
      </c>
      <c r="M1587" s="1">
        <v>0</v>
      </c>
      <c r="O1587" s="14">
        <v>0</v>
      </c>
      <c r="P1587" s="17">
        <f t="shared" si="79"/>
        <v>28670</v>
      </c>
      <c r="Q1587" s="1">
        <v>0</v>
      </c>
      <c r="R1587" s="1">
        <v>0</v>
      </c>
      <c r="S1587" s="20">
        <v>42217</v>
      </c>
      <c r="T1587" s="1">
        <v>47147</v>
      </c>
      <c r="U1587" s="9">
        <v>28670</v>
      </c>
      <c r="V1587" s="9" t="s">
        <v>39</v>
      </c>
    </row>
    <row r="1588" spans="1:22" x14ac:dyDescent="0.25">
      <c r="A1588" s="10" t="s">
        <v>36</v>
      </c>
      <c r="B1588" t="b">
        <v>0</v>
      </c>
      <c r="C1588" t="b">
        <v>0</v>
      </c>
      <c r="D1588" s="1">
        <v>0</v>
      </c>
      <c r="E1588" s="1">
        <v>11505</v>
      </c>
      <c r="F1588" s="1">
        <v>1120</v>
      </c>
      <c r="G1588" s="1">
        <v>0</v>
      </c>
      <c r="H1588" s="1">
        <v>98305</v>
      </c>
      <c r="I1588" s="1">
        <v>404</v>
      </c>
      <c r="J1588" s="3">
        <f t="shared" si="80"/>
        <v>98305</v>
      </c>
      <c r="K1588" s="1">
        <v>0</v>
      </c>
      <c r="L1588" s="1">
        <v>0</v>
      </c>
      <c r="M1588" s="1">
        <v>0</v>
      </c>
      <c r="O1588" s="14">
        <v>0</v>
      </c>
      <c r="P1588" s="17">
        <f t="shared" si="79"/>
        <v>98305</v>
      </c>
      <c r="Q1588" s="1">
        <v>0</v>
      </c>
      <c r="R1588" s="1">
        <v>0</v>
      </c>
      <c r="S1588" s="20">
        <v>42248</v>
      </c>
      <c r="T1588" s="1">
        <v>111334</v>
      </c>
      <c r="U1588" s="9">
        <v>98305</v>
      </c>
      <c r="V1588" s="9" t="s">
        <v>39</v>
      </c>
    </row>
    <row r="1589" spans="1:22" x14ac:dyDescent="0.25">
      <c r="A1589" s="10" t="s">
        <v>36</v>
      </c>
      <c r="B1589" t="b">
        <v>0</v>
      </c>
      <c r="C1589" t="b">
        <v>0</v>
      </c>
      <c r="D1589" s="1">
        <v>0</v>
      </c>
      <c r="E1589" s="1">
        <v>9542</v>
      </c>
      <c r="F1589" s="1">
        <v>1167</v>
      </c>
      <c r="G1589" s="1">
        <v>0</v>
      </c>
      <c r="H1589" s="1">
        <v>23050</v>
      </c>
      <c r="I1589" s="1">
        <v>3600</v>
      </c>
      <c r="J1589" s="3">
        <f t="shared" si="80"/>
        <v>23050</v>
      </c>
      <c r="K1589" s="1">
        <v>0</v>
      </c>
      <c r="L1589" s="1">
        <v>0</v>
      </c>
      <c r="M1589" s="1">
        <v>0</v>
      </c>
      <c r="O1589" s="14">
        <v>0</v>
      </c>
      <c r="P1589" s="17">
        <f t="shared" si="79"/>
        <v>23050</v>
      </c>
      <c r="Q1589" s="1">
        <v>0</v>
      </c>
      <c r="R1589" s="1">
        <v>0</v>
      </c>
      <c r="S1589" s="20">
        <v>42278</v>
      </c>
      <c r="T1589" s="1">
        <v>37359</v>
      </c>
      <c r="U1589" s="9">
        <v>23050</v>
      </c>
      <c r="V1589" s="9" t="s">
        <v>39</v>
      </c>
    </row>
    <row r="1590" spans="1:22" x14ac:dyDescent="0.25">
      <c r="A1590" s="10" t="s">
        <v>36</v>
      </c>
      <c r="B1590" t="b">
        <v>0</v>
      </c>
      <c r="C1590" t="b">
        <v>0</v>
      </c>
      <c r="D1590" s="1">
        <v>0</v>
      </c>
      <c r="E1590" s="1">
        <v>12237</v>
      </c>
      <c r="F1590" s="1">
        <v>311</v>
      </c>
      <c r="G1590" s="1">
        <v>0</v>
      </c>
      <c r="H1590" s="1">
        <v>19952</v>
      </c>
      <c r="I1590" s="1">
        <v>1817</v>
      </c>
      <c r="J1590" s="3">
        <f t="shared" si="80"/>
        <v>19952</v>
      </c>
      <c r="K1590" s="1">
        <v>0</v>
      </c>
      <c r="L1590" s="1">
        <v>0</v>
      </c>
      <c r="M1590" s="1">
        <v>0</v>
      </c>
      <c r="O1590" s="14">
        <v>0</v>
      </c>
      <c r="P1590" s="17">
        <f t="shared" si="79"/>
        <v>19952</v>
      </c>
      <c r="Q1590" s="1">
        <v>0</v>
      </c>
      <c r="R1590" s="1">
        <v>0</v>
      </c>
      <c r="S1590" s="20">
        <v>42309</v>
      </c>
      <c r="T1590" s="1">
        <v>34317</v>
      </c>
      <c r="U1590" s="9">
        <v>19952</v>
      </c>
      <c r="V1590" s="9" t="s">
        <v>39</v>
      </c>
    </row>
    <row r="1591" spans="1:22" x14ac:dyDescent="0.25">
      <c r="A1591" s="10" t="s">
        <v>36</v>
      </c>
      <c r="B1591" t="b">
        <v>0</v>
      </c>
      <c r="C1591" t="b">
        <v>0</v>
      </c>
      <c r="D1591" s="1">
        <v>0</v>
      </c>
      <c r="E1591" s="1">
        <v>14280</v>
      </c>
      <c r="F1591" s="1">
        <v>633</v>
      </c>
      <c r="G1591" s="1">
        <v>0</v>
      </c>
      <c r="H1591" s="1">
        <v>21267</v>
      </c>
      <c r="I1591" s="1">
        <v>19752</v>
      </c>
      <c r="J1591" s="3">
        <f t="shared" si="80"/>
        <v>21267</v>
      </c>
      <c r="K1591" s="1">
        <v>0</v>
      </c>
      <c r="L1591" s="1">
        <v>0</v>
      </c>
      <c r="M1591" s="1">
        <v>0</v>
      </c>
      <c r="O1591" s="14">
        <v>0</v>
      </c>
      <c r="P1591" s="17">
        <f t="shared" si="79"/>
        <v>21267</v>
      </c>
      <c r="Q1591" s="1">
        <v>0</v>
      </c>
      <c r="R1591" s="1">
        <v>0</v>
      </c>
      <c r="S1591" s="20">
        <v>42339</v>
      </c>
      <c r="T1591" s="1">
        <v>55932</v>
      </c>
      <c r="U1591" s="9">
        <v>21267</v>
      </c>
      <c r="V1591" s="9" t="s">
        <v>39</v>
      </c>
    </row>
    <row r="1592" spans="1:22" x14ac:dyDescent="0.25">
      <c r="A1592" s="10" t="s">
        <v>36</v>
      </c>
      <c r="B1592" t="b">
        <v>0</v>
      </c>
      <c r="C1592" t="b">
        <v>0</v>
      </c>
      <c r="D1592" s="1">
        <v>0</v>
      </c>
      <c r="E1592" s="1">
        <v>11656</v>
      </c>
      <c r="F1592" s="1">
        <v>726</v>
      </c>
      <c r="G1592" s="1">
        <v>0</v>
      </c>
      <c r="H1592" s="1">
        <v>10261</v>
      </c>
      <c r="I1592" s="1">
        <v>731</v>
      </c>
      <c r="J1592" s="3">
        <f t="shared" si="80"/>
        <v>10261</v>
      </c>
      <c r="K1592" s="1">
        <v>0</v>
      </c>
      <c r="L1592" s="1">
        <v>0</v>
      </c>
      <c r="M1592" s="1">
        <v>0</v>
      </c>
      <c r="O1592" s="14">
        <v>0</v>
      </c>
      <c r="P1592" s="17">
        <f t="shared" si="79"/>
        <v>10261</v>
      </c>
      <c r="Q1592" s="1">
        <v>0</v>
      </c>
      <c r="R1592" s="1">
        <v>0</v>
      </c>
      <c r="S1592" s="20">
        <v>42370</v>
      </c>
      <c r="T1592" s="1">
        <v>23374</v>
      </c>
      <c r="U1592" s="9">
        <v>10261</v>
      </c>
      <c r="V1592" s="9" t="s">
        <v>46</v>
      </c>
    </row>
    <row r="1593" spans="1:22" x14ac:dyDescent="0.25">
      <c r="A1593" s="10" t="s">
        <v>36</v>
      </c>
      <c r="B1593" t="b">
        <v>0</v>
      </c>
      <c r="C1593" t="b">
        <v>0</v>
      </c>
      <c r="D1593" s="1">
        <v>0</v>
      </c>
      <c r="E1593" s="1">
        <v>10419</v>
      </c>
      <c r="F1593" s="1">
        <v>1235</v>
      </c>
      <c r="G1593" s="1">
        <v>0</v>
      </c>
      <c r="H1593" s="1">
        <v>23536</v>
      </c>
      <c r="I1593" s="1">
        <v>1517</v>
      </c>
      <c r="J1593" s="3">
        <f t="shared" si="80"/>
        <v>23536</v>
      </c>
      <c r="K1593" s="1">
        <v>0</v>
      </c>
      <c r="L1593" s="1">
        <v>0</v>
      </c>
      <c r="M1593" s="1">
        <v>0</v>
      </c>
      <c r="O1593" s="14">
        <v>0</v>
      </c>
      <c r="P1593" s="17">
        <f t="shared" si="79"/>
        <v>23536</v>
      </c>
      <c r="Q1593" s="1">
        <v>0</v>
      </c>
      <c r="R1593" s="1">
        <v>0</v>
      </c>
      <c r="S1593" s="20">
        <v>42401</v>
      </c>
      <c r="T1593" s="1">
        <v>36707</v>
      </c>
      <c r="U1593" s="9">
        <v>23536</v>
      </c>
      <c r="V1593" s="9" t="s">
        <v>46</v>
      </c>
    </row>
    <row r="1594" spans="1:22" x14ac:dyDescent="0.25">
      <c r="A1594" s="10" t="s">
        <v>36</v>
      </c>
      <c r="B1594" t="b">
        <v>0</v>
      </c>
      <c r="C1594" t="b">
        <v>0</v>
      </c>
      <c r="D1594" s="1">
        <v>0</v>
      </c>
      <c r="E1594" s="1">
        <v>14306</v>
      </c>
      <c r="F1594" s="1">
        <v>4767</v>
      </c>
      <c r="G1594" s="1">
        <v>0</v>
      </c>
      <c r="H1594" s="1">
        <v>15971</v>
      </c>
      <c r="I1594" s="1">
        <v>1879</v>
      </c>
      <c r="J1594" s="3">
        <f t="shared" si="80"/>
        <v>15971</v>
      </c>
      <c r="K1594" s="1">
        <v>0</v>
      </c>
      <c r="L1594" s="1">
        <v>0</v>
      </c>
      <c r="M1594" s="1">
        <v>0</v>
      </c>
      <c r="O1594" s="14">
        <v>0</v>
      </c>
      <c r="P1594" s="17">
        <f t="shared" si="79"/>
        <v>15971</v>
      </c>
      <c r="Q1594" s="1">
        <v>0</v>
      </c>
      <c r="R1594" s="1">
        <v>0</v>
      </c>
      <c r="S1594" s="20">
        <v>42430</v>
      </c>
      <c r="T1594" s="1">
        <v>36923</v>
      </c>
      <c r="U1594" s="9">
        <v>15971</v>
      </c>
      <c r="V1594" s="9" t="s">
        <v>46</v>
      </c>
    </row>
    <row r="1595" spans="1:22" x14ac:dyDescent="0.25">
      <c r="A1595" s="10" t="s">
        <v>36</v>
      </c>
      <c r="B1595" t="b">
        <v>0</v>
      </c>
      <c r="C1595" t="b">
        <v>0</v>
      </c>
      <c r="D1595" s="1">
        <v>0</v>
      </c>
      <c r="E1595" s="1">
        <v>11672</v>
      </c>
      <c r="F1595" s="1">
        <v>6575</v>
      </c>
      <c r="G1595" s="1">
        <v>0</v>
      </c>
      <c r="H1595" s="1">
        <v>29441</v>
      </c>
      <c r="I1595" s="1">
        <v>12840</v>
      </c>
      <c r="J1595" s="3">
        <f t="shared" si="80"/>
        <v>29441</v>
      </c>
      <c r="K1595" s="1">
        <v>0</v>
      </c>
      <c r="L1595" s="1">
        <v>0</v>
      </c>
      <c r="M1595" s="1">
        <v>0</v>
      </c>
      <c r="O1595" s="14">
        <v>0</v>
      </c>
      <c r="P1595" s="17">
        <f t="shared" si="79"/>
        <v>29441</v>
      </c>
      <c r="Q1595" s="1">
        <v>0</v>
      </c>
      <c r="R1595" s="1">
        <v>0</v>
      </c>
      <c r="S1595" s="20">
        <v>42461</v>
      </c>
      <c r="T1595" s="1">
        <v>60528</v>
      </c>
      <c r="U1595" s="9">
        <v>29441</v>
      </c>
      <c r="V1595" s="9" t="s">
        <v>46</v>
      </c>
    </row>
    <row r="1596" spans="1:22" x14ac:dyDescent="0.25">
      <c r="A1596" s="10" t="s">
        <v>36</v>
      </c>
      <c r="B1596" t="b">
        <v>0</v>
      </c>
      <c r="C1596" t="b">
        <v>0</v>
      </c>
      <c r="D1596" s="1">
        <v>0</v>
      </c>
      <c r="E1596" s="1">
        <v>12016</v>
      </c>
      <c r="F1596" s="1">
        <v>8479</v>
      </c>
      <c r="G1596" s="1">
        <v>0</v>
      </c>
      <c r="H1596" s="1">
        <v>25008</v>
      </c>
      <c r="I1596" s="1">
        <v>3963</v>
      </c>
      <c r="J1596" s="3">
        <f t="shared" si="80"/>
        <v>25008</v>
      </c>
      <c r="K1596" s="1">
        <v>0</v>
      </c>
      <c r="L1596" s="1">
        <v>0</v>
      </c>
      <c r="M1596" s="1">
        <v>0</v>
      </c>
      <c r="O1596" s="14">
        <v>0</v>
      </c>
      <c r="P1596" s="17">
        <f t="shared" si="79"/>
        <v>25008</v>
      </c>
      <c r="Q1596" s="1">
        <v>0</v>
      </c>
      <c r="R1596" s="1">
        <v>0</v>
      </c>
      <c r="S1596" s="20">
        <v>42491</v>
      </c>
      <c r="T1596" s="1">
        <v>49466</v>
      </c>
      <c r="U1596" s="9">
        <v>25008</v>
      </c>
      <c r="V1596" s="9" t="s">
        <v>46</v>
      </c>
    </row>
    <row r="1597" spans="1:22" x14ac:dyDescent="0.25">
      <c r="A1597" s="10" t="s">
        <v>36</v>
      </c>
      <c r="B1597" t="b">
        <v>0</v>
      </c>
      <c r="C1597" t="b">
        <v>0</v>
      </c>
      <c r="D1597" s="1">
        <v>0</v>
      </c>
      <c r="E1597" s="1">
        <v>14662</v>
      </c>
      <c r="F1597" s="1">
        <v>3235</v>
      </c>
      <c r="G1597" s="1">
        <v>0</v>
      </c>
      <c r="H1597" s="1">
        <v>23764</v>
      </c>
      <c r="I1597" s="1">
        <v>1386</v>
      </c>
      <c r="J1597" s="3">
        <f t="shared" si="80"/>
        <v>23764</v>
      </c>
      <c r="K1597" s="1">
        <v>0</v>
      </c>
      <c r="L1597" s="1">
        <v>0</v>
      </c>
      <c r="M1597" s="1">
        <v>0</v>
      </c>
      <c r="O1597" s="14">
        <v>0</v>
      </c>
      <c r="P1597" s="17">
        <f t="shared" si="79"/>
        <v>23764</v>
      </c>
      <c r="Q1597" s="1">
        <v>0</v>
      </c>
      <c r="R1597" s="1">
        <v>0</v>
      </c>
      <c r="S1597" s="20">
        <v>42522</v>
      </c>
      <c r="T1597" s="1">
        <v>43047</v>
      </c>
      <c r="U1597" s="9">
        <v>23764</v>
      </c>
      <c r="V1597" s="9" t="s">
        <v>46</v>
      </c>
    </row>
    <row r="1598" spans="1:22" x14ac:dyDescent="0.25">
      <c r="A1598" s="10" t="s">
        <v>36</v>
      </c>
      <c r="B1598" t="b">
        <v>0</v>
      </c>
      <c r="C1598" t="b">
        <v>0</v>
      </c>
      <c r="D1598" s="1">
        <v>0</v>
      </c>
      <c r="E1598" s="1">
        <v>19662</v>
      </c>
      <c r="F1598" s="1">
        <v>1599</v>
      </c>
      <c r="G1598" s="1">
        <v>0</v>
      </c>
      <c r="H1598" s="1">
        <v>25441</v>
      </c>
      <c r="I1598" s="1">
        <v>176</v>
      </c>
      <c r="J1598" s="3">
        <f t="shared" si="80"/>
        <v>25441</v>
      </c>
      <c r="K1598" s="1">
        <v>0</v>
      </c>
      <c r="L1598" s="1">
        <v>0</v>
      </c>
      <c r="M1598" s="1">
        <v>0</v>
      </c>
      <c r="O1598" s="14">
        <v>0</v>
      </c>
      <c r="P1598" s="17">
        <f t="shared" si="79"/>
        <v>25441</v>
      </c>
      <c r="Q1598" s="1">
        <v>0</v>
      </c>
      <c r="R1598" s="1">
        <v>0</v>
      </c>
      <c r="S1598" s="20">
        <v>42552</v>
      </c>
      <c r="T1598" s="1">
        <v>46878</v>
      </c>
      <c r="U1598" s="9">
        <v>25441</v>
      </c>
      <c r="V1598" s="9" t="s">
        <v>46</v>
      </c>
    </row>
    <row r="1599" spans="1:22" x14ac:dyDescent="0.25">
      <c r="A1599" s="10" t="s">
        <v>36</v>
      </c>
      <c r="B1599" t="b">
        <v>0</v>
      </c>
      <c r="C1599" t="b">
        <v>0</v>
      </c>
      <c r="D1599" s="1">
        <v>0</v>
      </c>
      <c r="E1599" s="1">
        <v>15175</v>
      </c>
      <c r="F1599" s="1">
        <v>263</v>
      </c>
      <c r="G1599" s="1">
        <v>0</v>
      </c>
      <c r="H1599" s="1">
        <v>32343</v>
      </c>
      <c r="I1599" s="1">
        <v>80</v>
      </c>
      <c r="J1599" s="3">
        <f t="shared" si="80"/>
        <v>32343</v>
      </c>
      <c r="K1599" s="1">
        <v>0</v>
      </c>
      <c r="L1599" s="1">
        <v>0</v>
      </c>
      <c r="M1599" s="1">
        <v>0</v>
      </c>
      <c r="O1599" s="14">
        <v>0</v>
      </c>
      <c r="P1599" s="17">
        <f t="shared" si="79"/>
        <v>32343</v>
      </c>
      <c r="Q1599" s="1">
        <v>0</v>
      </c>
      <c r="R1599" s="1">
        <v>0</v>
      </c>
      <c r="S1599" s="20">
        <v>42583</v>
      </c>
      <c r="T1599" s="1">
        <v>47861</v>
      </c>
      <c r="U1599" s="9">
        <v>32343</v>
      </c>
      <c r="V1599" s="9" t="s">
        <v>46</v>
      </c>
    </row>
    <row r="1600" spans="1:22" x14ac:dyDescent="0.25">
      <c r="A1600" s="10" t="s">
        <v>36</v>
      </c>
      <c r="B1600" t="b">
        <v>0</v>
      </c>
      <c r="C1600" t="b">
        <v>0</v>
      </c>
      <c r="D1600" s="1">
        <v>0</v>
      </c>
      <c r="E1600" s="1">
        <v>11099</v>
      </c>
      <c r="F1600" s="1">
        <v>532</v>
      </c>
      <c r="G1600" s="1">
        <v>0</v>
      </c>
      <c r="H1600" s="1">
        <v>44794</v>
      </c>
      <c r="I1600" s="1">
        <v>75</v>
      </c>
      <c r="J1600" s="3">
        <f t="shared" si="80"/>
        <v>44794</v>
      </c>
      <c r="K1600" s="1">
        <v>0</v>
      </c>
      <c r="L1600" s="1">
        <v>0</v>
      </c>
      <c r="M1600" s="1">
        <v>0</v>
      </c>
      <c r="O1600" s="14">
        <v>0</v>
      </c>
      <c r="P1600" s="17">
        <f t="shared" si="79"/>
        <v>44794</v>
      </c>
      <c r="Q1600" s="1">
        <v>0</v>
      </c>
      <c r="R1600" s="1">
        <v>0</v>
      </c>
      <c r="S1600" s="20">
        <v>42614</v>
      </c>
      <c r="T1600" s="1">
        <v>56500</v>
      </c>
      <c r="U1600" s="9">
        <v>44794</v>
      </c>
      <c r="V1600" s="9" t="s">
        <v>46</v>
      </c>
    </row>
    <row r="1601" spans="1:22" x14ac:dyDescent="0.25">
      <c r="A1601" s="10" t="s">
        <v>36</v>
      </c>
      <c r="B1601" t="b">
        <v>0</v>
      </c>
      <c r="C1601" t="b">
        <v>0</v>
      </c>
      <c r="D1601" s="1">
        <v>0</v>
      </c>
      <c r="E1601" s="1">
        <v>10054</v>
      </c>
      <c r="F1601" s="1">
        <v>994</v>
      </c>
      <c r="G1601" s="1">
        <v>0</v>
      </c>
      <c r="H1601" s="1">
        <v>26254</v>
      </c>
      <c r="I1601" s="1">
        <v>34</v>
      </c>
      <c r="J1601" s="3">
        <f t="shared" si="80"/>
        <v>26254</v>
      </c>
      <c r="K1601" s="1">
        <v>0</v>
      </c>
      <c r="L1601" s="1">
        <v>0</v>
      </c>
      <c r="M1601" s="1">
        <v>0</v>
      </c>
      <c r="O1601" s="14">
        <v>0</v>
      </c>
      <c r="P1601" s="17">
        <f t="shared" si="79"/>
        <v>26254</v>
      </c>
      <c r="Q1601" s="1">
        <v>0</v>
      </c>
      <c r="R1601" s="1">
        <v>0</v>
      </c>
      <c r="S1601" s="20">
        <v>42644</v>
      </c>
      <c r="T1601" s="1">
        <v>37336</v>
      </c>
      <c r="U1601" s="9">
        <v>26254</v>
      </c>
      <c r="V1601" s="9" t="s">
        <v>46</v>
      </c>
    </row>
    <row r="1602" spans="1:22" x14ac:dyDescent="0.25">
      <c r="A1602" s="10" t="s">
        <v>36</v>
      </c>
      <c r="B1602" t="b">
        <v>0</v>
      </c>
      <c r="C1602" t="b">
        <v>0</v>
      </c>
      <c r="D1602" s="1">
        <v>0</v>
      </c>
      <c r="E1602" s="1">
        <v>12107</v>
      </c>
      <c r="F1602" s="1">
        <v>902</v>
      </c>
      <c r="G1602" s="1">
        <v>0</v>
      </c>
      <c r="H1602" s="1">
        <v>31495</v>
      </c>
      <c r="I1602" s="1">
        <v>5052</v>
      </c>
      <c r="J1602" s="3">
        <f t="shared" si="80"/>
        <v>31495</v>
      </c>
      <c r="K1602" s="1">
        <v>0</v>
      </c>
      <c r="L1602" s="1">
        <v>0</v>
      </c>
      <c r="M1602" s="1">
        <v>0</v>
      </c>
      <c r="O1602" s="14">
        <v>0</v>
      </c>
      <c r="P1602" s="17">
        <f t="shared" si="79"/>
        <v>31495</v>
      </c>
      <c r="Q1602" s="1">
        <v>0</v>
      </c>
      <c r="R1602" s="1">
        <v>0</v>
      </c>
      <c r="S1602" s="20">
        <v>42675</v>
      </c>
      <c r="T1602" s="1">
        <v>49556</v>
      </c>
      <c r="U1602" s="9">
        <v>31495</v>
      </c>
      <c r="V1602" s="9" t="s">
        <v>46</v>
      </c>
    </row>
    <row r="1603" spans="1:22" x14ac:dyDescent="0.25">
      <c r="A1603" s="10" t="s">
        <v>36</v>
      </c>
      <c r="B1603" t="b">
        <v>0</v>
      </c>
      <c r="C1603" t="b">
        <v>0</v>
      </c>
      <c r="D1603" s="1">
        <v>0</v>
      </c>
      <c r="E1603" s="1">
        <v>14350</v>
      </c>
      <c r="F1603" s="1">
        <v>325</v>
      </c>
      <c r="G1603" s="1">
        <v>0</v>
      </c>
      <c r="H1603" s="1">
        <v>349180</v>
      </c>
      <c r="I1603" s="1">
        <v>16790</v>
      </c>
      <c r="J1603" s="3">
        <f t="shared" si="80"/>
        <v>349180</v>
      </c>
      <c r="K1603" s="1">
        <v>0</v>
      </c>
      <c r="L1603" s="1">
        <v>0</v>
      </c>
      <c r="M1603" s="1">
        <v>0</v>
      </c>
      <c r="O1603" s="14">
        <v>0</v>
      </c>
      <c r="P1603" s="17">
        <f t="shared" si="79"/>
        <v>349180</v>
      </c>
      <c r="Q1603" s="1">
        <v>0</v>
      </c>
      <c r="R1603" s="1">
        <v>0</v>
      </c>
      <c r="S1603" s="20">
        <v>42705</v>
      </c>
      <c r="T1603" s="1">
        <v>380645</v>
      </c>
      <c r="U1603" s="9">
        <v>349180</v>
      </c>
      <c r="V1603" s="9" t="s">
        <v>46</v>
      </c>
    </row>
    <row r="1604" spans="1:22" x14ac:dyDescent="0.25">
      <c r="A1604" s="10" t="s">
        <v>36</v>
      </c>
      <c r="B1604" t="b">
        <v>0</v>
      </c>
      <c r="C1604" t="b">
        <v>0</v>
      </c>
      <c r="D1604" s="1">
        <v>0</v>
      </c>
      <c r="E1604" s="1">
        <v>10626</v>
      </c>
      <c r="F1604" s="1">
        <v>362</v>
      </c>
      <c r="G1604" s="1">
        <v>0</v>
      </c>
      <c r="H1604" s="1">
        <v>17014</v>
      </c>
      <c r="I1604" s="1">
        <v>1415</v>
      </c>
      <c r="J1604" s="3">
        <f t="shared" si="80"/>
        <v>17014</v>
      </c>
      <c r="K1604" s="1">
        <v>0</v>
      </c>
      <c r="L1604" s="1">
        <v>0</v>
      </c>
      <c r="M1604" s="1">
        <v>0</v>
      </c>
      <c r="O1604" s="14">
        <v>0</v>
      </c>
      <c r="P1604" s="17">
        <f t="shared" si="79"/>
        <v>17014</v>
      </c>
      <c r="Q1604" s="1">
        <v>0</v>
      </c>
      <c r="R1604" s="1">
        <v>0</v>
      </c>
      <c r="S1604" s="20">
        <v>42736</v>
      </c>
      <c r="T1604" s="1">
        <v>29417</v>
      </c>
      <c r="U1604" s="9">
        <v>17014</v>
      </c>
      <c r="V1604" s="9" t="s">
        <v>21</v>
      </c>
    </row>
    <row r="1605" spans="1:22" x14ac:dyDescent="0.25">
      <c r="A1605" s="10" t="s">
        <v>36</v>
      </c>
      <c r="B1605" t="b">
        <v>0</v>
      </c>
      <c r="C1605" t="b">
        <v>0</v>
      </c>
      <c r="D1605" s="1">
        <v>0</v>
      </c>
      <c r="E1605" s="1">
        <v>10120</v>
      </c>
      <c r="F1605" s="1">
        <v>934</v>
      </c>
      <c r="G1605" s="1">
        <v>0</v>
      </c>
      <c r="H1605" s="1">
        <v>30436</v>
      </c>
      <c r="I1605" s="1">
        <v>4599</v>
      </c>
      <c r="J1605" s="3">
        <f t="shared" si="80"/>
        <v>30436</v>
      </c>
      <c r="K1605" s="1">
        <v>0</v>
      </c>
      <c r="L1605" s="1">
        <v>0</v>
      </c>
      <c r="M1605" s="1">
        <v>0</v>
      </c>
      <c r="O1605" s="14">
        <v>0</v>
      </c>
      <c r="P1605" s="17">
        <f t="shared" si="79"/>
        <v>30436</v>
      </c>
      <c r="Q1605" s="1">
        <v>0</v>
      </c>
      <c r="R1605" s="1">
        <v>0</v>
      </c>
      <c r="S1605" s="20">
        <v>42767</v>
      </c>
      <c r="T1605" s="1">
        <v>46089</v>
      </c>
      <c r="U1605" s="9">
        <v>30436</v>
      </c>
      <c r="V1605" s="9" t="s">
        <v>21</v>
      </c>
    </row>
    <row r="1606" spans="1:22" x14ac:dyDescent="0.25">
      <c r="A1606" s="10" t="s">
        <v>36</v>
      </c>
      <c r="B1606" t="b">
        <v>0</v>
      </c>
      <c r="C1606" t="b">
        <v>0</v>
      </c>
      <c r="D1606" s="1">
        <v>0</v>
      </c>
      <c r="E1606" s="1">
        <v>11581</v>
      </c>
      <c r="F1606" s="1">
        <v>4363</v>
      </c>
      <c r="G1606" s="1">
        <v>0</v>
      </c>
      <c r="H1606" s="1">
        <v>15345</v>
      </c>
      <c r="I1606" s="1">
        <v>11071</v>
      </c>
      <c r="J1606" s="3">
        <f t="shared" si="80"/>
        <v>15345</v>
      </c>
      <c r="K1606" s="1">
        <v>0</v>
      </c>
      <c r="L1606" s="1">
        <v>0</v>
      </c>
      <c r="M1606" s="1">
        <v>0</v>
      </c>
      <c r="O1606" s="14">
        <v>0</v>
      </c>
      <c r="P1606" s="17">
        <f t="shared" si="79"/>
        <v>15345</v>
      </c>
      <c r="Q1606" s="1">
        <v>0</v>
      </c>
      <c r="R1606" s="1">
        <v>0</v>
      </c>
      <c r="S1606" s="20">
        <v>42795</v>
      </c>
      <c r="T1606" s="1">
        <v>42360</v>
      </c>
      <c r="U1606" s="9">
        <v>15345</v>
      </c>
      <c r="V1606" s="9" t="s">
        <v>21</v>
      </c>
    </row>
    <row r="1607" spans="1:22" x14ac:dyDescent="0.25">
      <c r="A1607" s="10" t="s">
        <v>36</v>
      </c>
      <c r="B1607" t="b">
        <v>0</v>
      </c>
      <c r="C1607" t="b">
        <v>0</v>
      </c>
      <c r="D1607" s="1">
        <v>0</v>
      </c>
      <c r="E1607" s="1">
        <v>14236</v>
      </c>
      <c r="F1607" s="1">
        <v>5940</v>
      </c>
      <c r="G1607" s="1">
        <v>0</v>
      </c>
      <c r="H1607" s="1">
        <v>16329</v>
      </c>
      <c r="I1607" s="1">
        <v>0</v>
      </c>
      <c r="J1607" s="3">
        <f t="shared" si="80"/>
        <v>16329</v>
      </c>
      <c r="K1607" s="1">
        <v>0</v>
      </c>
      <c r="L1607" s="1">
        <v>0</v>
      </c>
      <c r="M1607" s="1">
        <v>0</v>
      </c>
      <c r="O1607" s="14">
        <v>0</v>
      </c>
      <c r="P1607" s="17">
        <f t="shared" si="79"/>
        <v>16329</v>
      </c>
      <c r="Q1607" s="1">
        <v>0</v>
      </c>
      <c r="R1607" s="1">
        <v>11</v>
      </c>
      <c r="S1607" s="20">
        <v>42826</v>
      </c>
      <c r="T1607" s="1">
        <v>36516</v>
      </c>
      <c r="U1607" s="9">
        <v>16329</v>
      </c>
      <c r="V1607" s="9" t="s">
        <v>21</v>
      </c>
    </row>
    <row r="1608" spans="1:22" x14ac:dyDescent="0.25">
      <c r="A1608" s="10" t="s">
        <v>36</v>
      </c>
      <c r="B1608" t="b">
        <v>0</v>
      </c>
      <c r="C1608" t="b">
        <v>0</v>
      </c>
      <c r="D1608" s="1">
        <v>0</v>
      </c>
      <c r="E1608" s="1">
        <v>10467</v>
      </c>
      <c r="F1608" s="1">
        <v>6733</v>
      </c>
      <c r="G1608" s="1">
        <v>0</v>
      </c>
      <c r="H1608" s="1">
        <v>19147</v>
      </c>
      <c r="I1608" s="1">
        <v>0</v>
      </c>
      <c r="J1608" s="3">
        <f t="shared" si="80"/>
        <v>19147</v>
      </c>
      <c r="K1608" s="1">
        <v>0</v>
      </c>
      <c r="L1608" s="1">
        <v>0</v>
      </c>
      <c r="M1608" s="1">
        <v>0</v>
      </c>
      <c r="O1608" s="14">
        <v>0</v>
      </c>
      <c r="P1608" s="17">
        <f t="shared" si="79"/>
        <v>19147</v>
      </c>
      <c r="Q1608" s="1">
        <v>0</v>
      </c>
      <c r="R1608" s="1">
        <v>0</v>
      </c>
      <c r="S1608" s="20">
        <v>42856</v>
      </c>
      <c r="T1608" s="1">
        <v>36347</v>
      </c>
      <c r="U1608" s="9">
        <v>19147</v>
      </c>
      <c r="V1608" s="9" t="s">
        <v>21</v>
      </c>
    </row>
    <row r="1609" spans="1:22" x14ac:dyDescent="0.25">
      <c r="A1609" s="10" t="s">
        <v>36</v>
      </c>
      <c r="B1609" t="b">
        <v>0</v>
      </c>
      <c r="C1609" t="b">
        <v>0</v>
      </c>
      <c r="D1609" s="1">
        <v>0</v>
      </c>
      <c r="E1609" s="1">
        <v>14244</v>
      </c>
      <c r="F1609" s="1">
        <v>2575</v>
      </c>
      <c r="G1609" s="1">
        <v>0</v>
      </c>
      <c r="H1609" s="1">
        <v>23841</v>
      </c>
      <c r="I1609" s="1">
        <v>2246</v>
      </c>
      <c r="J1609" s="3">
        <f t="shared" si="80"/>
        <v>23841</v>
      </c>
      <c r="K1609" s="1">
        <v>0</v>
      </c>
      <c r="L1609" s="1">
        <v>0</v>
      </c>
      <c r="M1609" s="1">
        <v>0</v>
      </c>
      <c r="O1609" s="14">
        <v>0</v>
      </c>
      <c r="P1609" s="17">
        <f t="shared" si="79"/>
        <v>23841</v>
      </c>
      <c r="Q1609" s="1">
        <v>0</v>
      </c>
      <c r="R1609" s="1">
        <v>0</v>
      </c>
      <c r="S1609" s="20">
        <v>42887</v>
      </c>
      <c r="T1609" s="1">
        <v>42906</v>
      </c>
      <c r="U1609" s="9">
        <v>23841</v>
      </c>
      <c r="V1609" s="9" t="s">
        <v>21</v>
      </c>
    </row>
    <row r="1610" spans="1:22" x14ac:dyDescent="0.25">
      <c r="A1610" s="10" t="s">
        <v>36</v>
      </c>
      <c r="B1610" t="b">
        <v>0</v>
      </c>
      <c r="C1610" t="b">
        <v>0</v>
      </c>
      <c r="D1610" s="1">
        <v>0</v>
      </c>
      <c r="E1610" s="1">
        <v>19599</v>
      </c>
      <c r="F1610" s="1">
        <v>1589</v>
      </c>
      <c r="G1610" s="1">
        <v>0</v>
      </c>
      <c r="H1610" s="1">
        <v>25994</v>
      </c>
      <c r="I1610" s="1">
        <v>189</v>
      </c>
      <c r="J1610" s="3">
        <f t="shared" si="80"/>
        <v>25994</v>
      </c>
      <c r="K1610" s="1">
        <v>0</v>
      </c>
      <c r="L1610" s="1">
        <v>0</v>
      </c>
      <c r="M1610" s="1">
        <v>0</v>
      </c>
      <c r="O1610" s="14">
        <v>0</v>
      </c>
      <c r="P1610" s="17">
        <f t="shared" ref="P1610:P1653" si="81">J1610</f>
        <v>25994</v>
      </c>
      <c r="Q1610" s="1">
        <v>0</v>
      </c>
      <c r="R1610" s="1">
        <v>0</v>
      </c>
      <c r="S1610" s="20">
        <v>42917</v>
      </c>
      <c r="T1610" s="1">
        <v>47371</v>
      </c>
      <c r="U1610" s="9">
        <v>25994</v>
      </c>
      <c r="V1610" s="9" t="s">
        <v>21</v>
      </c>
    </row>
    <row r="1611" spans="1:22" x14ac:dyDescent="0.25">
      <c r="A1611" s="10" t="s">
        <v>36</v>
      </c>
      <c r="B1611" t="b">
        <v>0</v>
      </c>
      <c r="C1611" t="b">
        <v>0</v>
      </c>
      <c r="D1611" s="1">
        <v>0</v>
      </c>
      <c r="E1611" s="1">
        <v>15774</v>
      </c>
      <c r="F1611" s="1">
        <v>566</v>
      </c>
      <c r="G1611" s="1">
        <v>0</v>
      </c>
      <c r="H1611" s="1">
        <v>32241</v>
      </c>
      <c r="I1611" s="1">
        <v>176</v>
      </c>
      <c r="J1611" s="3">
        <f t="shared" ref="J1611:J1653" si="82">G1611+H1611</f>
        <v>32241</v>
      </c>
      <c r="K1611" s="1">
        <v>0</v>
      </c>
      <c r="L1611" s="1">
        <v>0</v>
      </c>
      <c r="M1611" s="1">
        <v>0</v>
      </c>
      <c r="O1611" s="14">
        <v>0</v>
      </c>
      <c r="P1611" s="17">
        <f t="shared" si="81"/>
        <v>32241</v>
      </c>
      <c r="Q1611" s="1">
        <v>0</v>
      </c>
      <c r="R1611" s="1">
        <v>0</v>
      </c>
      <c r="S1611" s="20">
        <v>42948</v>
      </c>
      <c r="T1611" s="1">
        <v>48757</v>
      </c>
      <c r="U1611" s="9">
        <v>32241</v>
      </c>
      <c r="V1611" s="9" t="s">
        <v>21</v>
      </c>
    </row>
    <row r="1612" spans="1:22" x14ac:dyDescent="0.25">
      <c r="A1612" s="10" t="s">
        <v>36</v>
      </c>
      <c r="B1612" t="b">
        <v>0</v>
      </c>
      <c r="C1612" t="b">
        <v>0</v>
      </c>
      <c r="D1612" s="1">
        <v>0</v>
      </c>
      <c r="E1612" s="1">
        <v>11141</v>
      </c>
      <c r="F1612" s="1">
        <v>604</v>
      </c>
      <c r="G1612" s="1">
        <v>0</v>
      </c>
      <c r="H1612" s="1">
        <v>44804</v>
      </c>
      <c r="I1612" s="1">
        <v>424</v>
      </c>
      <c r="J1612" s="3">
        <f t="shared" si="82"/>
        <v>44804</v>
      </c>
      <c r="K1612" s="1">
        <v>0</v>
      </c>
      <c r="L1612" s="1">
        <v>0</v>
      </c>
      <c r="M1612" s="1">
        <v>0</v>
      </c>
      <c r="O1612" s="14">
        <v>0</v>
      </c>
      <c r="P1612" s="17">
        <f t="shared" si="81"/>
        <v>44804</v>
      </c>
      <c r="Q1612" s="1">
        <v>0</v>
      </c>
      <c r="R1612" s="1">
        <v>0</v>
      </c>
      <c r="S1612" s="20">
        <v>42979</v>
      </c>
      <c r="T1612" s="1">
        <v>56973</v>
      </c>
      <c r="U1612" s="9">
        <v>44804</v>
      </c>
      <c r="V1612" s="9" t="s">
        <v>21</v>
      </c>
    </row>
    <row r="1613" spans="1:22" x14ac:dyDescent="0.25">
      <c r="A1613" s="10" t="s">
        <v>36</v>
      </c>
      <c r="B1613" t="b">
        <v>0</v>
      </c>
      <c r="C1613" t="b">
        <v>0</v>
      </c>
      <c r="D1613" s="1">
        <v>0</v>
      </c>
      <c r="E1613" s="1">
        <v>9566</v>
      </c>
      <c r="F1613" s="1">
        <v>1141</v>
      </c>
      <c r="G1613" s="1">
        <v>0</v>
      </c>
      <c r="H1613" s="1">
        <v>26114</v>
      </c>
      <c r="I1613" s="1">
        <v>1669</v>
      </c>
      <c r="J1613" s="3">
        <f t="shared" si="82"/>
        <v>26114</v>
      </c>
      <c r="K1613" s="1">
        <v>0</v>
      </c>
      <c r="L1613" s="1">
        <v>0</v>
      </c>
      <c r="M1613" s="1">
        <v>0</v>
      </c>
      <c r="O1613" s="14">
        <v>0</v>
      </c>
      <c r="P1613" s="17">
        <f t="shared" si="81"/>
        <v>26114</v>
      </c>
      <c r="Q1613" s="1">
        <v>0</v>
      </c>
      <c r="R1613" s="1">
        <v>0</v>
      </c>
      <c r="S1613" s="20">
        <v>43009</v>
      </c>
      <c r="T1613" s="1">
        <v>38490</v>
      </c>
      <c r="U1613" s="9">
        <v>26114</v>
      </c>
      <c r="V1613" s="9" t="s">
        <v>21</v>
      </c>
    </row>
    <row r="1614" spans="1:22" x14ac:dyDescent="0.25">
      <c r="A1614" s="10" t="s">
        <v>36</v>
      </c>
      <c r="B1614" t="b">
        <v>0</v>
      </c>
      <c r="C1614" t="b">
        <v>0</v>
      </c>
      <c r="D1614" s="1">
        <v>0</v>
      </c>
      <c r="E1614" s="1">
        <v>10892</v>
      </c>
      <c r="F1614" s="1">
        <v>351</v>
      </c>
      <c r="G1614" s="1">
        <v>0</v>
      </c>
      <c r="H1614" s="1">
        <v>10952</v>
      </c>
      <c r="I1614" s="1">
        <v>0</v>
      </c>
      <c r="J1614" s="3">
        <f t="shared" si="82"/>
        <v>10952</v>
      </c>
      <c r="K1614" s="1">
        <v>0</v>
      </c>
      <c r="L1614" s="1">
        <v>0</v>
      </c>
      <c r="M1614" s="1">
        <v>0</v>
      </c>
      <c r="O1614" s="14">
        <v>0</v>
      </c>
      <c r="P1614" s="17">
        <f t="shared" si="81"/>
        <v>10952</v>
      </c>
      <c r="Q1614" s="1">
        <v>0</v>
      </c>
      <c r="R1614" s="1">
        <v>0</v>
      </c>
      <c r="S1614" s="20">
        <v>43040</v>
      </c>
      <c r="T1614" s="1">
        <v>22195</v>
      </c>
      <c r="U1614" s="9">
        <v>10952</v>
      </c>
      <c r="V1614" s="9" t="s">
        <v>21</v>
      </c>
    </row>
    <row r="1615" spans="1:22" x14ac:dyDescent="0.25">
      <c r="A1615" s="10" t="s">
        <v>36</v>
      </c>
      <c r="B1615" t="b">
        <v>0</v>
      </c>
      <c r="C1615" t="b">
        <v>0</v>
      </c>
      <c r="D1615" s="1">
        <v>0</v>
      </c>
      <c r="E1615" s="1">
        <v>13964</v>
      </c>
      <c r="F1615" s="1">
        <v>501</v>
      </c>
      <c r="G1615" s="1">
        <v>0</v>
      </c>
      <c r="H1615" s="1">
        <v>38918</v>
      </c>
      <c r="I1615" s="1">
        <v>0</v>
      </c>
      <c r="J1615" s="3">
        <f t="shared" si="82"/>
        <v>38918</v>
      </c>
      <c r="K1615" s="1">
        <v>0</v>
      </c>
      <c r="L1615" s="1">
        <v>0</v>
      </c>
      <c r="M1615" s="1">
        <v>0</v>
      </c>
      <c r="O1615" s="14">
        <v>0</v>
      </c>
      <c r="P1615" s="17">
        <f t="shared" si="81"/>
        <v>38918</v>
      </c>
      <c r="Q1615" s="1">
        <v>0</v>
      </c>
      <c r="R1615" s="1">
        <v>0</v>
      </c>
      <c r="S1615" s="20">
        <v>43070</v>
      </c>
      <c r="T1615" s="1">
        <v>53383</v>
      </c>
      <c r="U1615" s="9">
        <v>38918</v>
      </c>
      <c r="V1615" s="9" t="s">
        <v>21</v>
      </c>
    </row>
    <row r="1616" spans="1:22" x14ac:dyDescent="0.25">
      <c r="A1616" s="10" t="s">
        <v>36</v>
      </c>
      <c r="B1616" t="b">
        <v>0</v>
      </c>
      <c r="C1616" t="b">
        <v>0</v>
      </c>
      <c r="D1616" s="1">
        <v>0</v>
      </c>
      <c r="E1616" s="1">
        <v>11033</v>
      </c>
      <c r="F1616" s="1">
        <v>355</v>
      </c>
      <c r="G1616" s="1">
        <v>0</v>
      </c>
      <c r="H1616" s="1">
        <v>12259</v>
      </c>
      <c r="I1616" s="1">
        <v>0</v>
      </c>
      <c r="J1616" s="3">
        <f t="shared" si="82"/>
        <v>12259</v>
      </c>
      <c r="K1616" s="1">
        <v>0</v>
      </c>
      <c r="L1616" s="1">
        <v>0</v>
      </c>
      <c r="M1616" s="1">
        <v>0</v>
      </c>
      <c r="O1616" s="14">
        <v>0</v>
      </c>
      <c r="P1616" s="17">
        <f t="shared" si="81"/>
        <v>12259</v>
      </c>
      <c r="Q1616" s="1">
        <v>0</v>
      </c>
      <c r="R1616" s="1">
        <v>0</v>
      </c>
      <c r="S1616" s="20">
        <v>43101</v>
      </c>
      <c r="T1616" s="1">
        <v>23647</v>
      </c>
      <c r="U1616" s="9">
        <v>12259</v>
      </c>
      <c r="V1616" s="9" t="s">
        <v>21</v>
      </c>
    </row>
    <row r="1617" spans="1:22" x14ac:dyDescent="0.25">
      <c r="A1617" s="10" t="s">
        <v>36</v>
      </c>
      <c r="B1617" t="b">
        <v>0</v>
      </c>
      <c r="C1617" t="b">
        <v>0</v>
      </c>
      <c r="D1617" s="1">
        <v>0</v>
      </c>
      <c r="E1617" s="1">
        <v>10301</v>
      </c>
      <c r="F1617" s="1">
        <v>1216</v>
      </c>
      <c r="G1617" s="1">
        <v>0</v>
      </c>
      <c r="H1617" s="1">
        <v>32283</v>
      </c>
      <c r="I1617" s="1">
        <v>52</v>
      </c>
      <c r="J1617" s="3">
        <f t="shared" si="82"/>
        <v>32283</v>
      </c>
      <c r="K1617" s="1">
        <v>0</v>
      </c>
      <c r="L1617" s="1">
        <v>0</v>
      </c>
      <c r="M1617" s="1">
        <v>0</v>
      </c>
      <c r="O1617" s="14">
        <v>0</v>
      </c>
      <c r="P1617" s="17">
        <f t="shared" si="81"/>
        <v>32283</v>
      </c>
      <c r="Q1617" s="1">
        <v>0</v>
      </c>
      <c r="R1617" s="1">
        <v>0</v>
      </c>
      <c r="S1617" s="20">
        <v>43132</v>
      </c>
      <c r="T1617" s="1">
        <v>43852</v>
      </c>
      <c r="U1617" s="9">
        <v>32283</v>
      </c>
      <c r="V1617" s="9" t="s">
        <v>21</v>
      </c>
    </row>
    <row r="1618" spans="1:22" x14ac:dyDescent="0.25">
      <c r="A1618" s="10" t="s">
        <v>36</v>
      </c>
      <c r="B1618" t="b">
        <v>0</v>
      </c>
      <c r="C1618" t="b">
        <v>0</v>
      </c>
      <c r="D1618" s="1">
        <v>0</v>
      </c>
      <c r="E1618" s="1">
        <v>12880</v>
      </c>
      <c r="F1618" s="1">
        <v>3899</v>
      </c>
      <c r="G1618" s="1">
        <v>0</v>
      </c>
      <c r="H1618" s="1">
        <v>19269</v>
      </c>
      <c r="I1618" s="1">
        <v>0</v>
      </c>
      <c r="J1618" s="3">
        <f t="shared" si="82"/>
        <v>19269</v>
      </c>
      <c r="K1618" s="1">
        <v>0</v>
      </c>
      <c r="L1618" s="1">
        <v>0</v>
      </c>
      <c r="M1618" s="1">
        <v>0</v>
      </c>
      <c r="O1618" s="14">
        <v>0</v>
      </c>
      <c r="P1618" s="17">
        <f t="shared" si="81"/>
        <v>19269</v>
      </c>
      <c r="Q1618" s="1">
        <v>0</v>
      </c>
      <c r="R1618" s="1">
        <v>0</v>
      </c>
      <c r="S1618" s="20">
        <v>43160</v>
      </c>
      <c r="T1618" s="1">
        <v>36048</v>
      </c>
      <c r="U1618" s="9">
        <v>19269</v>
      </c>
      <c r="V1618" s="9" t="s">
        <v>21</v>
      </c>
    </row>
    <row r="1619" spans="1:22" x14ac:dyDescent="0.25">
      <c r="A1619" s="10" t="s">
        <v>36</v>
      </c>
      <c r="B1619" t="b">
        <v>0</v>
      </c>
      <c r="C1619" t="b">
        <v>0</v>
      </c>
      <c r="D1619" s="1">
        <v>0</v>
      </c>
      <c r="E1619" s="1">
        <v>12666</v>
      </c>
      <c r="F1619" s="1">
        <v>5078</v>
      </c>
      <c r="G1619" s="1">
        <v>0</v>
      </c>
      <c r="H1619" s="1">
        <v>15632</v>
      </c>
      <c r="I1619" s="1">
        <v>27</v>
      </c>
      <c r="J1619" s="3">
        <f t="shared" si="82"/>
        <v>15632</v>
      </c>
      <c r="K1619" s="1">
        <v>0</v>
      </c>
      <c r="L1619" s="1">
        <v>0</v>
      </c>
      <c r="M1619" s="1">
        <v>0</v>
      </c>
      <c r="O1619" s="14">
        <v>0</v>
      </c>
      <c r="P1619" s="17">
        <f t="shared" si="81"/>
        <v>15632</v>
      </c>
      <c r="Q1619" s="1">
        <v>0</v>
      </c>
      <c r="R1619" s="1">
        <v>0</v>
      </c>
      <c r="S1619" s="20">
        <v>43191</v>
      </c>
      <c r="T1619" s="1">
        <v>33403</v>
      </c>
      <c r="U1619" s="9">
        <v>15632</v>
      </c>
      <c r="V1619" s="9" t="s">
        <v>21</v>
      </c>
    </row>
    <row r="1620" spans="1:22" x14ac:dyDescent="0.25">
      <c r="A1620" s="10" t="s">
        <v>36</v>
      </c>
      <c r="B1620" t="b">
        <v>0</v>
      </c>
      <c r="C1620" t="b">
        <v>0</v>
      </c>
      <c r="D1620" s="1">
        <v>0</v>
      </c>
      <c r="E1620" s="1">
        <v>10615</v>
      </c>
      <c r="F1620" s="1">
        <v>8091</v>
      </c>
      <c r="G1620" s="1">
        <v>0</v>
      </c>
      <c r="H1620" s="1">
        <v>11507</v>
      </c>
      <c r="I1620" s="1">
        <v>0</v>
      </c>
      <c r="J1620" s="3">
        <f t="shared" si="82"/>
        <v>11507</v>
      </c>
      <c r="K1620" s="1">
        <v>0</v>
      </c>
      <c r="L1620" s="1">
        <v>0</v>
      </c>
      <c r="M1620" s="1">
        <v>0</v>
      </c>
      <c r="O1620" s="14">
        <v>0</v>
      </c>
      <c r="P1620" s="17">
        <f t="shared" si="81"/>
        <v>11507</v>
      </c>
      <c r="Q1620" s="1">
        <v>0</v>
      </c>
      <c r="R1620" s="1">
        <v>0</v>
      </c>
      <c r="S1620" s="20">
        <v>43221</v>
      </c>
      <c r="T1620" s="1">
        <v>30213</v>
      </c>
      <c r="U1620" s="9">
        <v>11507</v>
      </c>
      <c r="V1620" s="9" t="s">
        <v>21</v>
      </c>
    </row>
    <row r="1621" spans="1:22" x14ac:dyDescent="0.25">
      <c r="A1621" s="10" t="s">
        <v>36</v>
      </c>
      <c r="B1621" t="b">
        <v>0</v>
      </c>
      <c r="C1621" t="b">
        <v>0</v>
      </c>
      <c r="D1621" s="1">
        <v>0</v>
      </c>
      <c r="E1621" s="1">
        <v>14125</v>
      </c>
      <c r="F1621" s="1">
        <v>2899</v>
      </c>
      <c r="G1621" s="1">
        <v>0</v>
      </c>
      <c r="H1621" s="1">
        <v>40390</v>
      </c>
      <c r="I1621" s="1">
        <v>0</v>
      </c>
      <c r="J1621" s="3">
        <f t="shared" si="82"/>
        <v>40390</v>
      </c>
      <c r="K1621" s="1">
        <v>0</v>
      </c>
      <c r="L1621" s="1">
        <v>0</v>
      </c>
      <c r="M1621" s="1">
        <v>0</v>
      </c>
      <c r="O1621" s="14">
        <v>0</v>
      </c>
      <c r="P1621" s="17">
        <f t="shared" si="81"/>
        <v>40390</v>
      </c>
      <c r="Q1621" s="1">
        <v>0</v>
      </c>
      <c r="R1621" s="1">
        <v>0</v>
      </c>
      <c r="S1621" s="20">
        <v>43252</v>
      </c>
      <c r="T1621" s="1">
        <v>57414</v>
      </c>
      <c r="U1621" s="9">
        <v>40390</v>
      </c>
      <c r="V1621" s="9" t="s">
        <v>21</v>
      </c>
    </row>
    <row r="1622" spans="1:22" x14ac:dyDescent="0.25">
      <c r="A1622" s="10" t="s">
        <v>36</v>
      </c>
      <c r="B1622" t="b">
        <v>0</v>
      </c>
      <c r="C1622" t="b">
        <v>0</v>
      </c>
      <c r="D1622" s="1">
        <v>0</v>
      </c>
      <c r="E1622" s="1">
        <v>18499</v>
      </c>
      <c r="F1622" s="1">
        <v>1064</v>
      </c>
      <c r="G1622" s="1">
        <v>0</v>
      </c>
      <c r="H1622" s="1">
        <v>50606</v>
      </c>
      <c r="I1622" s="1">
        <v>0</v>
      </c>
      <c r="J1622" s="3">
        <f t="shared" si="82"/>
        <v>50606</v>
      </c>
      <c r="K1622" s="1">
        <v>0</v>
      </c>
      <c r="L1622" s="1">
        <v>0</v>
      </c>
      <c r="M1622" s="1">
        <v>0</v>
      </c>
      <c r="O1622" s="14">
        <v>0</v>
      </c>
      <c r="P1622" s="17">
        <f t="shared" si="81"/>
        <v>50606</v>
      </c>
      <c r="Q1622" s="1">
        <v>0</v>
      </c>
      <c r="R1622" s="1">
        <v>0</v>
      </c>
      <c r="S1622" s="20">
        <v>43282</v>
      </c>
      <c r="T1622" s="1">
        <v>70169</v>
      </c>
      <c r="U1622" s="9">
        <v>50606</v>
      </c>
      <c r="V1622" s="9" t="s">
        <v>21</v>
      </c>
    </row>
    <row r="1623" spans="1:22" x14ac:dyDescent="0.25">
      <c r="A1623" s="10" t="s">
        <v>36</v>
      </c>
      <c r="B1623" t="b">
        <v>0</v>
      </c>
      <c r="C1623" t="b">
        <v>0</v>
      </c>
      <c r="D1623" s="1">
        <v>0</v>
      </c>
      <c r="E1623" s="1">
        <v>14788</v>
      </c>
      <c r="F1623" s="1">
        <v>476</v>
      </c>
      <c r="G1623" s="1">
        <v>0</v>
      </c>
      <c r="H1623" s="1">
        <v>44719</v>
      </c>
      <c r="I1623" s="1">
        <v>0</v>
      </c>
      <c r="J1623" s="3">
        <f t="shared" si="82"/>
        <v>44719</v>
      </c>
      <c r="K1623" s="1">
        <v>0</v>
      </c>
      <c r="L1623" s="1">
        <v>0</v>
      </c>
      <c r="M1623" s="1">
        <v>0</v>
      </c>
      <c r="O1623" s="14">
        <v>0</v>
      </c>
      <c r="P1623" s="17">
        <f t="shared" si="81"/>
        <v>44719</v>
      </c>
      <c r="Q1623" s="1">
        <v>0</v>
      </c>
      <c r="R1623" s="1">
        <v>0</v>
      </c>
      <c r="S1623" s="20">
        <v>43313</v>
      </c>
      <c r="T1623" s="1">
        <v>59983</v>
      </c>
      <c r="U1623" s="9">
        <v>44719</v>
      </c>
      <c r="V1623" s="9" t="s">
        <v>21</v>
      </c>
    </row>
    <row r="1624" spans="1:22" x14ac:dyDescent="0.25">
      <c r="A1624" s="10" t="s">
        <v>36</v>
      </c>
      <c r="B1624" t="b">
        <v>0</v>
      </c>
      <c r="C1624" t="b">
        <v>0</v>
      </c>
      <c r="D1624" s="1">
        <v>0</v>
      </c>
      <c r="E1624" s="1">
        <v>13868</v>
      </c>
      <c r="F1624" s="1">
        <v>787</v>
      </c>
      <c r="G1624" s="1">
        <v>0</v>
      </c>
      <c r="H1624" s="1">
        <v>31409</v>
      </c>
      <c r="I1624" s="1">
        <v>0</v>
      </c>
      <c r="J1624" s="3">
        <f t="shared" si="82"/>
        <v>31409</v>
      </c>
      <c r="K1624" s="1">
        <v>0</v>
      </c>
      <c r="L1624" s="1">
        <v>0</v>
      </c>
      <c r="M1624" s="1">
        <v>0</v>
      </c>
      <c r="O1624" s="14">
        <v>0</v>
      </c>
      <c r="P1624" s="17">
        <f t="shared" si="81"/>
        <v>31409</v>
      </c>
      <c r="Q1624" s="1">
        <v>0</v>
      </c>
      <c r="R1624" s="1">
        <v>0</v>
      </c>
      <c r="S1624" s="20">
        <v>43344</v>
      </c>
      <c r="T1624" s="1">
        <v>46064</v>
      </c>
      <c r="U1624" s="9">
        <v>31409</v>
      </c>
      <c r="V1624" s="9" t="s">
        <v>21</v>
      </c>
    </row>
    <row r="1625" spans="1:22" x14ac:dyDescent="0.25">
      <c r="A1625" s="10" t="s">
        <v>36</v>
      </c>
      <c r="B1625" t="b">
        <v>0</v>
      </c>
      <c r="C1625" t="b">
        <v>0</v>
      </c>
      <c r="D1625" s="1">
        <v>0</v>
      </c>
      <c r="E1625" s="1">
        <v>8677</v>
      </c>
      <c r="F1625" s="1">
        <v>880</v>
      </c>
      <c r="G1625" s="1">
        <v>0</v>
      </c>
      <c r="H1625" s="1">
        <v>39721</v>
      </c>
      <c r="I1625" s="1">
        <v>95</v>
      </c>
      <c r="J1625" s="3">
        <f t="shared" si="82"/>
        <v>39721</v>
      </c>
      <c r="K1625" s="1">
        <v>0</v>
      </c>
      <c r="L1625" s="1">
        <v>0</v>
      </c>
      <c r="M1625" s="1">
        <v>0</v>
      </c>
      <c r="O1625" s="14">
        <v>0</v>
      </c>
      <c r="P1625" s="17">
        <f t="shared" si="81"/>
        <v>39721</v>
      </c>
      <c r="Q1625" s="1">
        <v>0</v>
      </c>
      <c r="R1625" s="1">
        <v>0</v>
      </c>
      <c r="S1625" s="20">
        <v>43374</v>
      </c>
      <c r="T1625" s="1">
        <v>49373</v>
      </c>
      <c r="U1625" s="9">
        <v>39721</v>
      </c>
      <c r="V1625" s="9" t="s">
        <v>21</v>
      </c>
    </row>
    <row r="1626" spans="1:22" x14ac:dyDescent="0.25">
      <c r="A1626" s="10" t="s">
        <v>36</v>
      </c>
      <c r="B1626" t="b">
        <v>0</v>
      </c>
      <c r="C1626" t="b">
        <v>0</v>
      </c>
      <c r="D1626" s="1">
        <v>0</v>
      </c>
      <c r="E1626" s="1">
        <v>9917</v>
      </c>
      <c r="F1626" s="1">
        <v>450</v>
      </c>
      <c r="G1626" s="1">
        <v>0</v>
      </c>
      <c r="H1626" s="1">
        <v>14460</v>
      </c>
      <c r="I1626" s="1">
        <v>7519</v>
      </c>
      <c r="J1626" s="3">
        <f t="shared" si="82"/>
        <v>14460</v>
      </c>
      <c r="K1626" s="1">
        <v>0</v>
      </c>
      <c r="L1626" s="1">
        <v>0</v>
      </c>
      <c r="M1626" s="1">
        <v>0</v>
      </c>
      <c r="O1626" s="14">
        <v>0</v>
      </c>
      <c r="P1626" s="17">
        <f t="shared" si="81"/>
        <v>14460</v>
      </c>
      <c r="Q1626" s="1">
        <v>0</v>
      </c>
      <c r="R1626" s="1">
        <v>0</v>
      </c>
      <c r="S1626" s="20">
        <v>43405</v>
      </c>
      <c r="T1626" s="1">
        <v>32346</v>
      </c>
      <c r="U1626" s="9">
        <v>14460</v>
      </c>
      <c r="V1626" s="9" t="s">
        <v>21</v>
      </c>
    </row>
    <row r="1627" spans="1:22" x14ac:dyDescent="0.25">
      <c r="A1627" s="10" t="s">
        <v>36</v>
      </c>
      <c r="B1627" t="b">
        <v>0</v>
      </c>
      <c r="C1627" t="b">
        <v>0</v>
      </c>
      <c r="D1627" s="1">
        <v>0</v>
      </c>
      <c r="E1627" s="1">
        <v>1356</v>
      </c>
      <c r="F1627" s="1">
        <v>0</v>
      </c>
      <c r="G1627" s="1">
        <v>0</v>
      </c>
      <c r="H1627" s="1">
        <v>13919</v>
      </c>
      <c r="I1627" s="1">
        <v>16934</v>
      </c>
      <c r="J1627" s="3">
        <f t="shared" si="82"/>
        <v>13919</v>
      </c>
      <c r="K1627" s="1">
        <v>0</v>
      </c>
      <c r="L1627" s="1">
        <v>0</v>
      </c>
      <c r="M1627" s="1">
        <v>0</v>
      </c>
      <c r="O1627" s="14">
        <v>0</v>
      </c>
      <c r="P1627" s="17">
        <f t="shared" si="81"/>
        <v>13919</v>
      </c>
      <c r="Q1627" s="1">
        <v>0</v>
      </c>
      <c r="R1627" s="1">
        <v>0</v>
      </c>
      <c r="S1627" s="20">
        <v>43435</v>
      </c>
      <c r="T1627" s="1">
        <v>32209</v>
      </c>
      <c r="U1627" s="9">
        <v>13919</v>
      </c>
      <c r="V1627" s="9" t="s">
        <v>21</v>
      </c>
    </row>
    <row r="1628" spans="1:22" x14ac:dyDescent="0.25">
      <c r="A1628" s="10" t="s">
        <v>36</v>
      </c>
      <c r="B1628" t="b">
        <v>0</v>
      </c>
      <c r="C1628" t="b">
        <v>0</v>
      </c>
      <c r="D1628" s="1">
        <v>0</v>
      </c>
      <c r="E1628" s="1">
        <v>11397</v>
      </c>
      <c r="F1628" s="1">
        <v>826</v>
      </c>
      <c r="G1628" s="1">
        <v>0</v>
      </c>
      <c r="H1628" s="1">
        <v>14912</v>
      </c>
      <c r="I1628" s="1">
        <v>1096</v>
      </c>
      <c r="J1628" s="3">
        <f t="shared" si="82"/>
        <v>14912</v>
      </c>
      <c r="K1628" s="1">
        <v>0</v>
      </c>
      <c r="L1628" s="1">
        <v>0</v>
      </c>
      <c r="M1628" s="1">
        <v>0</v>
      </c>
      <c r="O1628" s="14">
        <v>0</v>
      </c>
      <c r="P1628" s="17">
        <f t="shared" si="81"/>
        <v>14912</v>
      </c>
      <c r="Q1628" s="1">
        <v>0</v>
      </c>
      <c r="R1628" s="1">
        <v>0</v>
      </c>
      <c r="S1628" s="20">
        <v>43466</v>
      </c>
      <c r="T1628" s="1">
        <v>28231</v>
      </c>
      <c r="U1628" s="9">
        <v>14912</v>
      </c>
      <c r="V1628" s="9" t="s">
        <v>21</v>
      </c>
    </row>
    <row r="1629" spans="1:22" x14ac:dyDescent="0.25">
      <c r="A1629" s="10" t="s">
        <v>36</v>
      </c>
      <c r="B1629" t="b">
        <v>0</v>
      </c>
      <c r="C1629" t="b">
        <v>0</v>
      </c>
      <c r="D1629" s="1">
        <v>0</v>
      </c>
      <c r="E1629" s="1">
        <v>11155</v>
      </c>
      <c r="F1629" s="1">
        <v>1361</v>
      </c>
      <c r="G1629" s="1">
        <v>0</v>
      </c>
      <c r="H1629" s="1">
        <v>25190</v>
      </c>
      <c r="I1629" s="1">
        <v>1155</v>
      </c>
      <c r="J1629" s="3">
        <f t="shared" si="82"/>
        <v>25190</v>
      </c>
      <c r="K1629" s="1">
        <v>0</v>
      </c>
      <c r="L1629" s="1">
        <v>0</v>
      </c>
      <c r="M1629" s="1">
        <v>0</v>
      </c>
      <c r="O1629" s="14">
        <v>0</v>
      </c>
      <c r="P1629" s="17">
        <f t="shared" si="81"/>
        <v>25190</v>
      </c>
      <c r="Q1629" s="1">
        <v>0</v>
      </c>
      <c r="R1629" s="1">
        <v>0</v>
      </c>
      <c r="S1629" s="20">
        <v>43497</v>
      </c>
      <c r="T1629" s="1">
        <v>38861</v>
      </c>
      <c r="U1629" s="9">
        <v>25190</v>
      </c>
      <c r="V1629" s="9" t="s">
        <v>21</v>
      </c>
    </row>
    <row r="1630" spans="1:22" x14ac:dyDescent="0.25">
      <c r="A1630" s="10" t="s">
        <v>36</v>
      </c>
      <c r="B1630" t="b">
        <v>0</v>
      </c>
      <c r="C1630" t="b">
        <v>0</v>
      </c>
      <c r="D1630" s="1">
        <v>0</v>
      </c>
      <c r="E1630" s="1">
        <v>14458</v>
      </c>
      <c r="F1630" s="1">
        <v>5295</v>
      </c>
      <c r="G1630" s="1">
        <v>0</v>
      </c>
      <c r="H1630" s="1">
        <v>13925</v>
      </c>
      <c r="I1630" s="1">
        <v>2231</v>
      </c>
      <c r="J1630" s="3">
        <f t="shared" si="82"/>
        <v>13925</v>
      </c>
      <c r="K1630" s="1">
        <v>0</v>
      </c>
      <c r="L1630" s="1">
        <v>0</v>
      </c>
      <c r="M1630" s="1">
        <v>0</v>
      </c>
      <c r="O1630" s="14">
        <v>0</v>
      </c>
      <c r="P1630" s="17">
        <f t="shared" si="81"/>
        <v>13925</v>
      </c>
      <c r="Q1630" s="1">
        <v>0</v>
      </c>
      <c r="R1630" s="1">
        <v>0</v>
      </c>
      <c r="S1630" s="20">
        <v>43525</v>
      </c>
      <c r="T1630" s="1">
        <v>35909</v>
      </c>
      <c r="U1630" s="9">
        <v>13925</v>
      </c>
      <c r="V1630" s="9" t="s">
        <v>21</v>
      </c>
    </row>
    <row r="1631" spans="1:22" x14ac:dyDescent="0.25">
      <c r="A1631" s="10" t="s">
        <v>36</v>
      </c>
      <c r="B1631" t="b">
        <v>0</v>
      </c>
      <c r="C1631" t="b">
        <v>0</v>
      </c>
      <c r="D1631" s="1">
        <v>0</v>
      </c>
      <c r="E1631" s="1">
        <v>14278</v>
      </c>
      <c r="F1631" s="1">
        <v>6191</v>
      </c>
      <c r="G1631" s="1">
        <v>0</v>
      </c>
      <c r="H1631" s="1">
        <v>23672</v>
      </c>
      <c r="I1631" s="1">
        <v>4951</v>
      </c>
      <c r="J1631" s="3">
        <f t="shared" si="82"/>
        <v>23672</v>
      </c>
      <c r="K1631" s="1">
        <v>0</v>
      </c>
      <c r="L1631" s="1">
        <v>0</v>
      </c>
      <c r="M1631" s="1">
        <v>0</v>
      </c>
      <c r="O1631" s="14">
        <v>0</v>
      </c>
      <c r="P1631" s="17">
        <f t="shared" si="81"/>
        <v>23672</v>
      </c>
      <c r="Q1631" s="1">
        <v>0</v>
      </c>
      <c r="R1631" s="1">
        <v>0</v>
      </c>
      <c r="S1631" s="20">
        <v>43556</v>
      </c>
      <c r="T1631" s="1">
        <v>49092</v>
      </c>
      <c r="U1631" s="9">
        <v>23672</v>
      </c>
      <c r="V1631" s="9" t="s">
        <v>21</v>
      </c>
    </row>
    <row r="1632" spans="1:22" x14ac:dyDescent="0.25">
      <c r="A1632" s="10" t="s">
        <v>36</v>
      </c>
      <c r="B1632" t="b">
        <v>0</v>
      </c>
      <c r="C1632" t="b">
        <v>0</v>
      </c>
      <c r="D1632" s="1">
        <v>0</v>
      </c>
      <c r="E1632" s="1">
        <v>13474</v>
      </c>
      <c r="F1632" s="1">
        <v>9422</v>
      </c>
      <c r="G1632" s="1">
        <v>0</v>
      </c>
      <c r="H1632" s="1">
        <v>20985</v>
      </c>
      <c r="I1632" s="1">
        <v>4826</v>
      </c>
      <c r="J1632" s="3">
        <f t="shared" si="82"/>
        <v>20985</v>
      </c>
      <c r="K1632" s="1">
        <v>0</v>
      </c>
      <c r="L1632" s="1">
        <v>0</v>
      </c>
      <c r="M1632" s="1">
        <v>0</v>
      </c>
      <c r="O1632" s="14">
        <v>0</v>
      </c>
      <c r="P1632" s="17">
        <f t="shared" si="81"/>
        <v>20985</v>
      </c>
      <c r="Q1632" s="1">
        <v>0</v>
      </c>
      <c r="R1632" s="1">
        <v>0</v>
      </c>
      <c r="S1632" s="20">
        <v>43586</v>
      </c>
      <c r="T1632" s="1">
        <v>48707</v>
      </c>
      <c r="U1632" s="9">
        <v>20985</v>
      </c>
      <c r="V1632" s="9" t="s">
        <v>21</v>
      </c>
    </row>
    <row r="1633" spans="1:22" x14ac:dyDescent="0.25">
      <c r="A1633" s="10" t="s">
        <v>36</v>
      </c>
      <c r="B1633" t="b">
        <v>0</v>
      </c>
      <c r="C1633" t="b">
        <v>0</v>
      </c>
      <c r="D1633" s="1">
        <v>0</v>
      </c>
      <c r="E1633" s="1">
        <v>15890</v>
      </c>
      <c r="F1633" s="1">
        <v>2010</v>
      </c>
      <c r="G1633" s="1">
        <v>0</v>
      </c>
      <c r="H1633" s="1">
        <v>18496</v>
      </c>
      <c r="I1633" s="1">
        <v>980</v>
      </c>
      <c r="J1633" s="3">
        <f t="shared" si="82"/>
        <v>18496</v>
      </c>
      <c r="K1633" s="1">
        <v>0</v>
      </c>
      <c r="L1633" s="1">
        <v>0</v>
      </c>
      <c r="M1633" s="1">
        <v>0</v>
      </c>
      <c r="O1633" s="14">
        <v>0</v>
      </c>
      <c r="P1633" s="17">
        <f t="shared" si="81"/>
        <v>18496</v>
      </c>
      <c r="Q1633" s="1">
        <v>0</v>
      </c>
      <c r="R1633" s="1">
        <v>0</v>
      </c>
      <c r="S1633" s="20">
        <v>43617</v>
      </c>
      <c r="T1633" s="1">
        <v>37376</v>
      </c>
      <c r="U1633" s="9">
        <v>18496</v>
      </c>
      <c r="V1633" s="9" t="s">
        <v>21</v>
      </c>
    </row>
    <row r="1634" spans="1:22" x14ac:dyDescent="0.25">
      <c r="A1634" s="10" t="s">
        <v>36</v>
      </c>
      <c r="B1634" t="b">
        <v>0</v>
      </c>
      <c r="C1634" t="b">
        <v>0</v>
      </c>
      <c r="D1634" s="1">
        <v>0</v>
      </c>
      <c r="E1634" s="1">
        <v>20035</v>
      </c>
      <c r="F1634" s="1">
        <v>1119</v>
      </c>
      <c r="G1634" s="1">
        <v>0</v>
      </c>
      <c r="H1634" s="1">
        <v>18071</v>
      </c>
      <c r="I1634" s="1">
        <v>2493</v>
      </c>
      <c r="J1634" s="3">
        <f t="shared" si="82"/>
        <v>18071</v>
      </c>
      <c r="K1634" s="1">
        <v>0</v>
      </c>
      <c r="L1634" s="1">
        <v>0</v>
      </c>
      <c r="M1634" s="1">
        <v>0</v>
      </c>
      <c r="O1634" s="14">
        <v>0</v>
      </c>
      <c r="P1634" s="17">
        <f t="shared" si="81"/>
        <v>18071</v>
      </c>
      <c r="Q1634" s="1">
        <v>0</v>
      </c>
      <c r="R1634" s="1">
        <v>0</v>
      </c>
      <c r="S1634" s="20">
        <v>43647</v>
      </c>
      <c r="T1634" s="1">
        <v>41718</v>
      </c>
      <c r="U1634" s="9">
        <v>18071</v>
      </c>
      <c r="V1634" s="9" t="s">
        <v>21</v>
      </c>
    </row>
    <row r="1635" spans="1:22" x14ac:dyDescent="0.25">
      <c r="A1635" s="10" t="s">
        <v>36</v>
      </c>
      <c r="B1635" t="b">
        <v>0</v>
      </c>
      <c r="C1635" t="b">
        <v>0</v>
      </c>
      <c r="D1635" s="1">
        <v>0</v>
      </c>
      <c r="E1635" s="1">
        <v>15790</v>
      </c>
      <c r="F1635" s="1">
        <v>433</v>
      </c>
      <c r="G1635" s="1">
        <v>0</v>
      </c>
      <c r="H1635" s="1">
        <v>17301</v>
      </c>
      <c r="I1635" s="1">
        <v>977</v>
      </c>
      <c r="J1635" s="3">
        <f t="shared" si="82"/>
        <v>17301</v>
      </c>
      <c r="K1635" s="1">
        <v>0</v>
      </c>
      <c r="L1635" s="1">
        <v>0</v>
      </c>
      <c r="M1635" s="1">
        <v>0</v>
      </c>
      <c r="O1635" s="14">
        <v>0</v>
      </c>
      <c r="P1635" s="17">
        <f t="shared" si="81"/>
        <v>17301</v>
      </c>
      <c r="Q1635" s="1">
        <v>0</v>
      </c>
      <c r="R1635" s="1">
        <v>0</v>
      </c>
      <c r="S1635" s="20">
        <v>43678</v>
      </c>
      <c r="T1635" s="1">
        <v>34501</v>
      </c>
      <c r="U1635" s="9">
        <v>17301</v>
      </c>
      <c r="V1635" s="9" t="s">
        <v>21</v>
      </c>
    </row>
    <row r="1636" spans="1:22" x14ac:dyDescent="0.25">
      <c r="A1636" s="10" t="s">
        <v>36</v>
      </c>
      <c r="B1636" t="b">
        <v>0</v>
      </c>
      <c r="C1636" t="b">
        <v>0</v>
      </c>
      <c r="D1636" s="1">
        <v>0</v>
      </c>
      <c r="E1636" s="1">
        <v>11638</v>
      </c>
      <c r="F1636" s="1">
        <v>771</v>
      </c>
      <c r="G1636" s="1">
        <v>0</v>
      </c>
      <c r="H1636" s="1">
        <v>17579</v>
      </c>
      <c r="I1636" s="1">
        <v>2479</v>
      </c>
      <c r="J1636" s="3">
        <f t="shared" si="82"/>
        <v>17579</v>
      </c>
      <c r="K1636" s="1">
        <v>0</v>
      </c>
      <c r="L1636" s="1">
        <v>0</v>
      </c>
      <c r="M1636" s="1">
        <v>0</v>
      </c>
      <c r="O1636" s="14">
        <v>0</v>
      </c>
      <c r="P1636" s="17">
        <f t="shared" si="81"/>
        <v>17579</v>
      </c>
      <c r="Q1636" s="1">
        <v>0</v>
      </c>
      <c r="R1636" s="1">
        <v>0</v>
      </c>
      <c r="S1636" s="20">
        <v>43709</v>
      </c>
      <c r="T1636" s="1">
        <v>32467</v>
      </c>
      <c r="U1636" s="9">
        <v>17579</v>
      </c>
      <c r="V1636" s="9" t="s">
        <v>21</v>
      </c>
    </row>
    <row r="1637" spans="1:22" x14ac:dyDescent="0.25">
      <c r="A1637" s="10" t="s">
        <v>36</v>
      </c>
      <c r="B1637" t="b">
        <v>0</v>
      </c>
      <c r="C1637" t="b">
        <v>0</v>
      </c>
      <c r="D1637" s="1">
        <v>0</v>
      </c>
      <c r="E1637" s="1">
        <v>9078</v>
      </c>
      <c r="F1637" s="1">
        <v>1292</v>
      </c>
      <c r="G1637" s="1">
        <v>0</v>
      </c>
      <c r="H1637" s="1">
        <v>20282</v>
      </c>
      <c r="I1637" s="1">
        <v>5582</v>
      </c>
      <c r="J1637" s="3">
        <f t="shared" si="82"/>
        <v>20282</v>
      </c>
      <c r="K1637" s="1">
        <v>0</v>
      </c>
      <c r="L1637" s="1">
        <v>0</v>
      </c>
      <c r="M1637" s="1">
        <v>0</v>
      </c>
      <c r="O1637" s="14">
        <v>0</v>
      </c>
      <c r="P1637" s="17">
        <f t="shared" si="81"/>
        <v>20282</v>
      </c>
      <c r="Q1637" s="1">
        <v>0</v>
      </c>
      <c r="R1637" s="1">
        <v>0</v>
      </c>
      <c r="S1637" s="20">
        <v>43739</v>
      </c>
      <c r="T1637" s="1">
        <v>36234</v>
      </c>
      <c r="U1637" s="9">
        <v>20282</v>
      </c>
      <c r="V1637" s="9" t="s">
        <v>21</v>
      </c>
    </row>
    <row r="1638" spans="1:22" x14ac:dyDescent="0.25">
      <c r="A1638" s="10" t="s">
        <v>36</v>
      </c>
      <c r="B1638" t="b">
        <v>0</v>
      </c>
      <c r="C1638" t="b">
        <v>0</v>
      </c>
      <c r="D1638" s="1">
        <v>0</v>
      </c>
      <c r="E1638" s="1">
        <v>13028</v>
      </c>
      <c r="F1638" s="1">
        <v>466</v>
      </c>
      <c r="G1638" s="1">
        <v>0</v>
      </c>
      <c r="H1638" s="1">
        <v>11492</v>
      </c>
      <c r="I1638" s="1">
        <v>12579</v>
      </c>
      <c r="J1638" s="3">
        <f t="shared" si="82"/>
        <v>11492</v>
      </c>
      <c r="K1638" s="1">
        <v>0</v>
      </c>
      <c r="L1638" s="1">
        <v>0</v>
      </c>
      <c r="M1638" s="1">
        <v>0</v>
      </c>
      <c r="O1638" s="14">
        <v>0</v>
      </c>
      <c r="P1638" s="17">
        <f t="shared" si="81"/>
        <v>11492</v>
      </c>
      <c r="Q1638" s="1">
        <v>0</v>
      </c>
      <c r="R1638" s="1">
        <v>0</v>
      </c>
      <c r="S1638" s="20">
        <v>43770</v>
      </c>
      <c r="T1638" s="1">
        <v>37565</v>
      </c>
      <c r="U1638" s="9">
        <v>11492</v>
      </c>
      <c r="V1638" s="9" t="s">
        <v>21</v>
      </c>
    </row>
    <row r="1639" spans="1:22" x14ac:dyDescent="0.25">
      <c r="A1639" s="10" t="s">
        <v>36</v>
      </c>
      <c r="B1639" t="b">
        <v>0</v>
      </c>
      <c r="C1639" t="b">
        <v>0</v>
      </c>
      <c r="D1639" s="1">
        <v>0</v>
      </c>
      <c r="E1639" s="1">
        <v>14471</v>
      </c>
      <c r="F1639" s="1">
        <v>400</v>
      </c>
      <c r="G1639" s="1">
        <v>0</v>
      </c>
      <c r="H1639" s="1">
        <v>21252</v>
      </c>
      <c r="I1639" s="1">
        <v>27895</v>
      </c>
      <c r="J1639" s="3">
        <f t="shared" si="82"/>
        <v>21252</v>
      </c>
      <c r="K1639" s="1">
        <v>0</v>
      </c>
      <c r="L1639" s="1">
        <v>0</v>
      </c>
      <c r="M1639" s="1">
        <v>0</v>
      </c>
      <c r="O1639" s="14">
        <v>0</v>
      </c>
      <c r="P1639" s="17">
        <f t="shared" si="81"/>
        <v>21252</v>
      </c>
      <c r="Q1639" s="1">
        <v>0</v>
      </c>
      <c r="R1639" s="1">
        <v>0</v>
      </c>
      <c r="S1639" s="20">
        <v>43800</v>
      </c>
      <c r="T1639" s="1">
        <v>64018</v>
      </c>
      <c r="U1639" s="9">
        <v>21252</v>
      </c>
      <c r="V1639" s="9" t="s">
        <v>21</v>
      </c>
    </row>
    <row r="1640" spans="1:22" x14ac:dyDescent="0.25">
      <c r="A1640" s="10" t="s">
        <v>36</v>
      </c>
      <c r="B1640" t="b">
        <v>0</v>
      </c>
      <c r="C1640" t="b">
        <v>0</v>
      </c>
      <c r="D1640" s="1">
        <v>0</v>
      </c>
      <c r="E1640" s="1">
        <v>11552</v>
      </c>
      <c r="F1640" s="1">
        <v>866</v>
      </c>
      <c r="G1640" s="1">
        <v>0</v>
      </c>
      <c r="H1640" s="1">
        <v>8598</v>
      </c>
      <c r="I1640" s="1">
        <v>1593</v>
      </c>
      <c r="J1640" s="3">
        <f t="shared" si="82"/>
        <v>8598</v>
      </c>
      <c r="K1640" s="1">
        <v>0</v>
      </c>
      <c r="L1640" s="1">
        <v>0</v>
      </c>
      <c r="M1640" s="1">
        <v>0</v>
      </c>
      <c r="O1640" s="14">
        <v>0</v>
      </c>
      <c r="P1640" s="17">
        <f t="shared" si="81"/>
        <v>8598</v>
      </c>
      <c r="Q1640" s="1">
        <v>0</v>
      </c>
      <c r="R1640" s="1">
        <v>0</v>
      </c>
      <c r="S1640" s="20">
        <v>43831</v>
      </c>
      <c r="T1640" s="1">
        <v>22609</v>
      </c>
      <c r="U1640" s="9">
        <v>8598</v>
      </c>
      <c r="V1640" s="9" t="s">
        <v>21</v>
      </c>
    </row>
    <row r="1641" spans="1:22" x14ac:dyDescent="0.25">
      <c r="A1641" s="10" t="s">
        <v>36</v>
      </c>
      <c r="B1641" t="b">
        <v>0</v>
      </c>
      <c r="C1641" t="b">
        <v>0</v>
      </c>
      <c r="D1641" s="1">
        <v>0</v>
      </c>
      <c r="E1641" s="1">
        <v>11619</v>
      </c>
      <c r="F1641" s="1">
        <v>1538</v>
      </c>
      <c r="G1641" s="1">
        <v>0</v>
      </c>
      <c r="H1641" s="1">
        <v>23763</v>
      </c>
      <c r="I1641" s="1">
        <v>842</v>
      </c>
      <c r="J1641" s="3">
        <f t="shared" si="82"/>
        <v>23763</v>
      </c>
      <c r="K1641" s="1">
        <v>0</v>
      </c>
      <c r="L1641" s="1">
        <v>0</v>
      </c>
      <c r="M1641" s="1">
        <v>0</v>
      </c>
      <c r="O1641" s="14">
        <v>0</v>
      </c>
      <c r="P1641" s="17">
        <f t="shared" si="81"/>
        <v>23763</v>
      </c>
      <c r="Q1641" s="1">
        <v>0</v>
      </c>
      <c r="R1641" s="1">
        <v>0</v>
      </c>
      <c r="S1641" s="20">
        <v>43862</v>
      </c>
      <c r="T1641" s="1">
        <v>37762</v>
      </c>
      <c r="U1641" s="9">
        <v>23763</v>
      </c>
      <c r="V1641" s="9" t="s">
        <v>21</v>
      </c>
    </row>
    <row r="1642" spans="1:22" x14ac:dyDescent="0.25">
      <c r="A1642" s="10" t="s">
        <v>36</v>
      </c>
      <c r="B1642" t="b">
        <v>0</v>
      </c>
      <c r="C1642" t="b">
        <v>0</v>
      </c>
      <c r="D1642" s="1">
        <v>0</v>
      </c>
      <c r="E1642" s="1">
        <v>3224</v>
      </c>
      <c r="F1642" s="1">
        <v>1475</v>
      </c>
      <c r="G1642" s="1">
        <v>0</v>
      </c>
      <c r="H1642" s="1">
        <v>2393</v>
      </c>
      <c r="I1642" s="1">
        <v>0</v>
      </c>
      <c r="J1642" s="3">
        <f t="shared" si="82"/>
        <v>2393</v>
      </c>
      <c r="K1642" s="1">
        <v>0</v>
      </c>
      <c r="L1642" s="1">
        <v>0</v>
      </c>
      <c r="M1642" s="1">
        <v>0</v>
      </c>
      <c r="O1642" s="14">
        <v>0</v>
      </c>
      <c r="P1642" s="17">
        <f t="shared" si="81"/>
        <v>2393</v>
      </c>
      <c r="Q1642" s="1">
        <v>0</v>
      </c>
      <c r="R1642" s="1">
        <v>0</v>
      </c>
      <c r="S1642" s="20">
        <v>43891</v>
      </c>
      <c r="T1642" s="1">
        <v>7092</v>
      </c>
      <c r="U1642" s="9">
        <v>2393</v>
      </c>
      <c r="V1642" s="9" t="s">
        <v>21</v>
      </c>
    </row>
    <row r="1643" spans="1:22" x14ac:dyDescent="0.25">
      <c r="A1643" s="10" t="s">
        <v>36</v>
      </c>
      <c r="B1643" t="b">
        <v>1</v>
      </c>
      <c r="C1643" t="b">
        <v>0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3">
        <f t="shared" si="82"/>
        <v>0</v>
      </c>
      <c r="K1643" s="1">
        <v>0</v>
      </c>
      <c r="L1643" s="1">
        <v>0</v>
      </c>
      <c r="M1643" s="1">
        <v>0</v>
      </c>
      <c r="O1643" s="14">
        <v>0</v>
      </c>
      <c r="P1643" s="17">
        <f t="shared" si="81"/>
        <v>0</v>
      </c>
      <c r="Q1643" s="1">
        <v>0</v>
      </c>
      <c r="R1643" s="1">
        <v>0</v>
      </c>
      <c r="S1643" s="20">
        <v>43922</v>
      </c>
      <c r="T1643" s="1">
        <v>0</v>
      </c>
      <c r="U1643" s="9">
        <v>0</v>
      </c>
      <c r="V1643" s="9" t="s">
        <v>21</v>
      </c>
    </row>
    <row r="1644" spans="1:22" x14ac:dyDescent="0.25">
      <c r="A1644" s="10" t="s">
        <v>36</v>
      </c>
      <c r="B1644" t="b">
        <v>1</v>
      </c>
      <c r="C1644" t="b">
        <v>0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3">
        <f t="shared" si="82"/>
        <v>0</v>
      </c>
      <c r="K1644" s="1">
        <v>0</v>
      </c>
      <c r="L1644" s="1">
        <v>0</v>
      </c>
      <c r="M1644" s="1">
        <v>0</v>
      </c>
      <c r="O1644" s="14">
        <v>0</v>
      </c>
      <c r="P1644" s="17">
        <f t="shared" si="81"/>
        <v>0</v>
      </c>
      <c r="Q1644" s="1">
        <v>0</v>
      </c>
      <c r="R1644" s="1">
        <v>0</v>
      </c>
      <c r="S1644" s="20">
        <v>43952</v>
      </c>
      <c r="T1644" s="1">
        <v>0</v>
      </c>
      <c r="U1644" s="9">
        <v>0</v>
      </c>
      <c r="V1644" s="9" t="s">
        <v>21</v>
      </c>
    </row>
    <row r="1645" spans="1:22" x14ac:dyDescent="0.25">
      <c r="A1645" s="10" t="s">
        <v>36</v>
      </c>
      <c r="B1645" t="b">
        <v>1</v>
      </c>
      <c r="C1645" t="b">
        <v>0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3">
        <f t="shared" si="82"/>
        <v>0</v>
      </c>
      <c r="K1645" s="1">
        <v>0</v>
      </c>
      <c r="L1645" s="1">
        <v>0</v>
      </c>
      <c r="M1645" s="1">
        <v>0</v>
      </c>
      <c r="O1645" s="14">
        <v>0</v>
      </c>
      <c r="P1645" s="17">
        <f t="shared" si="81"/>
        <v>0</v>
      </c>
      <c r="Q1645" s="1">
        <v>0</v>
      </c>
      <c r="R1645" s="1">
        <v>0</v>
      </c>
      <c r="S1645" s="20">
        <v>43983</v>
      </c>
      <c r="T1645" s="1">
        <v>0</v>
      </c>
      <c r="U1645" s="9">
        <v>0</v>
      </c>
      <c r="V1645" s="9" t="s">
        <v>21</v>
      </c>
    </row>
    <row r="1646" spans="1:22" x14ac:dyDescent="0.25">
      <c r="A1646" s="10" t="s">
        <v>36</v>
      </c>
      <c r="B1646" t="b">
        <v>1</v>
      </c>
      <c r="C1646" t="b">
        <v>0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3">
        <f t="shared" si="82"/>
        <v>0</v>
      </c>
      <c r="K1646" s="1">
        <v>0</v>
      </c>
      <c r="L1646" s="1">
        <v>0</v>
      </c>
      <c r="M1646" s="1">
        <v>0</v>
      </c>
      <c r="O1646" s="14">
        <v>0</v>
      </c>
      <c r="P1646" s="17">
        <f t="shared" si="81"/>
        <v>0</v>
      </c>
      <c r="Q1646" s="1">
        <v>0</v>
      </c>
      <c r="R1646" s="1">
        <v>0</v>
      </c>
      <c r="S1646" s="20">
        <v>44013</v>
      </c>
      <c r="T1646" s="1">
        <v>0</v>
      </c>
      <c r="U1646" s="9">
        <v>0</v>
      </c>
      <c r="V1646" s="9" t="s">
        <v>21</v>
      </c>
    </row>
    <row r="1647" spans="1:22" x14ac:dyDescent="0.25">
      <c r="A1647" s="10" t="s">
        <v>36</v>
      </c>
      <c r="B1647" t="b">
        <v>0</v>
      </c>
      <c r="C1647" t="b">
        <v>0</v>
      </c>
      <c r="D1647" s="1"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3">
        <f t="shared" si="82"/>
        <v>0</v>
      </c>
      <c r="K1647" s="1">
        <v>0</v>
      </c>
      <c r="L1647" s="1">
        <v>0</v>
      </c>
      <c r="M1647" s="1">
        <v>0</v>
      </c>
      <c r="O1647" s="14">
        <v>0</v>
      </c>
      <c r="P1647" s="17">
        <f t="shared" si="81"/>
        <v>0</v>
      </c>
      <c r="Q1647" s="1">
        <v>0</v>
      </c>
      <c r="R1647" s="1">
        <v>0</v>
      </c>
      <c r="S1647" s="20">
        <v>44013</v>
      </c>
      <c r="T1647" s="1">
        <v>0</v>
      </c>
      <c r="U1647" s="9">
        <v>0</v>
      </c>
      <c r="V1647" s="9" t="s">
        <v>21</v>
      </c>
    </row>
    <row r="1648" spans="1:22" x14ac:dyDescent="0.25">
      <c r="A1648" s="10" t="s">
        <v>36</v>
      </c>
      <c r="B1648" t="b">
        <v>1</v>
      </c>
      <c r="C1648" t="b">
        <v>0</v>
      </c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3">
        <f t="shared" si="82"/>
        <v>0</v>
      </c>
      <c r="K1648" s="1">
        <v>0</v>
      </c>
      <c r="L1648" s="1">
        <v>0</v>
      </c>
      <c r="M1648" s="1">
        <v>0</v>
      </c>
      <c r="O1648" s="14">
        <v>0</v>
      </c>
      <c r="P1648" s="17">
        <f t="shared" si="81"/>
        <v>0</v>
      </c>
      <c r="Q1648" s="1">
        <v>0</v>
      </c>
      <c r="R1648" s="1">
        <v>0</v>
      </c>
      <c r="S1648" s="20">
        <v>44044</v>
      </c>
      <c r="T1648" s="1">
        <v>0</v>
      </c>
      <c r="U1648" s="9">
        <v>0</v>
      </c>
      <c r="V1648" s="9" t="s">
        <v>21</v>
      </c>
    </row>
    <row r="1649" spans="1:22" x14ac:dyDescent="0.25">
      <c r="A1649" s="10" t="s">
        <v>36</v>
      </c>
      <c r="B1649" t="b">
        <v>0</v>
      </c>
      <c r="C1649" t="b">
        <v>0</v>
      </c>
      <c r="D1649" s="1">
        <v>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3">
        <f t="shared" si="82"/>
        <v>0</v>
      </c>
      <c r="K1649" s="1">
        <v>0</v>
      </c>
      <c r="L1649" s="1">
        <v>0</v>
      </c>
      <c r="M1649" s="1">
        <v>0</v>
      </c>
      <c r="O1649" s="14">
        <v>0</v>
      </c>
      <c r="P1649" s="17">
        <f t="shared" si="81"/>
        <v>0</v>
      </c>
      <c r="Q1649" s="1">
        <v>0</v>
      </c>
      <c r="R1649" s="1">
        <v>0</v>
      </c>
      <c r="S1649" s="20">
        <v>44044</v>
      </c>
      <c r="T1649" s="1">
        <v>0</v>
      </c>
      <c r="U1649" s="9">
        <v>0</v>
      </c>
      <c r="V1649" s="9" t="s">
        <v>21</v>
      </c>
    </row>
    <row r="1650" spans="1:22" x14ac:dyDescent="0.25">
      <c r="A1650" s="10" t="s">
        <v>36</v>
      </c>
      <c r="B1650" t="b">
        <v>1</v>
      </c>
      <c r="C1650" t="b">
        <v>0</v>
      </c>
      <c r="D1650" s="1">
        <v>0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3">
        <f t="shared" si="82"/>
        <v>0</v>
      </c>
      <c r="K1650" s="1">
        <v>0</v>
      </c>
      <c r="L1650" s="1">
        <v>0</v>
      </c>
      <c r="M1650" s="1">
        <v>0</v>
      </c>
      <c r="O1650" s="14">
        <v>0</v>
      </c>
      <c r="P1650" s="17">
        <f t="shared" si="81"/>
        <v>0</v>
      </c>
      <c r="Q1650" s="1">
        <v>0</v>
      </c>
      <c r="R1650" s="1">
        <v>0</v>
      </c>
      <c r="S1650" s="20">
        <v>44075</v>
      </c>
      <c r="T1650" s="1">
        <v>0</v>
      </c>
      <c r="U1650" s="9">
        <v>0</v>
      </c>
      <c r="V1650" s="9" t="s">
        <v>21</v>
      </c>
    </row>
    <row r="1651" spans="1:22" x14ac:dyDescent="0.25">
      <c r="A1651" s="10" t="s">
        <v>36</v>
      </c>
      <c r="B1651" t="b">
        <v>0</v>
      </c>
      <c r="C1651" t="b">
        <v>0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3">
        <f t="shared" si="82"/>
        <v>0</v>
      </c>
      <c r="K1651" s="1">
        <v>0</v>
      </c>
      <c r="L1651" s="1">
        <v>0</v>
      </c>
      <c r="M1651" s="1">
        <v>0</v>
      </c>
      <c r="O1651" s="14">
        <v>0</v>
      </c>
      <c r="P1651" s="17">
        <f t="shared" si="81"/>
        <v>0</v>
      </c>
      <c r="Q1651" s="1">
        <v>0</v>
      </c>
      <c r="R1651" s="1">
        <v>0</v>
      </c>
      <c r="S1651" s="20">
        <v>44105</v>
      </c>
      <c r="T1651" s="1">
        <v>0</v>
      </c>
      <c r="U1651" s="9">
        <v>0</v>
      </c>
      <c r="V1651" s="9" t="s">
        <v>21</v>
      </c>
    </row>
    <row r="1652" spans="1:22" x14ac:dyDescent="0.25">
      <c r="A1652" s="10" t="s">
        <v>36</v>
      </c>
      <c r="B1652" t="b">
        <v>0</v>
      </c>
      <c r="C1652" t="b">
        <v>0</v>
      </c>
      <c r="D1652" s="1">
        <v>0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3">
        <f t="shared" si="82"/>
        <v>0</v>
      </c>
      <c r="K1652" s="1">
        <v>0</v>
      </c>
      <c r="L1652" s="1">
        <v>0</v>
      </c>
      <c r="M1652" s="1">
        <v>0</v>
      </c>
      <c r="O1652" s="14">
        <v>0</v>
      </c>
      <c r="P1652" s="17">
        <f t="shared" si="81"/>
        <v>0</v>
      </c>
      <c r="Q1652" s="1">
        <v>0</v>
      </c>
      <c r="R1652" s="1">
        <v>0</v>
      </c>
      <c r="S1652" s="20">
        <v>44136</v>
      </c>
      <c r="T1652" s="1">
        <v>0</v>
      </c>
      <c r="U1652" s="9">
        <v>0</v>
      </c>
      <c r="V1652" s="9" t="s">
        <v>21</v>
      </c>
    </row>
    <row r="1653" spans="1:22" x14ac:dyDescent="0.25">
      <c r="A1653" s="10" t="s">
        <v>36</v>
      </c>
      <c r="B1653" t="b">
        <v>0</v>
      </c>
      <c r="C1653" t="b">
        <v>0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3">
        <f t="shared" si="82"/>
        <v>0</v>
      </c>
      <c r="K1653" s="1">
        <v>0</v>
      </c>
      <c r="L1653" s="1">
        <v>0</v>
      </c>
      <c r="M1653" s="1">
        <v>0</v>
      </c>
      <c r="O1653" s="14">
        <v>0</v>
      </c>
      <c r="P1653" s="17">
        <f t="shared" si="81"/>
        <v>0</v>
      </c>
      <c r="Q1653" s="1">
        <v>0</v>
      </c>
      <c r="R1653" s="1">
        <v>0</v>
      </c>
      <c r="S1653" s="20">
        <v>44166</v>
      </c>
      <c r="T1653" s="1">
        <v>0</v>
      </c>
      <c r="U1653" s="9">
        <v>0</v>
      </c>
      <c r="V1653" s="9" t="s">
        <v>21</v>
      </c>
    </row>
  </sheetData>
  <autoFilter ref="A1:V1653" xr:uid="{691F4D47-ADEF-4CD9-9724-CF6C9C93CDB4}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FB8D-882C-4DA6-B5C3-FE0B1F9663DB}">
  <dimension ref="A1:BK945"/>
  <sheetViews>
    <sheetView zoomScale="85" zoomScaleNormal="85" workbookViewId="0">
      <pane ySplit="1" topLeftCell="A2" activePane="bottomLeft" state="frozen"/>
      <selection pane="bottomLeft" activeCell="O1" sqref="O1"/>
    </sheetView>
  </sheetViews>
  <sheetFormatPr defaultRowHeight="15" x14ac:dyDescent="0.25"/>
  <cols>
    <col min="1" max="1" width="22.42578125" style="10" bestFit="1" customWidth="1"/>
    <col min="15" max="15" width="9.140625" style="10"/>
    <col min="16" max="16" width="29.5703125" bestFit="1" customWidth="1"/>
    <col min="18" max="18" width="30.5703125" style="10" bestFit="1" customWidth="1"/>
    <col min="19" max="19" width="12.85546875" bestFit="1" customWidth="1"/>
    <col min="20" max="20" width="51.42578125" style="10" customWidth="1"/>
    <col min="21" max="21" width="14.42578125" bestFit="1" customWidth="1"/>
    <col min="22" max="22" width="49" customWidth="1"/>
    <col min="23" max="23" width="5.140625" bestFit="1" customWidth="1"/>
    <col min="24" max="24" width="5.42578125" bestFit="1" customWidth="1"/>
    <col min="25" max="25" width="14.85546875" customWidth="1"/>
    <col min="26" max="26" width="14.5703125" bestFit="1" customWidth="1"/>
    <col min="27" max="31" width="14.140625" bestFit="1" customWidth="1"/>
    <col min="32" max="32" width="5.140625" bestFit="1" customWidth="1"/>
    <col min="33" max="33" width="11.85546875" customWidth="1"/>
    <col min="34" max="34" width="13.5703125" bestFit="1" customWidth="1"/>
    <col min="35" max="37" width="14.140625" bestFit="1" customWidth="1"/>
    <col min="38" max="38" width="7.140625" bestFit="1" customWidth="1"/>
    <col min="39" max="39" width="14.140625" bestFit="1" customWidth="1"/>
    <col min="40" max="40" width="5.140625" bestFit="1" customWidth="1"/>
    <col min="41" max="41" width="11.85546875" bestFit="1" customWidth="1"/>
    <col min="42" max="42" width="13.5703125" bestFit="1" customWidth="1"/>
    <col min="43" max="43" width="13.42578125" bestFit="1" customWidth="1"/>
    <col min="44" max="47" width="14.140625" bestFit="1" customWidth="1"/>
    <col min="48" max="48" width="5.140625" bestFit="1" customWidth="1"/>
    <col min="49" max="49" width="11.85546875" bestFit="1" customWidth="1"/>
    <col min="50" max="50" width="13.5703125" bestFit="1" customWidth="1"/>
    <col min="51" max="53" width="14.140625" bestFit="1" customWidth="1"/>
    <col min="54" max="54" width="4.7109375" customWidth="1"/>
    <col min="55" max="55" width="14.140625" bestFit="1" customWidth="1"/>
    <col min="56" max="56" width="5.140625" bestFit="1" customWidth="1"/>
    <col min="57" max="57" width="11.85546875" bestFit="1" customWidth="1"/>
    <col min="58" max="58" width="14.140625" customWidth="1"/>
    <col min="59" max="59" width="15.140625" customWidth="1"/>
    <col min="60" max="60" width="13.85546875" customWidth="1"/>
    <col min="61" max="61" width="12.85546875" customWidth="1"/>
    <col min="62" max="62" width="13.42578125" customWidth="1"/>
    <col min="63" max="63" width="14.85546875" customWidth="1"/>
    <col min="64" max="64" width="5.42578125" bestFit="1" customWidth="1"/>
    <col min="65" max="69" width="5.140625" bestFit="1" customWidth="1"/>
    <col min="70" max="70" width="5.42578125" bestFit="1" customWidth="1"/>
    <col min="71" max="72" width="5.140625" bestFit="1" customWidth="1"/>
    <col min="73" max="73" width="5.42578125" bestFit="1" customWidth="1"/>
    <col min="74" max="74" width="5.140625" bestFit="1" customWidth="1"/>
    <col min="75" max="75" width="5.42578125" bestFit="1" customWidth="1"/>
    <col min="76" max="82" width="5.140625" bestFit="1" customWidth="1"/>
    <col min="83" max="83" width="5.42578125" bestFit="1" customWidth="1"/>
    <col min="84" max="86" width="5.140625" bestFit="1" customWidth="1"/>
    <col min="87" max="87" width="5.42578125" bestFit="1" customWidth="1"/>
    <col min="88" max="97" width="5.140625" bestFit="1" customWidth="1"/>
    <col min="98" max="98" width="5.42578125" bestFit="1" customWidth="1"/>
    <col min="99" max="99" width="5.140625" bestFit="1" customWidth="1"/>
    <col min="100" max="100" width="5.42578125" bestFit="1" customWidth="1"/>
    <col min="101" max="104" width="5.140625" bestFit="1" customWidth="1"/>
    <col min="105" max="105" width="5.42578125" bestFit="1" customWidth="1"/>
    <col min="106" max="108" width="5.140625" bestFit="1" customWidth="1"/>
    <col min="109" max="109" width="6.85546875" bestFit="1" customWidth="1"/>
    <col min="110" max="119" width="5.140625" bestFit="1" customWidth="1"/>
    <col min="120" max="120" width="5.42578125" bestFit="1" customWidth="1"/>
    <col min="121" max="122" width="5.140625" bestFit="1" customWidth="1"/>
    <col min="123" max="123" width="6.85546875" bestFit="1" customWidth="1"/>
    <col min="124" max="129" width="5.140625" bestFit="1" customWidth="1"/>
    <col min="130" max="130" width="5.42578125" bestFit="1" customWidth="1"/>
    <col min="131" max="134" width="5.140625" bestFit="1" customWidth="1"/>
    <col min="135" max="135" width="5.42578125" bestFit="1" customWidth="1"/>
    <col min="136" max="137" width="5.140625" bestFit="1" customWidth="1"/>
    <col min="138" max="139" width="5.42578125" bestFit="1" customWidth="1"/>
    <col min="140" max="140" width="5.140625" bestFit="1" customWidth="1"/>
    <col min="141" max="141" width="5.42578125" bestFit="1" customWidth="1"/>
    <col min="142" max="142" width="5.140625" bestFit="1" customWidth="1"/>
    <col min="143" max="152" width="6" bestFit="1" customWidth="1"/>
    <col min="153" max="153" width="6.85546875" bestFit="1" customWidth="1"/>
    <col min="154" max="163" width="6" bestFit="1" customWidth="1"/>
    <col min="164" max="164" width="6.85546875" bestFit="1" customWidth="1"/>
    <col min="165" max="165" width="6" bestFit="1" customWidth="1"/>
    <col min="166" max="166" width="6.85546875" bestFit="1" customWidth="1"/>
    <col min="167" max="168" width="6" bestFit="1" customWidth="1"/>
    <col min="169" max="170" width="6.85546875" bestFit="1" customWidth="1"/>
    <col min="171" max="172" width="6" bestFit="1" customWidth="1"/>
    <col min="173" max="173" width="6.85546875" bestFit="1" customWidth="1"/>
    <col min="174" max="174" width="6" bestFit="1" customWidth="1"/>
    <col min="175" max="175" width="6.85546875" bestFit="1" customWidth="1"/>
    <col min="176" max="176" width="6" bestFit="1" customWidth="1"/>
    <col min="177" max="179" width="6.85546875" bestFit="1" customWidth="1"/>
    <col min="180" max="181" width="6" bestFit="1" customWidth="1"/>
    <col min="182" max="182" width="6.85546875" bestFit="1" customWidth="1"/>
    <col min="183" max="183" width="6" bestFit="1" customWidth="1"/>
    <col min="184" max="187" width="6.85546875" bestFit="1" customWidth="1"/>
    <col min="188" max="188" width="6" bestFit="1" customWidth="1"/>
    <col min="189" max="191" width="6.85546875" bestFit="1" customWidth="1"/>
    <col min="192" max="192" width="6" bestFit="1" customWidth="1"/>
    <col min="193" max="198" width="6.85546875" bestFit="1" customWidth="1"/>
    <col min="199" max="199" width="6" bestFit="1" customWidth="1"/>
    <col min="200" max="207" width="6.85546875" bestFit="1" customWidth="1"/>
    <col min="208" max="208" width="6" bestFit="1" customWidth="1"/>
    <col min="209" max="213" width="6.85546875" bestFit="1" customWidth="1"/>
    <col min="214" max="214" width="6" bestFit="1" customWidth="1"/>
    <col min="215" max="215" width="12.85546875" bestFit="1" customWidth="1"/>
    <col min="216" max="216" width="12.42578125" bestFit="1" customWidth="1"/>
    <col min="217" max="217" width="8.85546875" bestFit="1" customWidth="1"/>
    <col min="218" max="219" width="7.85546875" bestFit="1" customWidth="1"/>
    <col min="220" max="220" width="10.7109375" bestFit="1" customWidth="1"/>
    <col min="221" max="228" width="6.85546875" bestFit="1" customWidth="1"/>
    <col min="229" max="229" width="12" bestFit="1" customWidth="1"/>
    <col min="230" max="231" width="8.7109375" bestFit="1" customWidth="1"/>
    <col min="232" max="234" width="9.5703125" bestFit="1" customWidth="1"/>
    <col min="235" max="243" width="8.7109375" bestFit="1" customWidth="1"/>
    <col min="244" max="246" width="9.5703125" bestFit="1" customWidth="1"/>
    <col min="247" max="255" width="8.7109375" bestFit="1" customWidth="1"/>
    <col min="256" max="258" width="9.5703125" bestFit="1" customWidth="1"/>
    <col min="259" max="267" width="8.7109375" bestFit="1" customWidth="1"/>
    <col min="268" max="270" width="9.5703125" bestFit="1" customWidth="1"/>
    <col min="271" max="279" width="8.7109375" bestFit="1" customWidth="1"/>
    <col min="280" max="282" width="9.5703125" bestFit="1" customWidth="1"/>
    <col min="283" max="291" width="8.7109375" bestFit="1" customWidth="1"/>
    <col min="292" max="294" width="9.5703125" bestFit="1" customWidth="1"/>
    <col min="295" max="303" width="8.7109375" bestFit="1" customWidth="1"/>
    <col min="304" max="306" width="9.5703125" bestFit="1" customWidth="1"/>
    <col min="307" max="315" width="8.7109375" bestFit="1" customWidth="1"/>
    <col min="316" max="318" width="9.5703125" bestFit="1" customWidth="1"/>
    <col min="319" max="327" width="8.7109375" bestFit="1" customWidth="1"/>
    <col min="328" max="330" width="9.5703125" bestFit="1" customWidth="1"/>
    <col min="331" max="339" width="8.7109375" bestFit="1" customWidth="1"/>
    <col min="340" max="342" width="9.5703125" bestFit="1" customWidth="1"/>
    <col min="343" max="351" width="8.7109375" bestFit="1" customWidth="1"/>
    <col min="352" max="354" width="9.5703125" bestFit="1" customWidth="1"/>
    <col min="355" max="363" width="8.7109375" bestFit="1" customWidth="1"/>
    <col min="364" max="366" width="9.5703125" bestFit="1" customWidth="1"/>
    <col min="367" max="375" width="8.7109375" bestFit="1" customWidth="1"/>
    <col min="376" max="378" width="9.5703125" bestFit="1" customWidth="1"/>
    <col min="379" max="387" width="8.7109375" bestFit="1" customWidth="1"/>
    <col min="388" max="390" width="9.5703125" bestFit="1" customWidth="1"/>
    <col min="391" max="399" width="8.7109375" bestFit="1" customWidth="1"/>
    <col min="400" max="402" width="9.5703125" bestFit="1" customWidth="1"/>
    <col min="403" max="411" width="8.7109375" bestFit="1" customWidth="1"/>
    <col min="412" max="414" width="9.5703125" bestFit="1" customWidth="1"/>
    <col min="415" max="423" width="8.7109375" bestFit="1" customWidth="1"/>
    <col min="424" max="426" width="9.5703125" bestFit="1" customWidth="1"/>
    <col min="427" max="435" width="8.7109375" bestFit="1" customWidth="1"/>
    <col min="436" max="438" width="9.5703125" bestFit="1" customWidth="1"/>
    <col min="439" max="439" width="10.7109375" bestFit="1" customWidth="1"/>
    <col min="440" max="440" width="8.42578125" bestFit="1" customWidth="1"/>
    <col min="441" max="441" width="12.42578125" bestFit="1" customWidth="1"/>
    <col min="442" max="443" width="12.85546875" bestFit="1" customWidth="1"/>
    <col min="444" max="444" width="12.42578125" bestFit="1" customWidth="1"/>
    <col min="445" max="445" width="8.42578125" bestFit="1" customWidth="1"/>
    <col min="446" max="446" width="12.42578125" bestFit="1" customWidth="1"/>
    <col min="447" max="447" width="8.42578125" bestFit="1" customWidth="1"/>
    <col min="448" max="448" width="12.42578125" bestFit="1" customWidth="1"/>
    <col min="449" max="449" width="8.42578125" bestFit="1" customWidth="1"/>
    <col min="450" max="450" width="12.42578125" bestFit="1" customWidth="1"/>
    <col min="451" max="451" width="8.42578125" bestFit="1" customWidth="1"/>
    <col min="452" max="452" width="12.42578125" bestFit="1" customWidth="1"/>
    <col min="453" max="453" width="12.85546875" bestFit="1" customWidth="1"/>
    <col min="454" max="454" width="12.42578125" bestFit="1" customWidth="1"/>
    <col min="455" max="455" width="8.42578125" bestFit="1" customWidth="1"/>
    <col min="456" max="456" width="12.42578125" bestFit="1" customWidth="1"/>
    <col min="457" max="457" width="12.85546875" bestFit="1" customWidth="1"/>
    <col min="458" max="458" width="12.42578125" bestFit="1" customWidth="1"/>
    <col min="459" max="459" width="8.42578125" bestFit="1" customWidth="1"/>
    <col min="460" max="460" width="12.42578125" bestFit="1" customWidth="1"/>
    <col min="461" max="461" width="8.42578125" bestFit="1" customWidth="1"/>
    <col min="462" max="462" width="12.42578125" bestFit="1" customWidth="1"/>
    <col min="463" max="463" width="8.42578125" bestFit="1" customWidth="1"/>
    <col min="464" max="464" width="12.42578125" bestFit="1" customWidth="1"/>
    <col min="465" max="465" width="8.42578125" bestFit="1" customWidth="1"/>
    <col min="466" max="466" width="12.42578125" bestFit="1" customWidth="1"/>
    <col min="467" max="467" width="8.42578125" bestFit="1" customWidth="1"/>
    <col min="468" max="468" width="12.42578125" bestFit="1" customWidth="1"/>
    <col min="469" max="469" width="8.42578125" bestFit="1" customWidth="1"/>
    <col min="470" max="470" width="12.42578125" bestFit="1" customWidth="1"/>
    <col min="471" max="471" width="8.42578125" bestFit="1" customWidth="1"/>
    <col min="472" max="472" width="12.42578125" bestFit="1" customWidth="1"/>
    <col min="473" max="473" width="8.42578125" bestFit="1" customWidth="1"/>
    <col min="474" max="474" width="12.42578125" bestFit="1" customWidth="1"/>
    <col min="475" max="475" width="8.42578125" bestFit="1" customWidth="1"/>
    <col min="476" max="476" width="12.42578125" bestFit="1" customWidth="1"/>
    <col min="477" max="477" width="8.42578125" bestFit="1" customWidth="1"/>
    <col min="478" max="478" width="12.42578125" bestFit="1" customWidth="1"/>
    <col min="479" max="479" width="8.42578125" bestFit="1" customWidth="1"/>
    <col min="480" max="480" width="12.42578125" bestFit="1" customWidth="1"/>
    <col min="481" max="481" width="8.42578125" bestFit="1" customWidth="1"/>
    <col min="482" max="482" width="12.42578125" bestFit="1" customWidth="1"/>
    <col min="483" max="483" width="8.42578125" bestFit="1" customWidth="1"/>
    <col min="484" max="484" width="12.42578125" bestFit="1" customWidth="1"/>
    <col min="485" max="485" width="8.42578125" bestFit="1" customWidth="1"/>
    <col min="486" max="486" width="12.42578125" bestFit="1" customWidth="1"/>
    <col min="487" max="487" width="8.42578125" bestFit="1" customWidth="1"/>
    <col min="488" max="488" width="12.42578125" bestFit="1" customWidth="1"/>
    <col min="489" max="489" width="8.42578125" bestFit="1" customWidth="1"/>
    <col min="490" max="490" width="12.42578125" bestFit="1" customWidth="1"/>
    <col min="491" max="491" width="8.42578125" bestFit="1" customWidth="1"/>
    <col min="492" max="492" width="12.42578125" bestFit="1" customWidth="1"/>
    <col min="493" max="493" width="8.42578125" bestFit="1" customWidth="1"/>
    <col min="494" max="494" width="12.42578125" bestFit="1" customWidth="1"/>
    <col min="495" max="495" width="8.42578125" bestFit="1" customWidth="1"/>
    <col min="496" max="496" width="12.42578125" bestFit="1" customWidth="1"/>
    <col min="497" max="497" width="8.42578125" bestFit="1" customWidth="1"/>
    <col min="498" max="498" width="12.42578125" bestFit="1" customWidth="1"/>
    <col min="499" max="500" width="8.42578125" bestFit="1" customWidth="1"/>
    <col min="501" max="501" width="12.42578125" bestFit="1" customWidth="1"/>
    <col min="502" max="502" width="8.42578125" bestFit="1" customWidth="1"/>
    <col min="503" max="503" width="12.42578125" bestFit="1" customWidth="1"/>
    <col min="504" max="505" width="8.42578125" bestFit="1" customWidth="1"/>
    <col min="506" max="506" width="12.42578125" bestFit="1" customWidth="1"/>
    <col min="507" max="507" width="8.42578125" bestFit="1" customWidth="1"/>
    <col min="508" max="508" width="12.42578125" bestFit="1" customWidth="1"/>
    <col min="509" max="509" width="8.42578125" bestFit="1" customWidth="1"/>
    <col min="510" max="510" width="12.42578125" bestFit="1" customWidth="1"/>
    <col min="511" max="511" width="8.42578125" bestFit="1" customWidth="1"/>
    <col min="512" max="512" width="12.42578125" bestFit="1" customWidth="1"/>
    <col min="513" max="513" width="8.42578125" bestFit="1" customWidth="1"/>
    <col min="514" max="514" width="12.42578125" bestFit="1" customWidth="1"/>
    <col min="515" max="515" width="8.42578125" bestFit="1" customWidth="1"/>
    <col min="516" max="516" width="12.42578125" bestFit="1" customWidth="1"/>
    <col min="517" max="517" width="8.42578125" bestFit="1" customWidth="1"/>
    <col min="518" max="518" width="12.42578125" bestFit="1" customWidth="1"/>
    <col min="519" max="519" width="8.42578125" bestFit="1" customWidth="1"/>
    <col min="520" max="520" width="12.42578125" bestFit="1" customWidth="1"/>
    <col min="521" max="521" width="8.42578125" bestFit="1" customWidth="1"/>
    <col min="522" max="522" width="12.42578125" bestFit="1" customWidth="1"/>
    <col min="523" max="523" width="8.42578125" bestFit="1" customWidth="1"/>
    <col min="524" max="524" width="12.42578125" bestFit="1" customWidth="1"/>
    <col min="525" max="525" width="8.42578125" bestFit="1" customWidth="1"/>
    <col min="526" max="526" width="12.42578125" bestFit="1" customWidth="1"/>
    <col min="527" max="527" width="8.42578125" bestFit="1" customWidth="1"/>
    <col min="528" max="528" width="12.42578125" bestFit="1" customWidth="1"/>
    <col min="529" max="529" width="8.42578125" bestFit="1" customWidth="1"/>
    <col min="530" max="530" width="12.42578125" bestFit="1" customWidth="1"/>
    <col min="531" max="531" width="8.42578125" bestFit="1" customWidth="1"/>
    <col min="532" max="532" width="12.42578125" bestFit="1" customWidth="1"/>
    <col min="533" max="533" width="8.42578125" bestFit="1" customWidth="1"/>
    <col min="534" max="534" width="12.42578125" bestFit="1" customWidth="1"/>
    <col min="535" max="536" width="8.42578125" bestFit="1" customWidth="1"/>
    <col min="537" max="537" width="12.42578125" bestFit="1" customWidth="1"/>
    <col min="538" max="538" width="8.42578125" bestFit="1" customWidth="1"/>
    <col min="539" max="539" width="12.42578125" bestFit="1" customWidth="1"/>
    <col min="540" max="540" width="8.42578125" bestFit="1" customWidth="1"/>
    <col min="541" max="541" width="12.42578125" bestFit="1" customWidth="1"/>
    <col min="542" max="542" width="12.85546875" bestFit="1" customWidth="1"/>
    <col min="543" max="543" width="12.42578125" bestFit="1" customWidth="1"/>
    <col min="544" max="544" width="8.42578125" bestFit="1" customWidth="1"/>
    <col min="545" max="545" width="12.42578125" bestFit="1" customWidth="1"/>
    <col min="546" max="546" width="8.42578125" bestFit="1" customWidth="1"/>
    <col min="547" max="547" width="12.42578125" bestFit="1" customWidth="1"/>
    <col min="548" max="548" width="8.42578125" bestFit="1" customWidth="1"/>
    <col min="549" max="549" width="12.42578125" bestFit="1" customWidth="1"/>
    <col min="550" max="550" width="8.42578125" bestFit="1" customWidth="1"/>
    <col min="551" max="551" width="12.42578125" bestFit="1" customWidth="1"/>
    <col min="552" max="552" width="8.42578125" bestFit="1" customWidth="1"/>
    <col min="553" max="553" width="12.42578125" bestFit="1" customWidth="1"/>
    <col min="554" max="554" width="8.42578125" bestFit="1" customWidth="1"/>
    <col min="555" max="555" width="12.42578125" bestFit="1" customWidth="1"/>
    <col min="556" max="556" width="8.42578125" bestFit="1" customWidth="1"/>
    <col min="557" max="557" width="12.42578125" bestFit="1" customWidth="1"/>
    <col min="558" max="558" width="8.42578125" bestFit="1" customWidth="1"/>
    <col min="559" max="559" width="12.42578125" bestFit="1" customWidth="1"/>
    <col min="560" max="560" width="8.42578125" bestFit="1" customWidth="1"/>
    <col min="561" max="561" width="12.42578125" bestFit="1" customWidth="1"/>
    <col min="562" max="562" width="12.85546875" bestFit="1" customWidth="1"/>
    <col min="563" max="563" width="12.42578125" bestFit="1" customWidth="1"/>
    <col min="564" max="564" width="8.42578125" bestFit="1" customWidth="1"/>
    <col min="565" max="565" width="12.42578125" bestFit="1" customWidth="1"/>
    <col min="566" max="566" width="8.42578125" bestFit="1" customWidth="1"/>
    <col min="567" max="567" width="12.42578125" bestFit="1" customWidth="1"/>
    <col min="568" max="568" width="8.42578125" bestFit="1" customWidth="1"/>
    <col min="569" max="569" width="12.42578125" bestFit="1" customWidth="1"/>
    <col min="570" max="570" width="8.42578125" bestFit="1" customWidth="1"/>
    <col min="571" max="571" width="12.42578125" bestFit="1" customWidth="1"/>
    <col min="572" max="572" width="8.42578125" bestFit="1" customWidth="1"/>
    <col min="573" max="573" width="12.42578125" bestFit="1" customWidth="1"/>
    <col min="574" max="574" width="8.42578125" bestFit="1" customWidth="1"/>
    <col min="575" max="575" width="12.42578125" bestFit="1" customWidth="1"/>
    <col min="576" max="576" width="8.42578125" bestFit="1" customWidth="1"/>
    <col min="577" max="577" width="12.42578125" bestFit="1" customWidth="1"/>
    <col min="578" max="578" width="8.42578125" bestFit="1" customWidth="1"/>
    <col min="579" max="579" width="12.42578125" bestFit="1" customWidth="1"/>
    <col min="580" max="580" width="8.42578125" bestFit="1" customWidth="1"/>
    <col min="581" max="581" width="12.42578125" bestFit="1" customWidth="1"/>
    <col min="582" max="582" width="8.42578125" bestFit="1" customWidth="1"/>
    <col min="583" max="583" width="12.42578125" bestFit="1" customWidth="1"/>
    <col min="584" max="584" width="8.42578125" bestFit="1" customWidth="1"/>
    <col min="585" max="585" width="12.42578125" bestFit="1" customWidth="1"/>
    <col min="586" max="586" width="8.42578125" bestFit="1" customWidth="1"/>
    <col min="587" max="587" width="12.42578125" bestFit="1" customWidth="1"/>
    <col min="588" max="588" width="8.42578125" bestFit="1" customWidth="1"/>
    <col min="589" max="589" width="12.42578125" bestFit="1" customWidth="1"/>
    <col min="590" max="590" width="8.42578125" bestFit="1" customWidth="1"/>
    <col min="591" max="591" width="12.42578125" bestFit="1" customWidth="1"/>
    <col min="592" max="592" width="8.42578125" bestFit="1" customWidth="1"/>
    <col min="593" max="593" width="12.42578125" bestFit="1" customWidth="1"/>
    <col min="594" max="594" width="8.42578125" bestFit="1" customWidth="1"/>
    <col min="595" max="595" width="12.42578125" bestFit="1" customWidth="1"/>
    <col min="596" max="596" width="8.42578125" bestFit="1" customWidth="1"/>
    <col min="597" max="597" width="12.42578125" bestFit="1" customWidth="1"/>
    <col min="598" max="598" width="8.42578125" bestFit="1" customWidth="1"/>
    <col min="599" max="599" width="12.42578125" bestFit="1" customWidth="1"/>
    <col min="600" max="600" width="8.42578125" bestFit="1" customWidth="1"/>
    <col min="601" max="601" width="12.42578125" bestFit="1" customWidth="1"/>
    <col min="602" max="602" width="8.42578125" bestFit="1" customWidth="1"/>
    <col min="603" max="603" width="12.42578125" bestFit="1" customWidth="1"/>
    <col min="604" max="604" width="8.42578125" bestFit="1" customWidth="1"/>
    <col min="605" max="605" width="12.42578125" bestFit="1" customWidth="1"/>
    <col min="606" max="606" width="8.42578125" bestFit="1" customWidth="1"/>
    <col min="607" max="607" width="12.42578125" bestFit="1" customWidth="1"/>
    <col min="608" max="608" width="8.42578125" bestFit="1" customWidth="1"/>
    <col min="609" max="609" width="12.42578125" bestFit="1" customWidth="1"/>
    <col min="610" max="610" width="8.42578125" bestFit="1" customWidth="1"/>
    <col min="611" max="611" width="12.42578125" bestFit="1" customWidth="1"/>
    <col min="612" max="612" width="8.42578125" bestFit="1" customWidth="1"/>
    <col min="613" max="613" width="12.42578125" bestFit="1" customWidth="1"/>
    <col min="614" max="614" width="8.42578125" bestFit="1" customWidth="1"/>
    <col min="615" max="615" width="12.42578125" bestFit="1" customWidth="1"/>
    <col min="616" max="616" width="8.42578125" bestFit="1" customWidth="1"/>
    <col min="617" max="617" width="12.42578125" bestFit="1" customWidth="1"/>
    <col min="618" max="618" width="8.42578125" bestFit="1" customWidth="1"/>
    <col min="619" max="619" width="12.42578125" bestFit="1" customWidth="1"/>
    <col min="620" max="620" width="8.42578125" bestFit="1" customWidth="1"/>
    <col min="621" max="621" width="12.42578125" bestFit="1" customWidth="1"/>
    <col min="622" max="622" width="8.42578125" bestFit="1" customWidth="1"/>
    <col min="623" max="623" width="12.42578125" bestFit="1" customWidth="1"/>
    <col min="624" max="624" width="8.42578125" bestFit="1" customWidth="1"/>
    <col min="625" max="625" width="12.42578125" bestFit="1" customWidth="1"/>
    <col min="626" max="626" width="8.42578125" bestFit="1" customWidth="1"/>
    <col min="627" max="627" width="12.42578125" bestFit="1" customWidth="1"/>
    <col min="628" max="628" width="8.42578125" bestFit="1" customWidth="1"/>
    <col min="629" max="629" width="12.42578125" bestFit="1" customWidth="1"/>
    <col min="630" max="630" width="8.42578125" bestFit="1" customWidth="1"/>
    <col min="631" max="631" width="12.42578125" bestFit="1" customWidth="1"/>
    <col min="632" max="632" width="8.42578125" bestFit="1" customWidth="1"/>
    <col min="633" max="633" width="12.42578125" bestFit="1" customWidth="1"/>
    <col min="634" max="634" width="8.42578125" bestFit="1" customWidth="1"/>
    <col min="635" max="635" width="12.42578125" bestFit="1" customWidth="1"/>
    <col min="636" max="636" width="8.42578125" bestFit="1" customWidth="1"/>
    <col min="637" max="637" width="12.42578125" bestFit="1" customWidth="1"/>
    <col min="638" max="638" width="8.42578125" bestFit="1" customWidth="1"/>
    <col min="639" max="639" width="12.42578125" bestFit="1" customWidth="1"/>
    <col min="640" max="640" width="12" bestFit="1" customWidth="1"/>
  </cols>
  <sheetData>
    <row r="1" spans="1:63" ht="15.75" x14ac:dyDescent="0.25">
      <c r="A1" s="8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35</v>
      </c>
      <c r="K1" s="2" t="s">
        <v>10</v>
      </c>
      <c r="L1" s="2" t="s">
        <v>11</v>
      </c>
      <c r="M1" s="2" t="s">
        <v>12</v>
      </c>
      <c r="N1" s="2" t="s">
        <v>34</v>
      </c>
      <c r="O1" s="8" t="s">
        <v>63</v>
      </c>
      <c r="P1" s="2" t="s">
        <v>14</v>
      </c>
      <c r="Q1" s="2" t="s">
        <v>15</v>
      </c>
      <c r="R1" s="11" t="s">
        <v>16</v>
      </c>
      <c r="S1" s="2" t="s">
        <v>17</v>
      </c>
      <c r="T1" s="8" t="s">
        <v>62</v>
      </c>
    </row>
    <row r="2" spans="1:63" x14ac:dyDescent="0.25">
      <c r="A2" s="10" t="s">
        <v>0</v>
      </c>
      <c r="B2" t="b">
        <v>0</v>
      </c>
      <c r="C2" t="b">
        <v>0</v>
      </c>
      <c r="D2" s="1">
        <v>9455</v>
      </c>
      <c r="E2" s="1">
        <v>0</v>
      </c>
      <c r="F2" s="1">
        <v>458</v>
      </c>
      <c r="G2" s="1">
        <v>2445</v>
      </c>
      <c r="H2" s="1">
        <v>0</v>
      </c>
      <c r="I2" s="1">
        <v>0</v>
      </c>
      <c r="J2" s="1">
        <f>D2+E2+F2+G2+H2+I2</f>
        <v>12358</v>
      </c>
      <c r="K2" s="1">
        <v>6047</v>
      </c>
      <c r="L2" s="1">
        <v>0</v>
      </c>
      <c r="M2" s="1">
        <v>2792</v>
      </c>
      <c r="N2" s="1">
        <f t="shared" ref="N2:N28" si="0">K2+L2+M2</f>
        <v>8839</v>
      </c>
      <c r="O2" s="9">
        <v>86</v>
      </c>
      <c r="P2" s="1">
        <v>0</v>
      </c>
      <c r="Q2" s="1">
        <v>0</v>
      </c>
      <c r="R2" s="12">
        <v>37073</v>
      </c>
      <c r="S2" s="1">
        <v>21283</v>
      </c>
      <c r="T2" s="9" t="s">
        <v>46</v>
      </c>
    </row>
    <row r="3" spans="1:63" x14ac:dyDescent="0.25">
      <c r="A3" s="10" t="s">
        <v>0</v>
      </c>
      <c r="B3" t="b">
        <v>0</v>
      </c>
      <c r="C3" t="b">
        <v>0</v>
      </c>
      <c r="D3" s="1">
        <v>8113</v>
      </c>
      <c r="E3" s="1">
        <v>0</v>
      </c>
      <c r="F3" s="1">
        <v>279</v>
      </c>
      <c r="G3" s="1">
        <v>2445</v>
      </c>
      <c r="H3" s="1">
        <v>0</v>
      </c>
      <c r="I3" s="1">
        <v>0</v>
      </c>
      <c r="J3" s="1">
        <f t="shared" ref="J3:J66" si="1">D3+E3+F3+G3+H3+I3</f>
        <v>10837</v>
      </c>
      <c r="K3" s="1">
        <v>6053</v>
      </c>
      <c r="L3" s="1">
        <v>0</v>
      </c>
      <c r="M3" s="1">
        <v>1917</v>
      </c>
      <c r="N3" s="1">
        <f t="shared" si="0"/>
        <v>7970</v>
      </c>
      <c r="O3" s="9">
        <v>911</v>
      </c>
      <c r="P3" s="1">
        <v>0</v>
      </c>
      <c r="Q3" s="1">
        <v>0</v>
      </c>
      <c r="R3" s="12">
        <v>37104</v>
      </c>
      <c r="S3" s="1">
        <v>19718</v>
      </c>
      <c r="T3" s="9" t="s">
        <v>46</v>
      </c>
    </row>
    <row r="4" spans="1:63" x14ac:dyDescent="0.25">
      <c r="A4" s="10" t="s">
        <v>0</v>
      </c>
      <c r="B4" t="b">
        <v>0</v>
      </c>
      <c r="C4" t="b">
        <v>0</v>
      </c>
      <c r="D4" s="1">
        <v>8761</v>
      </c>
      <c r="E4" s="1">
        <v>0</v>
      </c>
      <c r="F4" s="1">
        <v>251</v>
      </c>
      <c r="G4" s="1">
        <v>2258</v>
      </c>
      <c r="H4" s="1">
        <v>0</v>
      </c>
      <c r="I4" s="1">
        <v>0</v>
      </c>
      <c r="J4" s="1">
        <f t="shared" si="1"/>
        <v>11270</v>
      </c>
      <c r="K4" s="1">
        <v>5095</v>
      </c>
      <c r="L4" s="1">
        <v>0</v>
      </c>
      <c r="M4" s="1">
        <v>1082</v>
      </c>
      <c r="N4" s="1">
        <f t="shared" si="0"/>
        <v>6177</v>
      </c>
      <c r="O4" s="9">
        <v>1364</v>
      </c>
      <c r="P4" s="1">
        <v>0</v>
      </c>
      <c r="Q4" s="1">
        <v>0</v>
      </c>
      <c r="R4" s="12">
        <v>37135</v>
      </c>
      <c r="S4" s="1">
        <v>18811</v>
      </c>
      <c r="T4" s="9" t="s">
        <v>46</v>
      </c>
    </row>
    <row r="5" spans="1:63" x14ac:dyDescent="0.25">
      <c r="A5" s="10" t="s">
        <v>0</v>
      </c>
      <c r="B5" t="b">
        <v>0</v>
      </c>
      <c r="C5" t="b">
        <v>0</v>
      </c>
      <c r="D5" s="1">
        <v>5712</v>
      </c>
      <c r="E5" s="1">
        <v>0</v>
      </c>
      <c r="F5" s="1">
        <v>190</v>
      </c>
      <c r="G5" s="1">
        <v>2204</v>
      </c>
      <c r="H5" s="1">
        <v>0</v>
      </c>
      <c r="I5" s="1">
        <v>0</v>
      </c>
      <c r="J5" s="1">
        <f t="shared" si="1"/>
        <v>8106</v>
      </c>
      <c r="K5" s="1">
        <v>5014</v>
      </c>
      <c r="L5" s="1">
        <v>0</v>
      </c>
      <c r="M5" s="1">
        <v>532</v>
      </c>
      <c r="N5" s="1">
        <f t="shared" si="0"/>
        <v>5546</v>
      </c>
      <c r="O5" s="9">
        <v>1241</v>
      </c>
      <c r="P5" s="1">
        <v>0</v>
      </c>
      <c r="Q5" s="1">
        <v>0</v>
      </c>
      <c r="R5" s="12">
        <v>37165</v>
      </c>
      <c r="S5" s="1">
        <v>14893</v>
      </c>
      <c r="T5" s="9" t="s">
        <v>46</v>
      </c>
    </row>
    <row r="6" spans="1:63" x14ac:dyDescent="0.25">
      <c r="A6" s="10" t="s">
        <v>0</v>
      </c>
      <c r="B6" t="b">
        <v>0</v>
      </c>
      <c r="C6" t="b">
        <v>0</v>
      </c>
      <c r="D6" s="1">
        <v>3508</v>
      </c>
      <c r="E6" s="1">
        <v>0</v>
      </c>
      <c r="F6" s="1">
        <v>0</v>
      </c>
      <c r="G6" s="1">
        <v>122</v>
      </c>
      <c r="H6" s="1">
        <v>0</v>
      </c>
      <c r="I6" s="1">
        <v>0</v>
      </c>
      <c r="J6" s="1">
        <f t="shared" si="1"/>
        <v>3630</v>
      </c>
      <c r="K6" s="1">
        <v>2681</v>
      </c>
      <c r="L6" s="1">
        <v>0</v>
      </c>
      <c r="M6" s="1">
        <v>300</v>
      </c>
      <c r="N6" s="1">
        <f t="shared" si="0"/>
        <v>2981</v>
      </c>
      <c r="O6" s="9">
        <v>564</v>
      </c>
      <c r="P6" s="1">
        <v>0</v>
      </c>
      <c r="Q6" s="1">
        <v>0</v>
      </c>
      <c r="R6" s="12">
        <v>37196</v>
      </c>
      <c r="S6" s="1">
        <v>7175</v>
      </c>
      <c r="T6" s="9" t="s">
        <v>46</v>
      </c>
    </row>
    <row r="7" spans="1:63" x14ac:dyDescent="0.25">
      <c r="A7" s="10" t="s">
        <v>0</v>
      </c>
      <c r="B7" t="b">
        <v>0</v>
      </c>
      <c r="C7" t="b">
        <v>0</v>
      </c>
      <c r="D7" s="1">
        <v>1439</v>
      </c>
      <c r="E7" s="1">
        <v>0</v>
      </c>
      <c r="F7" s="1">
        <v>0</v>
      </c>
      <c r="G7" s="1">
        <v>281</v>
      </c>
      <c r="H7" s="1">
        <v>0</v>
      </c>
      <c r="I7" s="1">
        <v>0</v>
      </c>
      <c r="J7" s="1">
        <f t="shared" si="1"/>
        <v>1720</v>
      </c>
      <c r="K7" s="1">
        <v>499</v>
      </c>
      <c r="L7" s="1">
        <v>0</v>
      </c>
      <c r="M7" s="1">
        <v>0</v>
      </c>
      <c r="N7" s="1">
        <f t="shared" si="0"/>
        <v>499</v>
      </c>
      <c r="O7" s="9">
        <v>668</v>
      </c>
      <c r="P7" s="1">
        <v>0</v>
      </c>
      <c r="Q7" s="1">
        <v>0</v>
      </c>
      <c r="R7" s="12">
        <v>37226</v>
      </c>
      <c r="S7" s="1">
        <v>2887</v>
      </c>
      <c r="T7" s="9" t="s">
        <v>46</v>
      </c>
    </row>
    <row r="8" spans="1:63" x14ac:dyDescent="0.25">
      <c r="A8" s="10" t="s">
        <v>0</v>
      </c>
      <c r="B8" t="b">
        <v>0</v>
      </c>
      <c r="C8" t="b">
        <v>0</v>
      </c>
      <c r="D8" s="1">
        <v>2883</v>
      </c>
      <c r="E8" s="1">
        <v>0</v>
      </c>
      <c r="F8" s="1">
        <v>0</v>
      </c>
      <c r="G8" s="1">
        <v>530</v>
      </c>
      <c r="H8" s="1">
        <v>0</v>
      </c>
      <c r="I8" s="1">
        <v>0</v>
      </c>
      <c r="J8" s="1">
        <f t="shared" si="1"/>
        <v>3413</v>
      </c>
      <c r="K8" s="1">
        <v>873</v>
      </c>
      <c r="L8" s="1">
        <v>0</v>
      </c>
      <c r="M8" s="1">
        <v>0</v>
      </c>
      <c r="N8" s="1">
        <f t="shared" si="0"/>
        <v>873</v>
      </c>
      <c r="O8" s="9">
        <v>913</v>
      </c>
      <c r="P8" s="1">
        <v>0</v>
      </c>
      <c r="Q8" s="1">
        <v>0</v>
      </c>
      <c r="R8" s="12">
        <v>37257</v>
      </c>
      <c r="S8" s="1">
        <v>5199</v>
      </c>
      <c r="T8" s="9" t="s">
        <v>46</v>
      </c>
    </row>
    <row r="9" spans="1:63" x14ac:dyDescent="0.25">
      <c r="A9" s="10" t="s">
        <v>0</v>
      </c>
      <c r="B9" t="b">
        <v>0</v>
      </c>
      <c r="C9" t="b">
        <v>0</v>
      </c>
      <c r="D9" s="1">
        <v>928</v>
      </c>
      <c r="E9" s="1">
        <v>0</v>
      </c>
      <c r="F9" s="1">
        <v>0</v>
      </c>
      <c r="G9" s="1">
        <v>997</v>
      </c>
      <c r="H9" s="1">
        <v>0</v>
      </c>
      <c r="I9" s="1">
        <v>0</v>
      </c>
      <c r="J9" s="1">
        <f t="shared" si="1"/>
        <v>1925</v>
      </c>
      <c r="K9" s="1">
        <v>1480</v>
      </c>
      <c r="L9" s="1">
        <v>0</v>
      </c>
      <c r="M9" s="1">
        <v>0</v>
      </c>
      <c r="N9" s="1">
        <f t="shared" si="0"/>
        <v>1480</v>
      </c>
      <c r="O9" s="9">
        <v>1389</v>
      </c>
      <c r="P9" s="1">
        <v>0</v>
      </c>
      <c r="Q9" s="1">
        <v>0</v>
      </c>
      <c r="R9" s="12">
        <v>37288</v>
      </c>
      <c r="S9" s="1">
        <v>4794</v>
      </c>
      <c r="T9" s="9" t="s">
        <v>46</v>
      </c>
    </row>
    <row r="10" spans="1:63" x14ac:dyDescent="0.25">
      <c r="A10" s="10" t="s">
        <v>0</v>
      </c>
      <c r="B10" t="b">
        <v>0</v>
      </c>
      <c r="C10" t="b">
        <v>0</v>
      </c>
      <c r="D10" s="1">
        <v>3044</v>
      </c>
      <c r="E10" s="1">
        <v>0</v>
      </c>
      <c r="F10" s="1">
        <v>50</v>
      </c>
      <c r="G10" s="1">
        <v>1870</v>
      </c>
      <c r="H10" s="1">
        <v>0</v>
      </c>
      <c r="I10" s="1">
        <v>0</v>
      </c>
      <c r="J10" s="1">
        <f t="shared" si="1"/>
        <v>4964</v>
      </c>
      <c r="K10" s="1">
        <v>3232</v>
      </c>
      <c r="L10" s="1">
        <v>0</v>
      </c>
      <c r="M10" s="1">
        <v>462</v>
      </c>
      <c r="N10" s="1">
        <f t="shared" si="0"/>
        <v>3694</v>
      </c>
      <c r="O10" s="9">
        <v>1182</v>
      </c>
      <c r="P10" s="1">
        <v>0</v>
      </c>
      <c r="Q10" s="1">
        <v>0</v>
      </c>
      <c r="R10" s="12">
        <v>37316</v>
      </c>
      <c r="S10" s="1">
        <v>9840</v>
      </c>
      <c r="T10" s="9" t="s">
        <v>46</v>
      </c>
      <c r="Y10" s="4" t="s">
        <v>49</v>
      </c>
      <c r="AG10" s="4" t="s">
        <v>51</v>
      </c>
      <c r="AO10" s="4" t="s">
        <v>50</v>
      </c>
      <c r="AW10" s="4" t="s">
        <v>52</v>
      </c>
      <c r="BE10" s="4" t="s">
        <v>37</v>
      </c>
    </row>
    <row r="11" spans="1:63" x14ac:dyDescent="0.25">
      <c r="A11" s="10" t="s">
        <v>0</v>
      </c>
      <c r="B11" t="b">
        <v>0</v>
      </c>
      <c r="C11" t="b">
        <v>0</v>
      </c>
      <c r="D11" s="1">
        <v>4403</v>
      </c>
      <c r="E11" s="1">
        <v>0</v>
      </c>
      <c r="F11" s="1">
        <v>152</v>
      </c>
      <c r="G11" s="1">
        <v>2026</v>
      </c>
      <c r="H11" s="1">
        <v>0</v>
      </c>
      <c r="I11" s="1">
        <v>58</v>
      </c>
      <c r="J11" s="1">
        <f t="shared" si="1"/>
        <v>6639</v>
      </c>
      <c r="K11" s="1">
        <v>4386</v>
      </c>
      <c r="L11" s="1">
        <v>0</v>
      </c>
      <c r="M11" s="1">
        <v>768</v>
      </c>
      <c r="N11" s="1">
        <f t="shared" si="0"/>
        <v>5154</v>
      </c>
      <c r="O11" s="9">
        <v>1170</v>
      </c>
      <c r="P11" s="1">
        <v>0</v>
      </c>
      <c r="Q11" s="1">
        <v>0</v>
      </c>
      <c r="R11" s="12">
        <v>37347</v>
      </c>
      <c r="S11" s="1">
        <v>12963</v>
      </c>
      <c r="T11" s="9" t="s">
        <v>46</v>
      </c>
      <c r="Y11" t="s">
        <v>42</v>
      </c>
      <c r="Z11" t="s">
        <v>45</v>
      </c>
      <c r="AA11" t="s">
        <v>46</v>
      </c>
      <c r="AB11" t="s">
        <v>39</v>
      </c>
      <c r="AC11" t="s">
        <v>40</v>
      </c>
      <c r="AD11" t="s">
        <v>21</v>
      </c>
      <c r="AE11" t="s">
        <v>43</v>
      </c>
      <c r="AG11" t="s">
        <v>42</v>
      </c>
      <c r="AH11" t="s">
        <v>45</v>
      </c>
      <c r="AI11" t="s">
        <v>46</v>
      </c>
      <c r="AJ11" t="s">
        <v>39</v>
      </c>
      <c r="AK11" t="s">
        <v>40</v>
      </c>
      <c r="AL11" t="s">
        <v>21</v>
      </c>
      <c r="AM11" t="s">
        <v>43</v>
      </c>
      <c r="AO11" t="s">
        <v>42</v>
      </c>
      <c r="AP11" t="s">
        <v>45</v>
      </c>
      <c r="AQ11" t="s">
        <v>46</v>
      </c>
      <c r="AR11" t="s">
        <v>39</v>
      </c>
      <c r="AS11" t="s">
        <v>40</v>
      </c>
      <c r="AT11" t="s">
        <v>21</v>
      </c>
      <c r="AU11" t="s">
        <v>43</v>
      </c>
      <c r="AW11" t="s">
        <v>42</v>
      </c>
      <c r="AX11" t="s">
        <v>45</v>
      </c>
      <c r="AY11" t="s">
        <v>46</v>
      </c>
      <c r="AZ11" t="s">
        <v>39</v>
      </c>
      <c r="BA11" t="s">
        <v>40</v>
      </c>
      <c r="BB11" t="s">
        <v>21</v>
      </c>
      <c r="BC11" t="s">
        <v>43</v>
      </c>
      <c r="BE11" t="s">
        <v>42</v>
      </c>
      <c r="BF11" t="s">
        <v>45</v>
      </c>
      <c r="BG11" t="s">
        <v>46</v>
      </c>
      <c r="BH11" t="s">
        <v>39</v>
      </c>
      <c r="BI11" t="s">
        <v>40</v>
      </c>
      <c r="BJ11" t="s">
        <v>21</v>
      </c>
      <c r="BK11" t="s">
        <v>43</v>
      </c>
    </row>
    <row r="12" spans="1:63" x14ac:dyDescent="0.25">
      <c r="A12" s="10" t="s">
        <v>0</v>
      </c>
      <c r="B12" t="b">
        <v>0</v>
      </c>
      <c r="C12" t="b">
        <v>0</v>
      </c>
      <c r="D12" s="1">
        <v>7019</v>
      </c>
      <c r="E12" s="1">
        <v>0</v>
      </c>
      <c r="F12" s="1">
        <v>215</v>
      </c>
      <c r="G12" s="1">
        <v>1955</v>
      </c>
      <c r="H12" s="1">
        <v>0</v>
      </c>
      <c r="I12" s="1">
        <v>63</v>
      </c>
      <c r="J12" s="1">
        <f t="shared" si="1"/>
        <v>9252</v>
      </c>
      <c r="K12" s="1">
        <v>5055</v>
      </c>
      <c r="L12" s="1">
        <v>0</v>
      </c>
      <c r="M12" s="1">
        <v>1583</v>
      </c>
      <c r="N12" s="1">
        <f t="shared" si="0"/>
        <v>6638</v>
      </c>
      <c r="O12" s="9">
        <v>0</v>
      </c>
      <c r="P12" s="1">
        <v>0</v>
      </c>
      <c r="Q12" s="1">
        <v>0</v>
      </c>
      <c r="R12" s="12">
        <v>37377</v>
      </c>
      <c r="S12" s="1">
        <v>15890</v>
      </c>
      <c r="T12" s="9" t="s">
        <v>46</v>
      </c>
      <c r="Y12" t="s">
        <v>25</v>
      </c>
      <c r="Z12">
        <v>28.5</v>
      </c>
      <c r="AA12">
        <v>955.25</v>
      </c>
      <c r="AB12">
        <v>314.02272727272725</v>
      </c>
      <c r="AC12">
        <v>265.95</v>
      </c>
      <c r="AD12">
        <v>604</v>
      </c>
      <c r="AE12">
        <v>335.35526315789474</v>
      </c>
      <c r="AG12" t="s">
        <v>25</v>
      </c>
      <c r="AI12">
        <v>2872</v>
      </c>
      <c r="AJ12">
        <v>611.4545454545455</v>
      </c>
      <c r="AK12">
        <v>565.79999999999995</v>
      </c>
      <c r="AL12">
        <v>1947</v>
      </c>
      <c r="AM12">
        <v>756.52631578947364</v>
      </c>
      <c r="AO12" t="s">
        <v>25</v>
      </c>
      <c r="AP12">
        <v>114</v>
      </c>
      <c r="AQ12">
        <v>791</v>
      </c>
      <c r="AR12">
        <v>619.27272727272725</v>
      </c>
      <c r="AS12">
        <v>479.8</v>
      </c>
      <c r="AT12">
        <v>464</v>
      </c>
      <c r="AU12">
        <v>556.84210526315792</v>
      </c>
      <c r="AW12" t="s">
        <v>25</v>
      </c>
      <c r="AY12">
        <v>140</v>
      </c>
      <c r="AZ12">
        <v>12.181818181818182</v>
      </c>
      <c r="BA12">
        <v>7.8</v>
      </c>
      <c r="BC12">
        <v>16.473684210526315</v>
      </c>
      <c r="BE12" t="s">
        <v>25</v>
      </c>
      <c r="BG12">
        <v>18</v>
      </c>
      <c r="BH12">
        <v>13.181818181818182</v>
      </c>
      <c r="BI12">
        <v>10.4</v>
      </c>
      <c r="BJ12">
        <v>5</v>
      </c>
      <c r="BK12">
        <v>11.578947368421053</v>
      </c>
    </row>
    <row r="13" spans="1:63" x14ac:dyDescent="0.25">
      <c r="A13" s="10" t="s">
        <v>0</v>
      </c>
      <c r="B13" t="b">
        <v>0</v>
      </c>
      <c r="C13" t="b">
        <v>0</v>
      </c>
      <c r="D13" s="1">
        <v>7434</v>
      </c>
      <c r="E13" s="1">
        <v>0</v>
      </c>
      <c r="F13" s="1">
        <v>399</v>
      </c>
      <c r="G13" s="1">
        <v>2591</v>
      </c>
      <c r="H13" s="1">
        <v>0</v>
      </c>
      <c r="I13" s="1">
        <v>100</v>
      </c>
      <c r="J13" s="1">
        <f t="shared" si="1"/>
        <v>10524</v>
      </c>
      <c r="K13" s="1">
        <v>5253</v>
      </c>
      <c r="L13" s="1">
        <v>0</v>
      </c>
      <c r="M13" s="1">
        <v>1645</v>
      </c>
      <c r="N13" s="1">
        <f t="shared" si="0"/>
        <v>6898</v>
      </c>
      <c r="O13" s="9">
        <v>0</v>
      </c>
      <c r="P13" s="1">
        <v>0</v>
      </c>
      <c r="Q13" s="1">
        <v>0</v>
      </c>
      <c r="R13" s="12">
        <v>37408</v>
      </c>
      <c r="S13" s="1">
        <v>17422</v>
      </c>
      <c r="T13" s="9" t="s">
        <v>46</v>
      </c>
      <c r="Y13" t="s">
        <v>27</v>
      </c>
      <c r="Z13">
        <v>26.75</v>
      </c>
      <c r="AA13">
        <v>840</v>
      </c>
      <c r="AB13">
        <v>341.75</v>
      </c>
      <c r="AC13">
        <v>212.55</v>
      </c>
      <c r="AD13">
        <v>443.25</v>
      </c>
      <c r="AE13">
        <v>322.73684210526318</v>
      </c>
      <c r="AG13" t="s">
        <v>27</v>
      </c>
      <c r="AI13">
        <v>1930</v>
      </c>
      <c r="AJ13">
        <v>761.09090909090912</v>
      </c>
      <c r="AK13">
        <v>488.2</v>
      </c>
      <c r="AL13">
        <v>1427</v>
      </c>
      <c r="AM13">
        <v>745.78947368421052</v>
      </c>
      <c r="AO13" t="s">
        <v>27</v>
      </c>
      <c r="AP13">
        <v>107</v>
      </c>
      <c r="AQ13">
        <v>1402</v>
      </c>
      <c r="AR13">
        <v>566.36363636363637</v>
      </c>
      <c r="AS13">
        <v>340</v>
      </c>
      <c r="AT13">
        <v>336</v>
      </c>
      <c r="AU13">
        <v>514.47368421052636</v>
      </c>
      <c r="AW13" t="s">
        <v>27</v>
      </c>
      <c r="AY13">
        <v>12</v>
      </c>
      <c r="AZ13">
        <v>29.181818181818183</v>
      </c>
      <c r="BA13">
        <v>3.4</v>
      </c>
      <c r="BC13">
        <v>18.421052631578949</v>
      </c>
      <c r="BE13" t="s">
        <v>27</v>
      </c>
      <c r="BG13">
        <v>16</v>
      </c>
      <c r="BH13">
        <v>10.363636363636363</v>
      </c>
      <c r="BI13">
        <v>18.600000000000001</v>
      </c>
      <c r="BJ13">
        <v>10</v>
      </c>
      <c r="BK13">
        <v>12.263157894736842</v>
      </c>
    </row>
    <row r="14" spans="1:63" x14ac:dyDescent="0.25">
      <c r="A14" s="10" t="s">
        <v>0</v>
      </c>
      <c r="B14" t="b">
        <v>0</v>
      </c>
      <c r="C14" t="b">
        <v>0</v>
      </c>
      <c r="D14" s="1">
        <v>11265</v>
      </c>
      <c r="E14" s="1">
        <v>0</v>
      </c>
      <c r="F14" s="1">
        <v>479</v>
      </c>
      <c r="G14" s="1">
        <v>2385</v>
      </c>
      <c r="H14" s="1">
        <v>0</v>
      </c>
      <c r="I14" s="1">
        <v>0</v>
      </c>
      <c r="J14" s="1">
        <f t="shared" si="1"/>
        <v>14129</v>
      </c>
      <c r="K14" s="1">
        <v>6053</v>
      </c>
      <c r="L14" s="1">
        <v>0</v>
      </c>
      <c r="M14" s="1">
        <v>2363</v>
      </c>
      <c r="N14" s="1">
        <f t="shared" si="0"/>
        <v>8416</v>
      </c>
      <c r="O14" s="9">
        <v>1028</v>
      </c>
      <c r="P14" s="1">
        <v>0</v>
      </c>
      <c r="Q14" s="1">
        <v>0</v>
      </c>
      <c r="R14" s="12">
        <v>37438</v>
      </c>
      <c r="S14" s="1">
        <v>23573</v>
      </c>
      <c r="T14" s="9" t="s">
        <v>46</v>
      </c>
      <c r="Y14" t="s">
        <v>26</v>
      </c>
      <c r="Z14">
        <v>119.75</v>
      </c>
      <c r="AA14">
        <v>624.75</v>
      </c>
      <c r="AB14">
        <v>429.22727272727275</v>
      </c>
      <c r="AC14">
        <v>293.35000000000002</v>
      </c>
      <c r="AD14">
        <v>596.25</v>
      </c>
      <c r="AE14">
        <v>396.26315789473682</v>
      </c>
      <c r="AG14" t="s">
        <v>26</v>
      </c>
      <c r="AI14">
        <v>1149</v>
      </c>
      <c r="AJ14">
        <v>781.72727272727275</v>
      </c>
      <c r="AK14">
        <v>635.79999999999995</v>
      </c>
      <c r="AL14">
        <v>1892</v>
      </c>
      <c r="AM14">
        <v>779.9473684210526</v>
      </c>
      <c r="AO14" t="s">
        <v>26</v>
      </c>
      <c r="AP14">
        <v>479</v>
      </c>
      <c r="AQ14">
        <v>1167</v>
      </c>
      <c r="AR14">
        <v>808.72727272727275</v>
      </c>
      <c r="AS14">
        <v>516.79999999999995</v>
      </c>
      <c r="AT14">
        <v>483</v>
      </c>
      <c r="AU14">
        <v>716.26315789473688</v>
      </c>
      <c r="AW14" t="s">
        <v>26</v>
      </c>
      <c r="AY14">
        <v>161</v>
      </c>
      <c r="AZ14">
        <v>113.81818181818181</v>
      </c>
      <c r="BA14">
        <v>0</v>
      </c>
      <c r="BC14">
        <v>74.368421052631575</v>
      </c>
      <c r="BE14" t="s">
        <v>26</v>
      </c>
      <c r="BG14">
        <v>22</v>
      </c>
      <c r="BH14">
        <v>12.636363636363637</v>
      </c>
      <c r="BI14">
        <v>20.8</v>
      </c>
      <c r="BJ14">
        <v>10</v>
      </c>
      <c r="BK14">
        <v>14.473684210526315</v>
      </c>
    </row>
    <row r="15" spans="1:63" x14ac:dyDescent="0.25">
      <c r="A15" s="10" t="s">
        <v>0</v>
      </c>
      <c r="B15" t="b">
        <v>0</v>
      </c>
      <c r="C15" t="b">
        <v>0</v>
      </c>
      <c r="D15" s="1">
        <v>10996</v>
      </c>
      <c r="E15" s="1">
        <v>0</v>
      </c>
      <c r="F15" s="1">
        <v>242</v>
      </c>
      <c r="G15" s="1">
        <v>2298</v>
      </c>
      <c r="H15" s="1">
        <v>0</v>
      </c>
      <c r="I15" s="1">
        <v>0</v>
      </c>
      <c r="J15" s="1">
        <f t="shared" si="1"/>
        <v>13536</v>
      </c>
      <c r="K15" s="1">
        <v>6132</v>
      </c>
      <c r="L15" s="1">
        <v>0</v>
      </c>
      <c r="M15" s="1">
        <v>2950</v>
      </c>
      <c r="N15" s="1">
        <f t="shared" si="0"/>
        <v>9082</v>
      </c>
      <c r="O15" s="9">
        <v>1422</v>
      </c>
      <c r="P15" s="1">
        <v>0</v>
      </c>
      <c r="Q15" s="1">
        <v>0</v>
      </c>
      <c r="R15" s="12">
        <v>37469</v>
      </c>
      <c r="S15" s="1">
        <v>24040</v>
      </c>
      <c r="T15" s="9" t="s">
        <v>46</v>
      </c>
      <c r="Y15" t="s">
        <v>28</v>
      </c>
      <c r="Z15">
        <v>335.5</v>
      </c>
      <c r="AA15">
        <v>478</v>
      </c>
      <c r="AB15">
        <v>427.86363636363637</v>
      </c>
      <c r="AC15">
        <v>436.85</v>
      </c>
      <c r="AD15">
        <v>631</v>
      </c>
      <c r="AE15">
        <v>438.69736842105266</v>
      </c>
      <c r="AG15" t="s">
        <v>28</v>
      </c>
      <c r="AI15">
        <v>1003</v>
      </c>
      <c r="AJ15">
        <v>858.5454545454545</v>
      </c>
      <c r="AK15">
        <v>1108.2</v>
      </c>
      <c r="AL15">
        <v>2511</v>
      </c>
      <c r="AM15">
        <v>973.63157894736844</v>
      </c>
      <c r="AO15" t="s">
        <v>28</v>
      </c>
      <c r="AP15">
        <v>1342</v>
      </c>
      <c r="AQ15">
        <v>750</v>
      </c>
      <c r="AR15">
        <v>736.81818181818187</v>
      </c>
      <c r="AS15">
        <v>619.4</v>
      </c>
      <c r="AT15">
        <v>0</v>
      </c>
      <c r="AU15">
        <v>699.68421052631584</v>
      </c>
      <c r="AW15" t="s">
        <v>28</v>
      </c>
      <c r="AY15">
        <v>143</v>
      </c>
      <c r="AZ15">
        <v>103.36363636363636</v>
      </c>
      <c r="BA15">
        <v>3.4</v>
      </c>
      <c r="BC15">
        <v>68.263157894736835</v>
      </c>
      <c r="BE15" t="s">
        <v>28</v>
      </c>
      <c r="BG15">
        <v>16</v>
      </c>
      <c r="BH15">
        <v>12.727272727272727</v>
      </c>
      <c r="BI15">
        <v>16.399999999999999</v>
      </c>
      <c r="BJ15">
        <v>13</v>
      </c>
      <c r="BK15">
        <v>13.210526315789474</v>
      </c>
    </row>
    <row r="16" spans="1:63" x14ac:dyDescent="0.25">
      <c r="A16" s="10" t="s">
        <v>0</v>
      </c>
      <c r="B16" t="b">
        <v>0</v>
      </c>
      <c r="C16" t="b">
        <v>0</v>
      </c>
      <c r="D16" s="1">
        <v>9190</v>
      </c>
      <c r="E16" s="1">
        <v>0</v>
      </c>
      <c r="F16" s="1">
        <v>232</v>
      </c>
      <c r="G16" s="1">
        <v>1965</v>
      </c>
      <c r="H16" s="1">
        <v>0</v>
      </c>
      <c r="I16" s="1">
        <v>25</v>
      </c>
      <c r="J16" s="1">
        <f t="shared" si="1"/>
        <v>11412</v>
      </c>
      <c r="K16" s="1">
        <v>4827</v>
      </c>
      <c r="L16" s="1">
        <v>0</v>
      </c>
      <c r="M16" s="1">
        <v>1408</v>
      </c>
      <c r="N16" s="1">
        <f t="shared" si="0"/>
        <v>6235</v>
      </c>
      <c r="O16" s="9">
        <v>1629</v>
      </c>
      <c r="P16" s="1">
        <v>0</v>
      </c>
      <c r="Q16" s="1">
        <v>0</v>
      </c>
      <c r="R16" s="12">
        <v>37500</v>
      </c>
      <c r="S16" s="1">
        <v>19276</v>
      </c>
      <c r="T16" s="9" t="s">
        <v>46</v>
      </c>
      <c r="Y16" t="s">
        <v>29</v>
      </c>
      <c r="Z16">
        <v>172.75</v>
      </c>
      <c r="AA16">
        <v>827</v>
      </c>
      <c r="AB16">
        <v>533.22727272727275</v>
      </c>
      <c r="AC16">
        <v>434.95</v>
      </c>
      <c r="AD16">
        <v>1073.25</v>
      </c>
      <c r="AE16">
        <v>532.27631578947364</v>
      </c>
      <c r="AG16" t="s">
        <v>29</v>
      </c>
      <c r="AI16">
        <v>1812</v>
      </c>
      <c r="AJ16">
        <v>1298.6363636363637</v>
      </c>
      <c r="AK16">
        <v>1093.8</v>
      </c>
      <c r="AL16">
        <v>3461</v>
      </c>
      <c r="AM16">
        <v>1317.2105263157894</v>
      </c>
      <c r="AO16" t="s">
        <v>29</v>
      </c>
      <c r="AP16">
        <v>691</v>
      </c>
      <c r="AQ16">
        <v>1173</v>
      </c>
      <c r="AR16">
        <v>599.5454545454545</v>
      </c>
      <c r="AS16">
        <v>624.6</v>
      </c>
      <c r="AT16">
        <v>818</v>
      </c>
      <c r="AU16">
        <v>652.63157894736844</v>
      </c>
      <c r="AW16" t="s">
        <v>29</v>
      </c>
      <c r="AY16">
        <v>305</v>
      </c>
      <c r="AZ16">
        <v>223.72727272727272</v>
      </c>
      <c r="BA16">
        <v>6.8</v>
      </c>
      <c r="BC16">
        <v>147.36842105263159</v>
      </c>
      <c r="BE16" t="s">
        <v>29</v>
      </c>
      <c r="BG16">
        <v>18</v>
      </c>
      <c r="BH16">
        <v>11</v>
      </c>
      <c r="BI16">
        <v>14.6</v>
      </c>
      <c r="BJ16">
        <v>14</v>
      </c>
      <c r="BK16">
        <v>11.894736842105264</v>
      </c>
    </row>
    <row r="17" spans="1:63" x14ac:dyDescent="0.25">
      <c r="A17" s="10" t="s">
        <v>0</v>
      </c>
      <c r="B17" t="b">
        <v>0</v>
      </c>
      <c r="C17" t="b">
        <v>0</v>
      </c>
      <c r="D17" s="1">
        <v>7274</v>
      </c>
      <c r="E17" s="1">
        <v>0</v>
      </c>
      <c r="F17" s="1">
        <v>154</v>
      </c>
      <c r="G17" s="1">
        <v>1793</v>
      </c>
      <c r="H17" s="1">
        <v>0</v>
      </c>
      <c r="I17" s="1">
        <v>0</v>
      </c>
      <c r="J17" s="1">
        <f t="shared" si="1"/>
        <v>9221</v>
      </c>
      <c r="K17" s="1">
        <v>4692</v>
      </c>
      <c r="L17" s="1">
        <v>0</v>
      </c>
      <c r="M17" s="1">
        <v>894</v>
      </c>
      <c r="N17" s="1">
        <f t="shared" si="0"/>
        <v>5586</v>
      </c>
      <c r="O17" s="9">
        <v>1630</v>
      </c>
      <c r="P17" s="1">
        <v>0</v>
      </c>
      <c r="Q17" s="1">
        <v>0</v>
      </c>
      <c r="R17" s="12">
        <v>37530</v>
      </c>
      <c r="S17" s="1">
        <v>16437</v>
      </c>
      <c r="T17" s="9" t="s">
        <v>46</v>
      </c>
      <c r="Y17" t="s">
        <v>30</v>
      </c>
      <c r="Z17">
        <v>102</v>
      </c>
      <c r="AA17">
        <v>810.5</v>
      </c>
      <c r="AB17">
        <v>489.04545454545456</v>
      </c>
      <c r="AC17">
        <v>335.2</v>
      </c>
      <c r="AD17">
        <v>1449.75</v>
      </c>
      <c r="AE17">
        <v>495.67105263157896</v>
      </c>
      <c r="AG17" t="s">
        <v>30</v>
      </c>
      <c r="AI17">
        <v>2092</v>
      </c>
      <c r="AJ17">
        <v>1206</v>
      </c>
      <c r="AK17">
        <v>842.8</v>
      </c>
      <c r="AL17">
        <v>5266</v>
      </c>
      <c r="AM17">
        <v>1307.2631578947369</v>
      </c>
      <c r="AO17" t="s">
        <v>30</v>
      </c>
      <c r="AP17">
        <v>403</v>
      </c>
      <c r="AQ17">
        <v>924</v>
      </c>
      <c r="AR17">
        <v>567</v>
      </c>
      <c r="AS17">
        <v>436.6</v>
      </c>
      <c r="AT17">
        <v>515</v>
      </c>
      <c r="AU17">
        <v>540.10526315789468</v>
      </c>
      <c r="AW17" t="s">
        <v>30</v>
      </c>
      <c r="AY17">
        <v>210</v>
      </c>
      <c r="AZ17">
        <v>166.81818181818181</v>
      </c>
      <c r="BA17">
        <v>38.799999999999997</v>
      </c>
      <c r="BC17">
        <v>117.84210526315789</v>
      </c>
      <c r="BE17" t="s">
        <v>30</v>
      </c>
      <c r="BF17">
        <v>5</v>
      </c>
      <c r="BG17">
        <v>16</v>
      </c>
      <c r="BH17">
        <v>16.363636363636363</v>
      </c>
      <c r="BI17">
        <v>22.6</v>
      </c>
      <c r="BJ17">
        <v>18</v>
      </c>
      <c r="BK17">
        <v>17.473684210526315</v>
      </c>
    </row>
    <row r="18" spans="1:63" x14ac:dyDescent="0.25">
      <c r="A18" s="10" t="s">
        <v>0</v>
      </c>
      <c r="B18" t="b">
        <v>0</v>
      </c>
      <c r="C18" t="b">
        <v>0</v>
      </c>
      <c r="D18" s="1">
        <v>5988</v>
      </c>
      <c r="E18" s="1">
        <v>0</v>
      </c>
      <c r="F18" s="1">
        <v>0</v>
      </c>
      <c r="G18" s="1">
        <v>1519</v>
      </c>
      <c r="H18" s="1">
        <v>0</v>
      </c>
      <c r="I18" s="1">
        <v>0</v>
      </c>
      <c r="J18" s="1">
        <f t="shared" si="1"/>
        <v>7507</v>
      </c>
      <c r="K18" s="1">
        <v>2610</v>
      </c>
      <c r="L18" s="1">
        <v>0</v>
      </c>
      <c r="M18" s="1">
        <v>328</v>
      </c>
      <c r="N18" s="1">
        <f t="shared" si="0"/>
        <v>2938</v>
      </c>
      <c r="O18" s="9">
        <v>1800</v>
      </c>
      <c r="P18" s="1">
        <v>0</v>
      </c>
      <c r="Q18" s="1">
        <v>0</v>
      </c>
      <c r="R18" s="12">
        <v>37561</v>
      </c>
      <c r="S18" s="1">
        <v>12245</v>
      </c>
      <c r="T18" s="9" t="s">
        <v>46</v>
      </c>
      <c r="Y18" t="s">
        <v>33</v>
      </c>
      <c r="Z18">
        <v>153.75</v>
      </c>
      <c r="AA18">
        <v>373.5</v>
      </c>
      <c r="AB18">
        <v>589.60416666666663</v>
      </c>
      <c r="AC18">
        <v>297.75</v>
      </c>
      <c r="AD18">
        <v>1992.25</v>
      </c>
      <c r="AE18">
        <v>541.96428571428567</v>
      </c>
      <c r="AG18" t="s">
        <v>33</v>
      </c>
      <c r="AI18">
        <v>1212</v>
      </c>
      <c r="AJ18">
        <v>1415.25</v>
      </c>
      <c r="AK18">
        <v>637.5</v>
      </c>
      <c r="AL18">
        <v>7100</v>
      </c>
      <c r="AM18">
        <v>1386.6666666666667</v>
      </c>
      <c r="AO18" t="s">
        <v>33</v>
      </c>
      <c r="AP18">
        <v>566</v>
      </c>
      <c r="AQ18">
        <v>0</v>
      </c>
      <c r="AR18">
        <v>750.5</v>
      </c>
      <c r="AS18">
        <v>485.33333333333331</v>
      </c>
      <c r="AT18">
        <v>849</v>
      </c>
      <c r="AU18">
        <v>634.90476190476193</v>
      </c>
      <c r="AW18" t="s">
        <v>33</v>
      </c>
      <c r="AY18">
        <v>266</v>
      </c>
      <c r="AZ18">
        <v>178.16666666666666</v>
      </c>
      <c r="BA18">
        <v>44.333333333333336</v>
      </c>
      <c r="BC18">
        <v>127.14285714285714</v>
      </c>
      <c r="BE18" t="s">
        <v>33</v>
      </c>
      <c r="BF18">
        <v>49</v>
      </c>
      <c r="BG18">
        <v>16</v>
      </c>
      <c r="BH18">
        <v>14.5</v>
      </c>
      <c r="BI18">
        <v>23.833333333333332</v>
      </c>
      <c r="BJ18">
        <v>20</v>
      </c>
      <c r="BK18">
        <v>19.142857142857142</v>
      </c>
    </row>
    <row r="19" spans="1:63" x14ac:dyDescent="0.25">
      <c r="A19" s="10" t="s">
        <v>0</v>
      </c>
      <c r="B19" t="b">
        <v>0</v>
      </c>
      <c r="C19" t="b">
        <v>0</v>
      </c>
      <c r="D19" s="1">
        <v>2303</v>
      </c>
      <c r="E19" s="1">
        <v>0</v>
      </c>
      <c r="F19" s="1">
        <v>0</v>
      </c>
      <c r="G19" s="1">
        <v>986</v>
      </c>
      <c r="H19" s="1">
        <v>0</v>
      </c>
      <c r="I19" s="1">
        <v>40</v>
      </c>
      <c r="J19" s="1">
        <f t="shared" si="1"/>
        <v>3329</v>
      </c>
      <c r="K19" s="1">
        <v>613</v>
      </c>
      <c r="L19" s="1">
        <v>0</v>
      </c>
      <c r="M19" s="1">
        <v>0</v>
      </c>
      <c r="N19" s="1">
        <f t="shared" si="0"/>
        <v>613</v>
      </c>
      <c r="O19" s="9">
        <v>806</v>
      </c>
      <c r="P19" s="1">
        <v>0</v>
      </c>
      <c r="Q19" s="1">
        <v>0</v>
      </c>
      <c r="R19" s="12">
        <v>37591</v>
      </c>
      <c r="S19" s="1">
        <v>4748</v>
      </c>
      <c r="T19" s="9" t="s">
        <v>46</v>
      </c>
      <c r="Y19" t="s">
        <v>31</v>
      </c>
      <c r="Z19">
        <v>151</v>
      </c>
      <c r="AA19">
        <v>403.25</v>
      </c>
      <c r="AB19">
        <v>582.85416666666663</v>
      </c>
      <c r="AC19">
        <v>320</v>
      </c>
      <c r="AD19">
        <v>1645.25</v>
      </c>
      <c r="AE19">
        <v>529.22619047619048</v>
      </c>
      <c r="AG19" t="s">
        <v>31</v>
      </c>
      <c r="AI19">
        <v>1335</v>
      </c>
      <c r="AJ19">
        <v>1265.5</v>
      </c>
      <c r="AK19">
        <v>684.83333333333337</v>
      </c>
      <c r="AL19">
        <v>5890</v>
      </c>
      <c r="AM19">
        <v>1262.8571428571429</v>
      </c>
      <c r="AO19" t="s">
        <v>31</v>
      </c>
      <c r="AP19">
        <v>604</v>
      </c>
      <c r="AQ19">
        <v>0</v>
      </c>
      <c r="AR19">
        <v>898.66666666666663</v>
      </c>
      <c r="AS19">
        <v>571.5</v>
      </c>
      <c r="AT19">
        <v>671</v>
      </c>
      <c r="AU19">
        <v>737.52380952380952</v>
      </c>
      <c r="AW19" t="s">
        <v>31</v>
      </c>
      <c r="AY19">
        <v>258</v>
      </c>
      <c r="AZ19">
        <v>154.08333333333334</v>
      </c>
      <c r="BA19">
        <v>5.333333333333333</v>
      </c>
      <c r="BC19">
        <v>101.85714285714286</v>
      </c>
      <c r="BE19" t="s">
        <v>31</v>
      </c>
      <c r="BG19">
        <v>20</v>
      </c>
      <c r="BH19">
        <v>13.166666666666666</v>
      </c>
      <c r="BI19">
        <v>18.333333333333332</v>
      </c>
      <c r="BJ19">
        <v>20</v>
      </c>
      <c r="BK19">
        <v>14.666666666666666</v>
      </c>
    </row>
    <row r="20" spans="1:63" x14ac:dyDescent="0.25">
      <c r="A20" s="10" t="s">
        <v>0</v>
      </c>
      <c r="B20" t="b">
        <v>0</v>
      </c>
      <c r="C20" t="b">
        <v>0</v>
      </c>
      <c r="D20" s="1">
        <v>2400</v>
      </c>
      <c r="E20" s="1">
        <v>0</v>
      </c>
      <c r="F20" s="1">
        <v>0</v>
      </c>
      <c r="G20" s="1">
        <v>939</v>
      </c>
      <c r="H20" s="1">
        <v>0</v>
      </c>
      <c r="I20" s="1">
        <v>0</v>
      </c>
      <c r="J20" s="1">
        <f t="shared" si="1"/>
        <v>3339</v>
      </c>
      <c r="K20" s="1">
        <v>896</v>
      </c>
      <c r="L20" s="1">
        <v>0</v>
      </c>
      <c r="M20" s="1">
        <v>0</v>
      </c>
      <c r="N20" s="1">
        <f t="shared" si="0"/>
        <v>896</v>
      </c>
      <c r="O20" s="9">
        <v>791</v>
      </c>
      <c r="P20" s="1">
        <v>0</v>
      </c>
      <c r="Q20" s="1">
        <v>0</v>
      </c>
      <c r="R20" s="12">
        <v>37622</v>
      </c>
      <c r="S20" s="1">
        <v>5026</v>
      </c>
      <c r="T20" s="9" t="s">
        <v>21</v>
      </c>
      <c r="Y20" t="s">
        <v>32</v>
      </c>
      <c r="Z20">
        <v>161</v>
      </c>
      <c r="AA20">
        <v>698.75</v>
      </c>
      <c r="AB20">
        <v>542.52083333333337</v>
      </c>
      <c r="AC20">
        <v>287.55</v>
      </c>
      <c r="AD20">
        <v>898.25</v>
      </c>
      <c r="AE20">
        <v>485.3</v>
      </c>
      <c r="AG20" t="s">
        <v>32</v>
      </c>
      <c r="AI20">
        <v>1350</v>
      </c>
      <c r="AJ20">
        <v>1029.4166666666667</v>
      </c>
      <c r="AK20">
        <v>590.4</v>
      </c>
      <c r="AL20">
        <v>2302</v>
      </c>
      <c r="AM20">
        <v>947.85</v>
      </c>
      <c r="AO20" t="s">
        <v>32</v>
      </c>
      <c r="AP20">
        <v>644</v>
      </c>
      <c r="AQ20">
        <v>1000</v>
      </c>
      <c r="AR20">
        <v>901.58333333333337</v>
      </c>
      <c r="AS20">
        <v>537.4</v>
      </c>
      <c r="AT20">
        <v>1254</v>
      </c>
      <c r="AU20">
        <v>820.2</v>
      </c>
      <c r="AW20" t="s">
        <v>32</v>
      </c>
      <c r="AY20">
        <v>429</v>
      </c>
      <c r="AZ20">
        <v>229.16666666666666</v>
      </c>
      <c r="BA20">
        <v>8</v>
      </c>
      <c r="BC20">
        <v>160.94999999999999</v>
      </c>
      <c r="BE20" t="s">
        <v>32</v>
      </c>
      <c r="BG20">
        <v>16</v>
      </c>
      <c r="BH20">
        <v>9.9166666666666661</v>
      </c>
      <c r="BI20">
        <v>14.4</v>
      </c>
      <c r="BJ20">
        <v>37</v>
      </c>
      <c r="BK20">
        <v>12.2</v>
      </c>
    </row>
    <row r="21" spans="1:63" x14ac:dyDescent="0.25">
      <c r="A21" s="10" t="s">
        <v>0</v>
      </c>
      <c r="B21" t="b">
        <v>0</v>
      </c>
      <c r="C21" t="b">
        <v>0</v>
      </c>
      <c r="D21" s="1">
        <v>3808</v>
      </c>
      <c r="E21" s="1">
        <v>0</v>
      </c>
      <c r="F21" s="1">
        <v>0</v>
      </c>
      <c r="G21" s="1">
        <v>437</v>
      </c>
      <c r="H21" s="1">
        <v>0</v>
      </c>
      <c r="I21" s="1">
        <v>0</v>
      </c>
      <c r="J21" s="1">
        <f t="shared" si="1"/>
        <v>4245</v>
      </c>
      <c r="K21" s="1">
        <v>753</v>
      </c>
      <c r="L21" s="1">
        <v>0</v>
      </c>
      <c r="M21" s="1">
        <v>30</v>
      </c>
      <c r="N21" s="1">
        <f t="shared" si="0"/>
        <v>783</v>
      </c>
      <c r="O21" s="9">
        <v>1402</v>
      </c>
      <c r="P21" s="1">
        <v>0</v>
      </c>
      <c r="Q21" s="1">
        <v>0</v>
      </c>
      <c r="R21" s="12">
        <v>37653</v>
      </c>
      <c r="S21" s="1">
        <v>6430</v>
      </c>
      <c r="T21" s="9" t="s">
        <v>21</v>
      </c>
      <c r="Y21" t="s">
        <v>22</v>
      </c>
      <c r="Z21">
        <v>231</v>
      </c>
      <c r="AA21">
        <v>804.5</v>
      </c>
      <c r="AB21">
        <v>583.41666666666663</v>
      </c>
      <c r="AC21">
        <v>429.1</v>
      </c>
      <c r="AD21">
        <v>1286.5</v>
      </c>
      <c r="AE21">
        <v>573.42499999999995</v>
      </c>
      <c r="AG21" t="s">
        <v>22</v>
      </c>
      <c r="AI21">
        <v>1524</v>
      </c>
      <c r="AJ21">
        <v>1094.3333333333333</v>
      </c>
      <c r="AK21">
        <v>904.8</v>
      </c>
      <c r="AL21">
        <v>3820</v>
      </c>
      <c r="AM21">
        <v>1150</v>
      </c>
      <c r="AO21" t="s">
        <v>22</v>
      </c>
      <c r="AP21">
        <v>924</v>
      </c>
      <c r="AQ21">
        <v>1364</v>
      </c>
      <c r="AR21">
        <v>1088</v>
      </c>
      <c r="AS21">
        <v>792.4</v>
      </c>
      <c r="AT21">
        <v>1282</v>
      </c>
      <c r="AU21">
        <v>1029.4000000000001</v>
      </c>
      <c r="AW21" t="s">
        <v>22</v>
      </c>
      <c r="AY21">
        <v>310</v>
      </c>
      <c r="AZ21">
        <v>142.25</v>
      </c>
      <c r="BA21">
        <v>5.6</v>
      </c>
      <c r="BC21">
        <v>102.25</v>
      </c>
      <c r="BE21" t="s">
        <v>22</v>
      </c>
      <c r="BG21">
        <v>20</v>
      </c>
      <c r="BH21">
        <v>9.0833333333333339</v>
      </c>
      <c r="BI21">
        <v>13.6</v>
      </c>
      <c r="BJ21">
        <v>44</v>
      </c>
      <c r="BK21">
        <v>12.05</v>
      </c>
    </row>
    <row r="22" spans="1:63" x14ac:dyDescent="0.25">
      <c r="A22" s="10" t="s">
        <v>0</v>
      </c>
      <c r="B22" t="b">
        <v>0</v>
      </c>
      <c r="C22" t="b">
        <v>0</v>
      </c>
      <c r="D22" s="1">
        <v>4510</v>
      </c>
      <c r="E22" s="1">
        <v>0</v>
      </c>
      <c r="F22" s="1">
        <v>0</v>
      </c>
      <c r="G22" s="1">
        <v>1425</v>
      </c>
      <c r="H22" s="1">
        <v>0</v>
      </c>
      <c r="I22" s="1">
        <v>75</v>
      </c>
      <c r="J22" s="1">
        <f t="shared" si="1"/>
        <v>6010</v>
      </c>
      <c r="K22" s="1">
        <v>1965</v>
      </c>
      <c r="L22" s="1">
        <v>0</v>
      </c>
      <c r="M22" s="1">
        <v>63</v>
      </c>
      <c r="N22" s="1">
        <f t="shared" si="0"/>
        <v>2028</v>
      </c>
      <c r="O22" s="9">
        <v>1167</v>
      </c>
      <c r="P22" s="1">
        <v>0</v>
      </c>
      <c r="Q22" s="1">
        <v>0</v>
      </c>
      <c r="R22" s="12">
        <v>37681</v>
      </c>
      <c r="S22" s="1">
        <v>9205</v>
      </c>
      <c r="T22" s="9" t="s">
        <v>21</v>
      </c>
      <c r="Y22" t="s">
        <v>23</v>
      </c>
      <c r="Z22">
        <v>317.75</v>
      </c>
      <c r="AA22">
        <v>1012.5</v>
      </c>
      <c r="AB22">
        <v>622.41666666666663</v>
      </c>
      <c r="AC22">
        <v>472.55</v>
      </c>
      <c r="AD22">
        <v>1184.5</v>
      </c>
      <c r="AE22">
        <v>617.32500000000005</v>
      </c>
      <c r="AG22" t="s">
        <v>23</v>
      </c>
      <c r="AI22">
        <v>1272</v>
      </c>
      <c r="AJ22">
        <v>1101.4166666666667</v>
      </c>
      <c r="AK22">
        <v>706.6</v>
      </c>
      <c r="AL22">
        <v>3461</v>
      </c>
      <c r="AM22">
        <v>1074.1500000000001</v>
      </c>
      <c r="AO22" t="s">
        <v>23</v>
      </c>
      <c r="AP22">
        <v>1271</v>
      </c>
      <c r="AQ22">
        <v>2762</v>
      </c>
      <c r="AR22">
        <v>1329.8333333333333</v>
      </c>
      <c r="AS22">
        <v>1174.8</v>
      </c>
      <c r="AT22">
        <v>1275</v>
      </c>
      <c r="AU22">
        <v>1357</v>
      </c>
      <c r="AW22" t="s">
        <v>23</v>
      </c>
      <c r="AY22">
        <v>0</v>
      </c>
      <c r="AZ22">
        <v>46.75</v>
      </c>
      <c r="BA22">
        <v>3.4</v>
      </c>
      <c r="BC22">
        <v>28.9</v>
      </c>
      <c r="BE22" t="s">
        <v>23</v>
      </c>
      <c r="BG22">
        <v>16</v>
      </c>
      <c r="BH22">
        <v>11.666666666666666</v>
      </c>
      <c r="BI22">
        <v>5.4</v>
      </c>
      <c r="BJ22">
        <v>2</v>
      </c>
      <c r="BK22">
        <v>9.25</v>
      </c>
    </row>
    <row r="23" spans="1:63" x14ac:dyDescent="0.25">
      <c r="A23" s="10" t="s">
        <v>0</v>
      </c>
      <c r="B23" t="b">
        <v>0</v>
      </c>
      <c r="C23" t="b">
        <v>0</v>
      </c>
      <c r="D23" s="1">
        <v>3806</v>
      </c>
      <c r="E23" s="1">
        <v>0</v>
      </c>
      <c r="F23" s="1">
        <v>41</v>
      </c>
      <c r="G23" s="1">
        <v>1260</v>
      </c>
      <c r="H23" s="1">
        <v>0</v>
      </c>
      <c r="I23" s="1">
        <v>43</v>
      </c>
      <c r="J23" s="1">
        <f t="shared" si="1"/>
        <v>5150</v>
      </c>
      <c r="K23" s="1">
        <v>2937</v>
      </c>
      <c r="L23" s="1">
        <v>0</v>
      </c>
      <c r="M23" s="1">
        <v>630</v>
      </c>
      <c r="N23" s="1">
        <f t="shared" si="0"/>
        <v>3567</v>
      </c>
      <c r="O23" s="9">
        <v>750</v>
      </c>
      <c r="P23" s="1">
        <v>0</v>
      </c>
      <c r="Q23" s="1">
        <v>0</v>
      </c>
      <c r="R23" s="12">
        <v>37712</v>
      </c>
      <c r="S23" s="1">
        <v>9467</v>
      </c>
      <c r="T23" s="9" t="s">
        <v>21</v>
      </c>
      <c r="Y23" t="s">
        <v>24</v>
      </c>
      <c r="Z23">
        <v>136</v>
      </c>
      <c r="AA23">
        <v>652</v>
      </c>
      <c r="AB23">
        <v>390.47916666666669</v>
      </c>
      <c r="AC23">
        <v>234.55</v>
      </c>
      <c r="AD23">
        <v>662.5</v>
      </c>
      <c r="AE23">
        <v>365.45</v>
      </c>
      <c r="AG23" t="s">
        <v>24</v>
      </c>
      <c r="AI23">
        <v>1106</v>
      </c>
      <c r="AJ23">
        <v>800.41666666666663</v>
      </c>
      <c r="AK23">
        <v>459.8</v>
      </c>
      <c r="AL23">
        <v>2142</v>
      </c>
      <c r="AM23">
        <v>757.6</v>
      </c>
      <c r="AO23" t="s">
        <v>24</v>
      </c>
      <c r="AP23">
        <v>544</v>
      </c>
      <c r="AQ23">
        <v>1484</v>
      </c>
      <c r="AR23">
        <v>718</v>
      </c>
      <c r="AS23">
        <v>467</v>
      </c>
      <c r="AT23">
        <v>507</v>
      </c>
      <c r="AU23">
        <v>674.3</v>
      </c>
      <c r="AW23" t="s">
        <v>24</v>
      </c>
      <c r="AY23">
        <v>0</v>
      </c>
      <c r="AZ23">
        <v>33</v>
      </c>
      <c r="BA23">
        <v>0</v>
      </c>
      <c r="BC23">
        <v>19.8</v>
      </c>
      <c r="BE23" t="s">
        <v>24</v>
      </c>
      <c r="BG23">
        <v>18</v>
      </c>
      <c r="BH23">
        <v>10.5</v>
      </c>
      <c r="BI23">
        <v>11.4</v>
      </c>
      <c r="BJ23">
        <v>1</v>
      </c>
      <c r="BK23">
        <v>10.1</v>
      </c>
    </row>
    <row r="24" spans="1:63" x14ac:dyDescent="0.25">
      <c r="A24" s="10" t="s">
        <v>0</v>
      </c>
      <c r="B24" t="b">
        <v>0</v>
      </c>
      <c r="C24" t="b">
        <v>0</v>
      </c>
      <c r="D24" s="1">
        <v>7407</v>
      </c>
      <c r="E24" s="1">
        <v>0</v>
      </c>
      <c r="F24" s="1">
        <v>147</v>
      </c>
      <c r="G24" s="1">
        <v>1863</v>
      </c>
      <c r="H24" s="1">
        <v>0</v>
      </c>
      <c r="I24" s="1">
        <v>166</v>
      </c>
      <c r="J24" s="1">
        <f t="shared" si="1"/>
        <v>9583</v>
      </c>
      <c r="K24" s="1">
        <v>4301</v>
      </c>
      <c r="L24" s="1">
        <v>0</v>
      </c>
      <c r="M24" s="1">
        <v>1329</v>
      </c>
      <c r="N24" s="1">
        <f t="shared" si="0"/>
        <v>5630</v>
      </c>
      <c r="O24" s="9">
        <v>1173</v>
      </c>
      <c r="P24" s="1">
        <v>0</v>
      </c>
      <c r="Q24" s="1">
        <v>0</v>
      </c>
      <c r="R24" s="12">
        <v>37742</v>
      </c>
      <c r="S24" s="1">
        <v>16386</v>
      </c>
      <c r="T24" s="9" t="s">
        <v>21</v>
      </c>
      <c r="Y24" t="s">
        <v>43</v>
      </c>
      <c r="Z24">
        <v>161.3125</v>
      </c>
      <c r="AA24">
        <v>706.66666666666663</v>
      </c>
      <c r="AB24">
        <v>490.01449275362319</v>
      </c>
      <c r="AC24">
        <v>334.18548387096774</v>
      </c>
      <c r="AD24">
        <v>1038.8958333333333</v>
      </c>
      <c r="AE24">
        <v>471.28813559322032</v>
      </c>
      <c r="AG24" t="s">
        <v>43</v>
      </c>
      <c r="AI24">
        <v>1554.75</v>
      </c>
      <c r="AJ24">
        <v>1022.9565217391304</v>
      </c>
      <c r="AK24">
        <v>724.43548387096769</v>
      </c>
      <c r="AL24">
        <v>3434.9166666666665</v>
      </c>
      <c r="AM24">
        <v>1042.199152542373</v>
      </c>
      <c r="AO24" t="s">
        <v>43</v>
      </c>
      <c r="AP24">
        <v>640.75</v>
      </c>
      <c r="AQ24">
        <v>1068.0833333333333</v>
      </c>
      <c r="AR24">
        <v>805.17391304347825</v>
      </c>
      <c r="AS24">
        <v>585.24193548387098</v>
      </c>
      <c r="AT24">
        <v>704.5</v>
      </c>
      <c r="AU24">
        <v>747.28389830508479</v>
      </c>
      <c r="AW24" t="s">
        <v>43</v>
      </c>
      <c r="AY24">
        <v>186.16666666666666</v>
      </c>
      <c r="AZ24">
        <v>119.8623188405797</v>
      </c>
      <c r="BA24">
        <v>11.03225806451613</v>
      </c>
      <c r="BC24">
        <v>82.45338983050847</v>
      </c>
      <c r="BE24" t="s">
        <v>43</v>
      </c>
      <c r="BF24">
        <v>4.5</v>
      </c>
      <c r="BG24">
        <v>17.666666666666668</v>
      </c>
      <c r="BH24">
        <v>12.065217391304348</v>
      </c>
      <c r="BI24">
        <v>16.032258064516128</v>
      </c>
      <c r="BJ24">
        <v>16.166666666666668</v>
      </c>
      <c r="BK24">
        <v>13.216101694915254</v>
      </c>
    </row>
    <row r="25" spans="1:63" x14ac:dyDescent="0.25">
      <c r="A25" s="10" t="s">
        <v>0</v>
      </c>
      <c r="B25" t="b">
        <v>0</v>
      </c>
      <c r="C25" t="b">
        <v>0</v>
      </c>
      <c r="D25" s="1">
        <v>8227</v>
      </c>
      <c r="E25" s="1">
        <v>0</v>
      </c>
      <c r="F25" s="1">
        <v>190</v>
      </c>
      <c r="G25" s="1">
        <v>1918</v>
      </c>
      <c r="H25" s="1">
        <v>0</v>
      </c>
      <c r="I25" s="1">
        <v>0</v>
      </c>
      <c r="J25" s="1">
        <f t="shared" si="1"/>
        <v>10335</v>
      </c>
      <c r="K25" s="1">
        <v>4844</v>
      </c>
      <c r="L25" s="1">
        <v>0</v>
      </c>
      <c r="M25" s="1">
        <v>1370</v>
      </c>
      <c r="N25" s="1">
        <f t="shared" si="0"/>
        <v>6214</v>
      </c>
      <c r="O25" s="9">
        <v>924</v>
      </c>
      <c r="P25" s="1">
        <v>0</v>
      </c>
      <c r="Q25" s="1">
        <v>0</v>
      </c>
      <c r="R25" s="12">
        <v>37773</v>
      </c>
      <c r="S25" s="1">
        <v>17473</v>
      </c>
      <c r="T25" s="9" t="s">
        <v>21</v>
      </c>
      <c r="Y25" t="s">
        <v>59</v>
      </c>
      <c r="Z25">
        <f>AVERAGE(Z15:Z20)</f>
        <v>179.33333333333334</v>
      </c>
      <c r="AA25">
        <f t="shared" ref="AA25:AE25" si="2">AVERAGE(AA15:AA20)</f>
        <v>598.5</v>
      </c>
      <c r="AB25">
        <f t="shared" si="2"/>
        <v>527.51925505050508</v>
      </c>
      <c r="AC25">
        <f t="shared" si="2"/>
        <v>352.05</v>
      </c>
      <c r="AD25">
        <f t="shared" si="2"/>
        <v>1281.625</v>
      </c>
      <c r="AE25">
        <f t="shared" si="2"/>
        <v>503.85586883876357</v>
      </c>
    </row>
    <row r="26" spans="1:63" x14ac:dyDescent="0.25">
      <c r="A26" s="10" t="s">
        <v>0</v>
      </c>
      <c r="B26" t="b">
        <v>0</v>
      </c>
      <c r="C26" t="b">
        <v>0</v>
      </c>
      <c r="D26" s="1">
        <v>9681</v>
      </c>
      <c r="E26" s="1">
        <v>0</v>
      </c>
      <c r="F26" s="1">
        <v>538</v>
      </c>
      <c r="G26" s="1">
        <v>2015</v>
      </c>
      <c r="H26" s="1">
        <v>0</v>
      </c>
      <c r="I26" s="1">
        <v>35</v>
      </c>
      <c r="J26" s="1">
        <f t="shared" si="1"/>
        <v>12269</v>
      </c>
      <c r="K26" s="1">
        <v>5505</v>
      </c>
      <c r="L26" s="1">
        <v>0</v>
      </c>
      <c r="M26" s="1">
        <v>2801</v>
      </c>
      <c r="N26" s="1">
        <f t="shared" si="0"/>
        <v>8306</v>
      </c>
      <c r="O26" s="9">
        <v>0</v>
      </c>
      <c r="P26" s="1">
        <v>0</v>
      </c>
      <c r="Q26" s="1">
        <v>0</v>
      </c>
      <c r="R26" s="12">
        <v>37803</v>
      </c>
      <c r="S26" s="1">
        <v>20575</v>
      </c>
      <c r="T26" s="9" t="s">
        <v>21</v>
      </c>
    </row>
    <row r="27" spans="1:63" x14ac:dyDescent="0.25">
      <c r="A27" s="10" t="s">
        <v>0</v>
      </c>
      <c r="B27" t="b">
        <v>0</v>
      </c>
      <c r="C27" t="b">
        <v>0</v>
      </c>
      <c r="D27" s="1">
        <v>9617</v>
      </c>
      <c r="E27" s="1">
        <v>0</v>
      </c>
      <c r="F27" s="1">
        <v>191</v>
      </c>
      <c r="G27" s="1">
        <v>2205</v>
      </c>
      <c r="H27" s="1">
        <v>0</v>
      </c>
      <c r="I27" s="1">
        <v>23</v>
      </c>
      <c r="J27" s="1">
        <f t="shared" si="1"/>
        <v>12036</v>
      </c>
      <c r="K27" s="1">
        <v>5905</v>
      </c>
      <c r="L27" s="1">
        <v>0</v>
      </c>
      <c r="M27" s="1">
        <v>2654</v>
      </c>
      <c r="N27" s="1">
        <f t="shared" si="0"/>
        <v>8559</v>
      </c>
      <c r="O27" s="9">
        <v>0</v>
      </c>
      <c r="P27" s="1">
        <v>0</v>
      </c>
      <c r="Q27" s="1">
        <v>0</v>
      </c>
      <c r="R27" s="12">
        <v>37834</v>
      </c>
      <c r="S27" s="1">
        <v>20595</v>
      </c>
      <c r="T27" s="9" t="s">
        <v>21</v>
      </c>
    </row>
    <row r="28" spans="1:63" x14ac:dyDescent="0.25">
      <c r="A28" s="10" t="s">
        <v>0</v>
      </c>
      <c r="B28" t="b">
        <v>0</v>
      </c>
      <c r="C28" t="b">
        <v>0</v>
      </c>
      <c r="D28" s="1">
        <v>5690</v>
      </c>
      <c r="E28" s="1">
        <v>0</v>
      </c>
      <c r="F28" s="1">
        <v>389</v>
      </c>
      <c r="G28" s="1">
        <v>1643</v>
      </c>
      <c r="H28" s="1">
        <v>0</v>
      </c>
      <c r="I28" s="1">
        <v>0</v>
      </c>
      <c r="J28" s="1">
        <f t="shared" si="1"/>
        <v>7722</v>
      </c>
      <c r="K28" s="1">
        <v>3787</v>
      </c>
      <c r="L28" s="1">
        <v>0</v>
      </c>
      <c r="M28" s="1">
        <v>1055</v>
      </c>
      <c r="N28" s="1">
        <f t="shared" si="0"/>
        <v>4842</v>
      </c>
      <c r="O28" s="9">
        <v>1000</v>
      </c>
      <c r="P28" s="1">
        <v>0</v>
      </c>
      <c r="Q28" s="1">
        <v>0</v>
      </c>
      <c r="R28" s="12">
        <v>37865</v>
      </c>
      <c r="S28" s="1">
        <v>13564</v>
      </c>
      <c r="T28" s="9" t="s">
        <v>21</v>
      </c>
    </row>
    <row r="29" spans="1:63" x14ac:dyDescent="0.25">
      <c r="A29" s="10" t="s">
        <v>0</v>
      </c>
      <c r="B29" t="b">
        <v>0</v>
      </c>
      <c r="C29" t="b">
        <v>0</v>
      </c>
      <c r="D29" s="1">
        <v>3596</v>
      </c>
      <c r="E29" s="1">
        <v>0</v>
      </c>
      <c r="F29" s="1">
        <v>62</v>
      </c>
      <c r="G29" s="1">
        <v>1300</v>
      </c>
      <c r="H29" s="1">
        <v>0</v>
      </c>
      <c r="I29" s="1">
        <v>0</v>
      </c>
      <c r="J29" s="1">
        <f t="shared" si="1"/>
        <v>4958</v>
      </c>
      <c r="K29" s="1">
        <v>3484</v>
      </c>
      <c r="L29" s="1">
        <v>0</v>
      </c>
      <c r="M29" s="1">
        <v>963</v>
      </c>
      <c r="N29" s="1">
        <f>K29+L29+M29</f>
        <v>4447</v>
      </c>
      <c r="O29" s="9">
        <v>1364</v>
      </c>
      <c r="P29" s="1">
        <v>0</v>
      </c>
      <c r="Q29" s="1">
        <v>0</v>
      </c>
      <c r="R29" s="12">
        <v>37895</v>
      </c>
      <c r="S29" s="1">
        <v>10769</v>
      </c>
      <c r="T29" s="9" t="s">
        <v>21</v>
      </c>
    </row>
    <row r="30" spans="1:63" x14ac:dyDescent="0.25">
      <c r="A30" s="10" t="s">
        <v>0</v>
      </c>
      <c r="B30" t="b">
        <v>0</v>
      </c>
      <c r="C30" t="b">
        <v>0</v>
      </c>
      <c r="D30" s="1">
        <v>1515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f t="shared" si="1"/>
        <v>1515</v>
      </c>
      <c r="K30" s="1">
        <v>1694</v>
      </c>
      <c r="L30" s="1">
        <v>0</v>
      </c>
      <c r="M30" s="1">
        <v>0</v>
      </c>
      <c r="N30" s="1">
        <f t="shared" ref="N30:N93" si="3">K30+L30+M30</f>
        <v>1694</v>
      </c>
      <c r="O30" s="9">
        <v>2762</v>
      </c>
      <c r="P30" s="1">
        <v>0</v>
      </c>
      <c r="Q30" s="1">
        <v>0</v>
      </c>
      <c r="R30" s="12">
        <v>37926</v>
      </c>
      <c r="S30" s="1">
        <v>5971</v>
      </c>
      <c r="T30" s="9" t="s">
        <v>21</v>
      </c>
    </row>
    <row r="31" spans="1:63" x14ac:dyDescent="0.25">
      <c r="A31" s="10" t="s">
        <v>0</v>
      </c>
      <c r="B31" t="b">
        <v>0</v>
      </c>
      <c r="C31" t="b">
        <v>0</v>
      </c>
      <c r="D31" s="1">
        <v>1246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f t="shared" si="1"/>
        <v>1246</v>
      </c>
      <c r="K31" s="1">
        <v>464</v>
      </c>
      <c r="L31" s="1">
        <v>0</v>
      </c>
      <c r="M31" s="1">
        <v>0</v>
      </c>
      <c r="N31" s="1">
        <f t="shared" si="3"/>
        <v>464</v>
      </c>
      <c r="O31" s="9">
        <v>1484</v>
      </c>
      <c r="P31" s="1">
        <v>0</v>
      </c>
      <c r="Q31" s="1">
        <v>0</v>
      </c>
      <c r="R31" s="12">
        <v>37956</v>
      </c>
      <c r="S31" s="1">
        <v>3194</v>
      </c>
      <c r="T31" s="9" t="s">
        <v>21</v>
      </c>
    </row>
    <row r="32" spans="1:63" x14ac:dyDescent="0.25">
      <c r="A32" s="10" t="s">
        <v>0</v>
      </c>
      <c r="B32" t="b">
        <v>0</v>
      </c>
      <c r="C32" t="b">
        <v>0</v>
      </c>
      <c r="D32" s="1">
        <v>2585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f t="shared" si="1"/>
        <v>2585</v>
      </c>
      <c r="K32" s="1">
        <v>616</v>
      </c>
      <c r="L32" s="1">
        <v>0</v>
      </c>
      <c r="M32" s="1">
        <v>0</v>
      </c>
      <c r="N32" s="1">
        <f t="shared" si="3"/>
        <v>616</v>
      </c>
      <c r="O32" s="9">
        <v>1933</v>
      </c>
      <c r="P32" s="1">
        <v>0</v>
      </c>
      <c r="Q32" s="1">
        <v>0</v>
      </c>
      <c r="R32" s="12">
        <v>37987</v>
      </c>
      <c r="S32" s="1">
        <v>5134</v>
      </c>
      <c r="T32" s="9" t="s">
        <v>41</v>
      </c>
    </row>
    <row r="33" spans="1:20" x14ac:dyDescent="0.25">
      <c r="A33" s="10" t="s">
        <v>0</v>
      </c>
      <c r="B33" t="b">
        <v>0</v>
      </c>
      <c r="C33" t="b">
        <v>0</v>
      </c>
      <c r="D33" s="1">
        <v>626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f t="shared" si="1"/>
        <v>626</v>
      </c>
      <c r="K33" s="1">
        <v>677</v>
      </c>
      <c r="L33" s="1">
        <v>0</v>
      </c>
      <c r="M33" s="1">
        <v>0</v>
      </c>
      <c r="N33" s="1">
        <f t="shared" si="3"/>
        <v>677</v>
      </c>
      <c r="O33" s="9">
        <v>1200</v>
      </c>
      <c r="P33" s="1">
        <v>0</v>
      </c>
      <c r="Q33" s="1">
        <v>0</v>
      </c>
      <c r="R33" s="12">
        <v>38018</v>
      </c>
      <c r="S33" s="1">
        <v>2503</v>
      </c>
      <c r="T33" s="9" t="s">
        <v>41</v>
      </c>
    </row>
    <row r="34" spans="1:20" x14ac:dyDescent="0.25">
      <c r="A34" s="10" t="s">
        <v>0</v>
      </c>
      <c r="B34" t="b">
        <v>0</v>
      </c>
      <c r="C34" t="b">
        <v>0</v>
      </c>
      <c r="D34" s="1">
        <v>3590</v>
      </c>
      <c r="E34" s="1">
        <v>0</v>
      </c>
      <c r="F34" s="1">
        <v>0</v>
      </c>
      <c r="G34" s="1">
        <v>1059</v>
      </c>
      <c r="H34" s="1">
        <v>0</v>
      </c>
      <c r="I34" s="1">
        <v>0</v>
      </c>
      <c r="J34" s="1">
        <f t="shared" si="1"/>
        <v>4649</v>
      </c>
      <c r="K34" s="1">
        <v>1396</v>
      </c>
      <c r="L34" s="1">
        <v>0</v>
      </c>
      <c r="M34" s="1">
        <v>0</v>
      </c>
      <c r="N34" s="1">
        <f t="shared" si="3"/>
        <v>1396</v>
      </c>
      <c r="O34" s="9">
        <v>1238</v>
      </c>
      <c r="P34" s="1">
        <v>0</v>
      </c>
      <c r="Q34" s="1">
        <v>0</v>
      </c>
      <c r="R34" s="12">
        <v>38047</v>
      </c>
      <c r="S34" s="1">
        <v>7283</v>
      </c>
      <c r="T34" s="9" t="s">
        <v>41</v>
      </c>
    </row>
    <row r="35" spans="1:20" x14ac:dyDescent="0.25">
      <c r="A35" s="10" t="s">
        <v>0</v>
      </c>
      <c r="B35" t="b">
        <v>0</v>
      </c>
      <c r="C35" t="b">
        <v>0</v>
      </c>
      <c r="D35" s="1">
        <v>5749</v>
      </c>
      <c r="E35" s="1">
        <v>0</v>
      </c>
      <c r="F35" s="1">
        <v>182</v>
      </c>
      <c r="G35" s="1">
        <v>1158</v>
      </c>
      <c r="H35" s="1">
        <v>0</v>
      </c>
      <c r="I35" s="1">
        <v>0</v>
      </c>
      <c r="J35" s="1">
        <f t="shared" si="1"/>
        <v>7089</v>
      </c>
      <c r="K35" s="1">
        <v>3157</v>
      </c>
      <c r="L35" s="1">
        <v>0</v>
      </c>
      <c r="M35" s="1">
        <v>1149</v>
      </c>
      <c r="N35" s="1">
        <f t="shared" si="3"/>
        <v>4306</v>
      </c>
      <c r="O35" s="9">
        <v>1000</v>
      </c>
      <c r="P35" s="1">
        <v>0</v>
      </c>
      <c r="Q35" s="1">
        <v>0</v>
      </c>
      <c r="R35" s="12">
        <v>38078</v>
      </c>
      <c r="S35" s="1">
        <v>12395</v>
      </c>
      <c r="T35" s="9" t="s">
        <v>41</v>
      </c>
    </row>
    <row r="36" spans="1:20" x14ac:dyDescent="0.25">
      <c r="A36" s="10" t="s">
        <v>0</v>
      </c>
      <c r="B36" t="b">
        <v>0</v>
      </c>
      <c r="C36" t="b">
        <v>0</v>
      </c>
      <c r="D36" s="1">
        <v>7500</v>
      </c>
      <c r="E36" s="1">
        <v>0</v>
      </c>
      <c r="F36" s="1">
        <v>259</v>
      </c>
      <c r="G36" s="1">
        <v>1509</v>
      </c>
      <c r="H36" s="1">
        <v>0</v>
      </c>
      <c r="I36" s="1">
        <v>0</v>
      </c>
      <c r="J36" s="1">
        <f t="shared" si="1"/>
        <v>9268</v>
      </c>
      <c r="K36" s="1">
        <v>4424</v>
      </c>
      <c r="L36" s="1">
        <v>0</v>
      </c>
      <c r="M36" s="1">
        <v>1656</v>
      </c>
      <c r="N36" s="1">
        <f t="shared" si="3"/>
        <v>6080</v>
      </c>
      <c r="O36" s="9">
        <v>1013</v>
      </c>
      <c r="P36" s="1">
        <v>0</v>
      </c>
      <c r="Q36" s="1">
        <v>0</v>
      </c>
      <c r="R36" s="12">
        <v>38108</v>
      </c>
      <c r="S36" s="1">
        <v>16361</v>
      </c>
      <c r="T36" s="9" t="s">
        <v>41</v>
      </c>
    </row>
    <row r="37" spans="1:20" x14ac:dyDescent="0.25">
      <c r="A37" s="10" t="s">
        <v>0</v>
      </c>
      <c r="B37" t="b">
        <v>0</v>
      </c>
      <c r="C37" t="b">
        <v>0</v>
      </c>
      <c r="D37" s="1">
        <v>5704</v>
      </c>
      <c r="E37" s="1">
        <v>0</v>
      </c>
      <c r="F37" s="1">
        <v>121</v>
      </c>
      <c r="G37" s="1">
        <v>1371</v>
      </c>
      <c r="H37" s="1">
        <v>0</v>
      </c>
      <c r="I37" s="1">
        <v>16</v>
      </c>
      <c r="J37" s="1">
        <f t="shared" si="1"/>
        <v>7212</v>
      </c>
      <c r="K37" s="1">
        <v>4334</v>
      </c>
      <c r="L37" s="1">
        <v>0</v>
      </c>
      <c r="M37" s="1">
        <v>1771</v>
      </c>
      <c r="N37" s="1">
        <f t="shared" si="3"/>
        <v>6105</v>
      </c>
      <c r="O37" s="9">
        <v>887</v>
      </c>
      <c r="P37" s="1">
        <v>0</v>
      </c>
      <c r="Q37" s="1">
        <v>0</v>
      </c>
      <c r="R37" s="12">
        <v>38139</v>
      </c>
      <c r="S37" s="1">
        <v>14204</v>
      </c>
      <c r="T37" s="9" t="s">
        <v>41</v>
      </c>
    </row>
    <row r="38" spans="1:20" x14ac:dyDescent="0.25">
      <c r="A38" s="10" t="s">
        <v>0</v>
      </c>
      <c r="B38" t="b">
        <v>0</v>
      </c>
      <c r="C38" t="b">
        <v>0</v>
      </c>
      <c r="D38" s="1">
        <v>9194</v>
      </c>
      <c r="E38" s="1">
        <v>0</v>
      </c>
      <c r="F38" s="1">
        <v>447</v>
      </c>
      <c r="G38" s="1">
        <v>1309</v>
      </c>
      <c r="H38" s="1">
        <v>0</v>
      </c>
      <c r="I38" s="1">
        <v>53</v>
      </c>
      <c r="J38" s="1">
        <f t="shared" si="1"/>
        <v>11003</v>
      </c>
      <c r="K38" s="1">
        <v>5732</v>
      </c>
      <c r="L38" s="1">
        <v>0</v>
      </c>
      <c r="M38" s="1">
        <v>2732</v>
      </c>
      <c r="N38" s="1">
        <f t="shared" si="3"/>
        <v>8464</v>
      </c>
      <c r="O38" s="9">
        <v>931</v>
      </c>
      <c r="P38" s="1">
        <v>0</v>
      </c>
      <c r="Q38" s="1">
        <v>0</v>
      </c>
      <c r="R38" s="12">
        <v>38169</v>
      </c>
      <c r="S38" s="1">
        <v>20398</v>
      </c>
      <c r="T38" s="9" t="s">
        <v>41</v>
      </c>
    </row>
    <row r="39" spans="1:20" x14ac:dyDescent="0.25">
      <c r="A39" s="10" t="s">
        <v>0</v>
      </c>
      <c r="B39" t="b">
        <v>0</v>
      </c>
      <c r="C39" t="b">
        <v>0</v>
      </c>
      <c r="D39" s="1">
        <v>7116</v>
      </c>
      <c r="E39" s="1">
        <v>0</v>
      </c>
      <c r="F39" s="1">
        <v>252</v>
      </c>
      <c r="G39" s="1">
        <v>1125</v>
      </c>
      <c r="H39" s="1">
        <v>0</v>
      </c>
      <c r="I39" s="1">
        <v>0</v>
      </c>
      <c r="J39" s="1">
        <f t="shared" si="1"/>
        <v>8493</v>
      </c>
      <c r="K39" s="1">
        <v>4922</v>
      </c>
      <c r="L39" s="1">
        <v>0</v>
      </c>
      <c r="M39" s="1">
        <v>1446</v>
      </c>
      <c r="N39" s="1">
        <f t="shared" si="3"/>
        <v>6368</v>
      </c>
      <c r="O39" s="9">
        <v>1101</v>
      </c>
      <c r="P39" s="1">
        <v>0</v>
      </c>
      <c r="Q39" s="1">
        <v>0</v>
      </c>
      <c r="R39" s="12">
        <v>38200</v>
      </c>
      <c r="S39" s="1">
        <v>15962</v>
      </c>
      <c r="T39" s="9" t="s">
        <v>41</v>
      </c>
    </row>
    <row r="40" spans="1:20" x14ac:dyDescent="0.25">
      <c r="A40" s="10" t="s">
        <v>0</v>
      </c>
      <c r="B40" t="b">
        <v>0</v>
      </c>
      <c r="C40" t="b">
        <v>0</v>
      </c>
      <c r="D40" s="1">
        <v>7925</v>
      </c>
      <c r="E40" s="1">
        <v>0</v>
      </c>
      <c r="F40" s="1">
        <v>240</v>
      </c>
      <c r="G40" s="1">
        <v>961</v>
      </c>
      <c r="H40" s="1">
        <v>2</v>
      </c>
      <c r="I40" s="1">
        <v>62</v>
      </c>
      <c r="J40" s="1">
        <f t="shared" si="1"/>
        <v>9190</v>
      </c>
      <c r="K40" s="1">
        <v>4073</v>
      </c>
      <c r="L40" s="1">
        <v>0</v>
      </c>
      <c r="M40" s="1">
        <v>1160</v>
      </c>
      <c r="N40" s="1">
        <f t="shared" si="3"/>
        <v>5233</v>
      </c>
      <c r="O40" s="9">
        <v>1049</v>
      </c>
      <c r="P40" s="1">
        <v>0</v>
      </c>
      <c r="Q40" s="1">
        <v>0</v>
      </c>
      <c r="R40" s="12">
        <v>38231</v>
      </c>
      <c r="S40" s="1">
        <v>15472</v>
      </c>
      <c r="T40" s="9" t="s">
        <v>41</v>
      </c>
    </row>
    <row r="41" spans="1:20" x14ac:dyDescent="0.25">
      <c r="A41" s="10" t="s">
        <v>0</v>
      </c>
      <c r="B41" t="b">
        <v>0</v>
      </c>
      <c r="C41" t="b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f t="shared" si="1"/>
        <v>0</v>
      </c>
      <c r="K41" s="1">
        <v>0</v>
      </c>
      <c r="L41" s="1">
        <v>0</v>
      </c>
      <c r="M41" s="1">
        <v>0</v>
      </c>
      <c r="N41" s="1">
        <f t="shared" si="3"/>
        <v>0</v>
      </c>
      <c r="O41" s="9">
        <v>0</v>
      </c>
      <c r="P41" s="1">
        <v>0</v>
      </c>
      <c r="Q41" s="1">
        <v>0</v>
      </c>
      <c r="R41" s="12">
        <v>38261</v>
      </c>
      <c r="S41" s="1">
        <v>0</v>
      </c>
      <c r="T41" s="9" t="s">
        <v>41</v>
      </c>
    </row>
    <row r="42" spans="1:20" x14ac:dyDescent="0.25">
      <c r="A42" s="10" t="s">
        <v>0</v>
      </c>
      <c r="B42" t="b">
        <v>0</v>
      </c>
      <c r="C42" t="b">
        <v>0</v>
      </c>
      <c r="D42" s="1">
        <v>7080</v>
      </c>
      <c r="E42" s="1">
        <v>0</v>
      </c>
      <c r="F42" s="1">
        <v>0</v>
      </c>
      <c r="G42" s="1">
        <v>936</v>
      </c>
      <c r="H42" s="1">
        <v>0</v>
      </c>
      <c r="I42" s="1">
        <v>0</v>
      </c>
      <c r="J42" s="1">
        <f t="shared" si="1"/>
        <v>8016</v>
      </c>
      <c r="K42" s="1">
        <v>1883</v>
      </c>
      <c r="L42" s="1">
        <v>0</v>
      </c>
      <c r="M42" s="1">
        <v>585</v>
      </c>
      <c r="N42" s="1">
        <f t="shared" si="3"/>
        <v>2468</v>
      </c>
      <c r="O42" s="9">
        <v>1824</v>
      </c>
      <c r="P42" s="1">
        <v>0</v>
      </c>
      <c r="Q42" s="1">
        <v>0</v>
      </c>
      <c r="R42" s="12">
        <v>38292</v>
      </c>
      <c r="S42" s="1">
        <v>12308</v>
      </c>
      <c r="T42" s="9" t="s">
        <v>41</v>
      </c>
    </row>
    <row r="43" spans="1:20" x14ac:dyDescent="0.25">
      <c r="A43" s="10" t="s">
        <v>0</v>
      </c>
      <c r="B43" t="b">
        <v>0</v>
      </c>
      <c r="C43" t="b">
        <v>0</v>
      </c>
      <c r="D43" s="1">
        <v>3859</v>
      </c>
      <c r="E43" s="1">
        <v>0</v>
      </c>
      <c r="F43" s="1">
        <v>0</v>
      </c>
      <c r="G43" s="1">
        <v>463</v>
      </c>
      <c r="H43" s="1">
        <v>0</v>
      </c>
      <c r="I43" s="1">
        <v>0</v>
      </c>
      <c r="J43" s="1">
        <f t="shared" si="1"/>
        <v>4322</v>
      </c>
      <c r="K43" s="1">
        <v>566</v>
      </c>
      <c r="L43" s="1">
        <v>0</v>
      </c>
      <c r="M43" s="1">
        <v>39</v>
      </c>
      <c r="N43" s="1">
        <f t="shared" si="3"/>
        <v>605</v>
      </c>
      <c r="O43" s="9">
        <v>1232</v>
      </c>
      <c r="P43" s="1">
        <v>0</v>
      </c>
      <c r="Q43" s="1">
        <v>0</v>
      </c>
      <c r="R43" s="12">
        <v>38322</v>
      </c>
      <c r="S43" s="1">
        <v>6159</v>
      </c>
      <c r="T43" s="9" t="s">
        <v>41</v>
      </c>
    </row>
    <row r="44" spans="1:20" x14ac:dyDescent="0.25">
      <c r="A44" s="10" t="s">
        <v>0</v>
      </c>
      <c r="B44" t="b">
        <v>0</v>
      </c>
      <c r="C44" t="b">
        <v>0</v>
      </c>
      <c r="D44" s="1">
        <v>1020</v>
      </c>
      <c r="E44" s="1">
        <v>0</v>
      </c>
      <c r="F44" s="1">
        <v>0</v>
      </c>
      <c r="G44" s="1">
        <v>269</v>
      </c>
      <c r="H44" s="1">
        <v>0</v>
      </c>
      <c r="I44" s="1">
        <v>0</v>
      </c>
      <c r="J44" s="1">
        <f t="shared" si="1"/>
        <v>1289</v>
      </c>
      <c r="K44" s="1">
        <v>374</v>
      </c>
      <c r="L44" s="1">
        <v>0</v>
      </c>
      <c r="M44" s="1">
        <v>0</v>
      </c>
      <c r="N44" s="1">
        <f t="shared" si="3"/>
        <v>374</v>
      </c>
      <c r="O44" s="9">
        <v>468</v>
      </c>
      <c r="P44" s="1">
        <v>0</v>
      </c>
      <c r="Q44" s="1">
        <v>0</v>
      </c>
      <c r="R44" s="12">
        <v>38353</v>
      </c>
      <c r="S44" s="1">
        <v>2131</v>
      </c>
      <c r="T44" s="9" t="s">
        <v>21</v>
      </c>
    </row>
    <row r="45" spans="1:20" x14ac:dyDescent="0.25">
      <c r="A45" s="10" t="s">
        <v>0</v>
      </c>
      <c r="B45" t="b">
        <v>0</v>
      </c>
      <c r="C45" t="b">
        <v>0</v>
      </c>
      <c r="D45" s="1">
        <v>2282</v>
      </c>
      <c r="E45" s="1">
        <v>0</v>
      </c>
      <c r="F45" s="1">
        <v>0</v>
      </c>
      <c r="G45" s="1">
        <v>286</v>
      </c>
      <c r="H45" s="1">
        <v>0</v>
      </c>
      <c r="I45" s="1">
        <v>0</v>
      </c>
      <c r="J45" s="1">
        <f t="shared" si="1"/>
        <v>2568</v>
      </c>
      <c r="K45" s="1">
        <v>666</v>
      </c>
      <c r="L45" s="1">
        <v>0</v>
      </c>
      <c r="M45" s="1">
        <v>0</v>
      </c>
      <c r="N45" s="1">
        <f t="shared" si="3"/>
        <v>666</v>
      </c>
      <c r="O45" s="9">
        <v>0</v>
      </c>
      <c r="P45" s="1">
        <v>0</v>
      </c>
      <c r="Q45" s="1">
        <v>0</v>
      </c>
      <c r="R45" s="12">
        <v>38384</v>
      </c>
      <c r="S45" s="1">
        <v>3234</v>
      </c>
      <c r="T45" s="9" t="s">
        <v>21</v>
      </c>
    </row>
    <row r="46" spans="1:20" x14ac:dyDescent="0.25">
      <c r="A46" s="10" t="s">
        <v>0</v>
      </c>
      <c r="B46" t="b">
        <v>0</v>
      </c>
      <c r="C46" t="b">
        <v>0</v>
      </c>
      <c r="D46" s="1">
        <v>4373</v>
      </c>
      <c r="E46" s="1">
        <v>0</v>
      </c>
      <c r="F46" s="1">
        <v>90</v>
      </c>
      <c r="G46" s="1">
        <v>869</v>
      </c>
      <c r="H46" s="1">
        <v>0</v>
      </c>
      <c r="I46" s="1">
        <v>0</v>
      </c>
      <c r="J46" s="1">
        <f t="shared" si="1"/>
        <v>5332</v>
      </c>
      <c r="K46" s="1">
        <v>1597</v>
      </c>
      <c r="L46" s="1">
        <v>0</v>
      </c>
      <c r="M46" s="1">
        <v>120</v>
      </c>
      <c r="N46" s="1">
        <f t="shared" si="3"/>
        <v>1717</v>
      </c>
      <c r="O46" s="9">
        <v>1030</v>
      </c>
      <c r="P46" s="1">
        <v>0</v>
      </c>
      <c r="Q46" s="1">
        <v>0</v>
      </c>
      <c r="R46" s="12">
        <v>38412</v>
      </c>
      <c r="S46" s="1">
        <v>8079</v>
      </c>
      <c r="T46" s="9" t="s">
        <v>21</v>
      </c>
    </row>
    <row r="47" spans="1:20" x14ac:dyDescent="0.25">
      <c r="A47" s="10" t="s">
        <v>0</v>
      </c>
      <c r="B47" t="b">
        <v>0</v>
      </c>
      <c r="C47" t="b">
        <v>0</v>
      </c>
      <c r="D47" s="1">
        <v>3593</v>
      </c>
      <c r="E47" s="1">
        <v>0</v>
      </c>
      <c r="F47" s="1">
        <v>60</v>
      </c>
      <c r="G47" s="1">
        <v>1299</v>
      </c>
      <c r="H47" s="1">
        <v>0</v>
      </c>
      <c r="I47" s="1">
        <v>0</v>
      </c>
      <c r="J47" s="1">
        <f t="shared" si="1"/>
        <v>4952</v>
      </c>
      <c r="K47" s="1">
        <v>2140</v>
      </c>
      <c r="L47" s="1">
        <v>0</v>
      </c>
      <c r="M47" s="1">
        <v>1157</v>
      </c>
      <c r="N47" s="1">
        <f t="shared" si="3"/>
        <v>3297</v>
      </c>
      <c r="O47" s="9">
        <v>0</v>
      </c>
      <c r="P47" s="1">
        <v>0</v>
      </c>
      <c r="Q47" s="1">
        <v>0</v>
      </c>
      <c r="R47" s="12">
        <v>38443</v>
      </c>
      <c r="S47" s="1">
        <v>8249</v>
      </c>
      <c r="T47" s="9" t="s">
        <v>21</v>
      </c>
    </row>
    <row r="48" spans="1:20" x14ac:dyDescent="0.25">
      <c r="A48" s="10" t="s">
        <v>0</v>
      </c>
      <c r="B48" t="b">
        <v>0</v>
      </c>
      <c r="C48" t="b">
        <v>0</v>
      </c>
      <c r="D48" s="1">
        <v>5086</v>
      </c>
      <c r="E48" s="1">
        <v>0</v>
      </c>
      <c r="F48" s="1">
        <v>180</v>
      </c>
      <c r="G48" s="1">
        <v>1335</v>
      </c>
      <c r="H48" s="1">
        <v>0</v>
      </c>
      <c r="I48" s="1">
        <v>3002</v>
      </c>
      <c r="J48" s="1">
        <f t="shared" si="1"/>
        <v>9603</v>
      </c>
      <c r="K48" s="1">
        <v>0</v>
      </c>
      <c r="L48" s="1">
        <v>1310</v>
      </c>
      <c r="M48" s="1">
        <v>0</v>
      </c>
      <c r="N48" s="1">
        <f t="shared" si="3"/>
        <v>1310</v>
      </c>
      <c r="O48" s="9">
        <v>0</v>
      </c>
      <c r="P48" s="1">
        <v>0</v>
      </c>
      <c r="Q48" s="1">
        <v>0</v>
      </c>
      <c r="R48" s="12">
        <v>38473</v>
      </c>
      <c r="S48" s="1">
        <v>10913</v>
      </c>
      <c r="T48" s="9" t="s">
        <v>21</v>
      </c>
    </row>
    <row r="49" spans="1:20" x14ac:dyDescent="0.25">
      <c r="A49" s="10" t="s">
        <v>0</v>
      </c>
      <c r="B49" t="b">
        <v>0</v>
      </c>
      <c r="C49" t="b">
        <v>0</v>
      </c>
      <c r="D49" s="1">
        <v>4704</v>
      </c>
      <c r="E49" s="1">
        <v>0</v>
      </c>
      <c r="F49" s="1">
        <v>418</v>
      </c>
      <c r="G49" s="1">
        <v>1673</v>
      </c>
      <c r="H49" s="1">
        <v>0</v>
      </c>
      <c r="I49" s="1">
        <v>0</v>
      </c>
      <c r="J49" s="1">
        <f t="shared" si="1"/>
        <v>6795</v>
      </c>
      <c r="K49" s="1">
        <v>3604</v>
      </c>
      <c r="L49" s="1">
        <v>0</v>
      </c>
      <c r="M49" s="1">
        <v>1947</v>
      </c>
      <c r="N49" s="1">
        <f t="shared" si="3"/>
        <v>5551</v>
      </c>
      <c r="O49" s="9">
        <v>670</v>
      </c>
      <c r="P49" s="1">
        <v>0</v>
      </c>
      <c r="Q49" s="1">
        <v>0</v>
      </c>
      <c r="R49" s="12">
        <v>38504</v>
      </c>
      <c r="S49" s="1">
        <v>13015</v>
      </c>
      <c r="T49" s="9" t="s">
        <v>21</v>
      </c>
    </row>
    <row r="50" spans="1:20" x14ac:dyDescent="0.25">
      <c r="A50" s="10" t="s">
        <v>0</v>
      </c>
      <c r="B50" t="b">
        <v>0</v>
      </c>
      <c r="C50" t="b">
        <v>0</v>
      </c>
      <c r="D50" s="1">
        <v>11457</v>
      </c>
      <c r="E50" s="1">
        <v>0</v>
      </c>
      <c r="F50" s="1">
        <v>469</v>
      </c>
      <c r="G50" s="1">
        <v>1617</v>
      </c>
      <c r="H50" s="1">
        <v>0</v>
      </c>
      <c r="I50" s="1">
        <v>0</v>
      </c>
      <c r="J50" s="1">
        <f t="shared" si="1"/>
        <v>13543</v>
      </c>
      <c r="K50" s="1">
        <v>5853</v>
      </c>
      <c r="L50" s="1">
        <v>0</v>
      </c>
      <c r="M50" s="1">
        <v>2549</v>
      </c>
      <c r="N50" s="1">
        <f t="shared" si="3"/>
        <v>8402</v>
      </c>
      <c r="O50" s="9">
        <v>1226</v>
      </c>
      <c r="P50" s="1">
        <v>0</v>
      </c>
      <c r="Q50" s="1">
        <v>0</v>
      </c>
      <c r="R50" s="12">
        <v>38534</v>
      </c>
      <c r="S50" s="1">
        <v>23171</v>
      </c>
      <c r="T50" s="9" t="s">
        <v>21</v>
      </c>
    </row>
    <row r="51" spans="1:20" x14ac:dyDescent="0.25">
      <c r="A51" s="10" t="s">
        <v>0</v>
      </c>
      <c r="B51" t="b">
        <v>0</v>
      </c>
      <c r="C51" t="b">
        <v>0</v>
      </c>
      <c r="D51" s="1">
        <v>7834</v>
      </c>
      <c r="E51" s="1">
        <v>0</v>
      </c>
      <c r="F51" s="1">
        <v>135</v>
      </c>
      <c r="G51" s="1">
        <v>1400</v>
      </c>
      <c r="H51" s="1">
        <v>0</v>
      </c>
      <c r="I51" s="1">
        <v>100</v>
      </c>
      <c r="J51" s="1">
        <f t="shared" si="1"/>
        <v>9469</v>
      </c>
      <c r="K51" s="1">
        <v>4463</v>
      </c>
      <c r="L51" s="1">
        <v>0</v>
      </c>
      <c r="M51" s="1">
        <v>2201</v>
      </c>
      <c r="N51" s="1">
        <f t="shared" si="3"/>
        <v>6664</v>
      </c>
      <c r="O51" s="9">
        <v>1107</v>
      </c>
      <c r="P51" s="1">
        <v>0</v>
      </c>
      <c r="Q51" s="1">
        <v>0</v>
      </c>
      <c r="R51" s="12">
        <v>38565</v>
      </c>
      <c r="S51" s="1">
        <v>17240</v>
      </c>
      <c r="T51" s="9" t="s">
        <v>21</v>
      </c>
    </row>
    <row r="52" spans="1:20" x14ac:dyDescent="0.25">
      <c r="A52" s="10" t="s">
        <v>0</v>
      </c>
      <c r="B52" t="b">
        <v>0</v>
      </c>
      <c r="C52" t="b">
        <v>0</v>
      </c>
      <c r="D52" s="1">
        <v>6579</v>
      </c>
      <c r="E52" s="1">
        <v>0</v>
      </c>
      <c r="F52" s="1">
        <v>351</v>
      </c>
      <c r="G52" s="1">
        <v>1200</v>
      </c>
      <c r="H52" s="1">
        <v>0</v>
      </c>
      <c r="I52" s="1">
        <v>0</v>
      </c>
      <c r="J52" s="1">
        <f t="shared" si="1"/>
        <v>8130</v>
      </c>
      <c r="K52" s="1">
        <v>4108</v>
      </c>
      <c r="L52" s="1">
        <v>0</v>
      </c>
      <c r="M52" s="1">
        <v>1379</v>
      </c>
      <c r="N52" s="1">
        <f t="shared" si="3"/>
        <v>5487</v>
      </c>
      <c r="O52" s="9">
        <v>947</v>
      </c>
      <c r="P52" s="1">
        <v>0</v>
      </c>
      <c r="Q52" s="1">
        <v>0</v>
      </c>
      <c r="R52" s="12">
        <v>38596</v>
      </c>
      <c r="S52" s="1">
        <v>14564</v>
      </c>
      <c r="T52" s="9" t="s">
        <v>21</v>
      </c>
    </row>
    <row r="53" spans="1:20" x14ac:dyDescent="0.25">
      <c r="A53" s="10" t="s">
        <v>0</v>
      </c>
      <c r="B53" t="b">
        <v>0</v>
      </c>
      <c r="C53" t="b">
        <v>0</v>
      </c>
      <c r="D53" s="1">
        <v>3265</v>
      </c>
      <c r="E53" s="1">
        <v>0</v>
      </c>
      <c r="F53" s="1">
        <v>0</v>
      </c>
      <c r="G53" s="1">
        <v>339</v>
      </c>
      <c r="H53" s="1">
        <v>0</v>
      </c>
      <c r="I53" s="1">
        <v>0</v>
      </c>
      <c r="J53" s="1">
        <f t="shared" si="1"/>
        <v>3604</v>
      </c>
      <c r="K53" s="1">
        <v>2248</v>
      </c>
      <c r="L53" s="1">
        <v>0</v>
      </c>
      <c r="M53" s="1">
        <v>450</v>
      </c>
      <c r="N53" s="1">
        <f t="shared" si="3"/>
        <v>2698</v>
      </c>
      <c r="O53" s="9">
        <v>633</v>
      </c>
      <c r="P53" s="1">
        <v>0</v>
      </c>
      <c r="Q53" s="1">
        <v>0</v>
      </c>
      <c r="R53" s="12">
        <v>38626</v>
      </c>
      <c r="S53" s="1">
        <v>6935</v>
      </c>
      <c r="T53" s="9" t="s">
        <v>21</v>
      </c>
    </row>
    <row r="54" spans="1:20" x14ac:dyDescent="0.25">
      <c r="A54" s="10" t="s">
        <v>0</v>
      </c>
      <c r="B54" t="b">
        <v>0</v>
      </c>
      <c r="C54" t="b">
        <v>0</v>
      </c>
      <c r="D54" s="1">
        <v>1020</v>
      </c>
      <c r="E54" s="1">
        <v>0</v>
      </c>
      <c r="F54" s="1">
        <v>0</v>
      </c>
      <c r="G54" s="1">
        <v>32</v>
      </c>
      <c r="H54" s="1">
        <v>0</v>
      </c>
      <c r="I54" s="1">
        <v>0</v>
      </c>
      <c r="J54" s="1">
        <f t="shared" si="1"/>
        <v>1052</v>
      </c>
      <c r="K54" s="1">
        <v>1104</v>
      </c>
      <c r="L54" s="1">
        <v>0</v>
      </c>
      <c r="M54" s="1">
        <v>0</v>
      </c>
      <c r="N54" s="1">
        <f t="shared" si="3"/>
        <v>1104</v>
      </c>
      <c r="O54" s="9">
        <v>754</v>
      </c>
      <c r="P54" s="1">
        <v>0</v>
      </c>
      <c r="Q54" s="1">
        <v>0</v>
      </c>
      <c r="R54" s="12">
        <v>38657</v>
      </c>
      <c r="S54" s="1">
        <v>2910</v>
      </c>
      <c r="T54" s="9" t="s">
        <v>21</v>
      </c>
    </row>
    <row r="55" spans="1:20" x14ac:dyDescent="0.25">
      <c r="A55" s="10" t="s">
        <v>0</v>
      </c>
      <c r="B55" t="b">
        <v>0</v>
      </c>
      <c r="C55" t="b">
        <v>0</v>
      </c>
      <c r="D55" s="1">
        <v>1020</v>
      </c>
      <c r="E55" s="1">
        <v>0</v>
      </c>
      <c r="F55" s="1">
        <v>0</v>
      </c>
      <c r="G55" s="1">
        <v>32</v>
      </c>
      <c r="H55" s="1">
        <v>0</v>
      </c>
      <c r="I55" s="1">
        <v>0</v>
      </c>
      <c r="J55" s="1">
        <f t="shared" si="1"/>
        <v>1052</v>
      </c>
      <c r="K55" s="1">
        <v>1104</v>
      </c>
      <c r="L55" s="1">
        <v>0</v>
      </c>
      <c r="M55" s="1">
        <v>0</v>
      </c>
      <c r="N55" s="1">
        <f t="shared" si="3"/>
        <v>1104</v>
      </c>
      <c r="O55" s="9">
        <v>754</v>
      </c>
      <c r="P55" s="1">
        <v>0</v>
      </c>
      <c r="Q55" s="1">
        <v>0</v>
      </c>
      <c r="R55" s="12">
        <v>38687</v>
      </c>
      <c r="S55" s="1">
        <v>2910</v>
      </c>
      <c r="T55" s="9" t="s">
        <v>21</v>
      </c>
    </row>
    <row r="56" spans="1:20" x14ac:dyDescent="0.25">
      <c r="A56" s="10" t="s">
        <v>0</v>
      </c>
      <c r="B56" t="b">
        <v>0</v>
      </c>
      <c r="C56" t="b">
        <v>0</v>
      </c>
      <c r="D56" s="1">
        <v>1020</v>
      </c>
      <c r="E56" s="1">
        <v>0</v>
      </c>
      <c r="F56" s="1">
        <v>0</v>
      </c>
      <c r="G56" s="1">
        <v>32</v>
      </c>
      <c r="H56" s="1">
        <v>0</v>
      </c>
      <c r="I56" s="1">
        <v>0</v>
      </c>
      <c r="J56" s="1">
        <f t="shared" si="1"/>
        <v>1052</v>
      </c>
      <c r="K56" s="1">
        <v>1104</v>
      </c>
      <c r="L56" s="1">
        <v>0</v>
      </c>
      <c r="M56" s="1">
        <v>0</v>
      </c>
      <c r="N56" s="1">
        <f t="shared" si="3"/>
        <v>1104</v>
      </c>
      <c r="O56" s="9">
        <v>754</v>
      </c>
      <c r="P56" s="1">
        <v>0</v>
      </c>
      <c r="Q56" s="1">
        <v>0</v>
      </c>
      <c r="R56" s="12">
        <v>38718</v>
      </c>
      <c r="S56" s="1">
        <v>2910</v>
      </c>
      <c r="T56" s="9" t="s">
        <v>21</v>
      </c>
    </row>
    <row r="57" spans="1:20" x14ac:dyDescent="0.25">
      <c r="A57" s="10" t="s">
        <v>0</v>
      </c>
      <c r="B57" t="b">
        <v>0</v>
      </c>
      <c r="C57" t="b">
        <v>0</v>
      </c>
      <c r="D57" s="1">
        <v>1020</v>
      </c>
      <c r="E57" s="1">
        <v>0</v>
      </c>
      <c r="F57" s="1">
        <v>0</v>
      </c>
      <c r="G57" s="1">
        <v>32</v>
      </c>
      <c r="H57" s="1">
        <v>0</v>
      </c>
      <c r="I57" s="1">
        <v>0</v>
      </c>
      <c r="J57" s="1">
        <f t="shared" si="1"/>
        <v>1052</v>
      </c>
      <c r="K57" s="1">
        <v>1104</v>
      </c>
      <c r="L57" s="1">
        <v>0</v>
      </c>
      <c r="M57" s="1">
        <v>0</v>
      </c>
      <c r="N57" s="1">
        <f t="shared" si="3"/>
        <v>1104</v>
      </c>
      <c r="O57" s="9">
        <v>754</v>
      </c>
      <c r="P57" s="1">
        <v>0</v>
      </c>
      <c r="Q57" s="1">
        <v>0</v>
      </c>
      <c r="R57" s="12">
        <v>38749</v>
      </c>
      <c r="S57" s="1">
        <v>2910</v>
      </c>
      <c r="T57" s="9" t="s">
        <v>21</v>
      </c>
    </row>
    <row r="58" spans="1:20" x14ac:dyDescent="0.25">
      <c r="A58" s="10" t="s">
        <v>0</v>
      </c>
      <c r="B58" t="b">
        <v>0</v>
      </c>
      <c r="C58" t="b">
        <v>0</v>
      </c>
      <c r="D58" s="1">
        <v>1020</v>
      </c>
      <c r="E58" s="1">
        <v>0</v>
      </c>
      <c r="F58" s="1">
        <v>0</v>
      </c>
      <c r="G58" s="1">
        <v>32</v>
      </c>
      <c r="H58" s="1">
        <v>0</v>
      </c>
      <c r="I58" s="1">
        <v>0</v>
      </c>
      <c r="J58" s="1">
        <f t="shared" si="1"/>
        <v>1052</v>
      </c>
      <c r="K58" s="1">
        <v>1104</v>
      </c>
      <c r="L58" s="1">
        <v>0</v>
      </c>
      <c r="M58" s="1">
        <v>0</v>
      </c>
      <c r="N58" s="1">
        <f t="shared" si="3"/>
        <v>1104</v>
      </c>
      <c r="O58" s="9">
        <v>754</v>
      </c>
      <c r="P58" s="1">
        <v>0</v>
      </c>
      <c r="Q58" s="1">
        <v>0</v>
      </c>
      <c r="R58" s="12">
        <v>38777</v>
      </c>
      <c r="S58" s="1">
        <v>2910</v>
      </c>
      <c r="T58" s="9" t="s">
        <v>21</v>
      </c>
    </row>
    <row r="59" spans="1:20" x14ac:dyDescent="0.25">
      <c r="A59" s="10" t="s">
        <v>0</v>
      </c>
      <c r="B59" t="b">
        <v>0</v>
      </c>
      <c r="C59" t="b">
        <v>0</v>
      </c>
      <c r="D59" s="1">
        <v>1020</v>
      </c>
      <c r="E59" s="1">
        <v>0</v>
      </c>
      <c r="F59" s="1">
        <v>0</v>
      </c>
      <c r="G59" s="1">
        <v>32</v>
      </c>
      <c r="H59" s="1">
        <v>0</v>
      </c>
      <c r="I59" s="1">
        <v>0</v>
      </c>
      <c r="J59" s="1">
        <f t="shared" si="1"/>
        <v>1052</v>
      </c>
      <c r="K59" s="1">
        <v>1104</v>
      </c>
      <c r="L59" s="1">
        <v>0</v>
      </c>
      <c r="M59" s="1">
        <v>0</v>
      </c>
      <c r="N59" s="1">
        <f t="shared" si="3"/>
        <v>1104</v>
      </c>
      <c r="O59" s="9">
        <v>754</v>
      </c>
      <c r="P59" s="1">
        <v>0</v>
      </c>
      <c r="Q59" s="1">
        <v>0</v>
      </c>
      <c r="R59" s="12">
        <v>38808</v>
      </c>
      <c r="S59" s="1">
        <v>2910</v>
      </c>
      <c r="T59" s="9" t="s">
        <v>21</v>
      </c>
    </row>
    <row r="60" spans="1:20" x14ac:dyDescent="0.25">
      <c r="A60" s="10" t="s">
        <v>0</v>
      </c>
      <c r="B60" t="b">
        <v>0</v>
      </c>
      <c r="C60" t="b">
        <v>0</v>
      </c>
      <c r="D60" s="1">
        <v>5560</v>
      </c>
      <c r="E60" s="1">
        <v>0</v>
      </c>
      <c r="F60" s="1">
        <v>120</v>
      </c>
      <c r="G60" s="1">
        <v>1350</v>
      </c>
      <c r="H60" s="1">
        <v>0</v>
      </c>
      <c r="I60" s="1">
        <v>60</v>
      </c>
      <c r="J60" s="1">
        <f t="shared" si="1"/>
        <v>7090</v>
      </c>
      <c r="K60" s="1">
        <v>3063</v>
      </c>
      <c r="L60" s="1">
        <v>0</v>
      </c>
      <c r="M60" s="1">
        <v>1565</v>
      </c>
      <c r="N60" s="1">
        <f t="shared" si="3"/>
        <v>4628</v>
      </c>
      <c r="O60" s="9">
        <v>963</v>
      </c>
      <c r="P60" s="1">
        <v>0</v>
      </c>
      <c r="Q60" s="1">
        <v>0</v>
      </c>
      <c r="R60" s="12">
        <v>38838</v>
      </c>
      <c r="S60" s="1">
        <v>12681</v>
      </c>
      <c r="T60" s="9" t="s">
        <v>21</v>
      </c>
    </row>
    <row r="61" spans="1:20" x14ac:dyDescent="0.25">
      <c r="A61" s="10" t="s">
        <v>0</v>
      </c>
      <c r="B61" t="b">
        <v>0</v>
      </c>
      <c r="C61" t="b">
        <v>0</v>
      </c>
      <c r="D61" s="1">
        <v>5355</v>
      </c>
      <c r="E61" s="1">
        <v>0</v>
      </c>
      <c r="F61" s="1">
        <v>252</v>
      </c>
      <c r="G61" s="1">
        <v>1338</v>
      </c>
      <c r="H61" s="1">
        <v>0</v>
      </c>
      <c r="I61" s="1">
        <v>77</v>
      </c>
      <c r="J61" s="1">
        <f t="shared" si="1"/>
        <v>7022</v>
      </c>
      <c r="K61" s="1">
        <v>4091</v>
      </c>
      <c r="L61" s="1">
        <v>0</v>
      </c>
      <c r="M61" s="1">
        <v>1343</v>
      </c>
      <c r="N61" s="1">
        <f t="shared" si="3"/>
        <v>5434</v>
      </c>
      <c r="O61" s="9">
        <v>839</v>
      </c>
      <c r="P61" s="1">
        <v>0</v>
      </c>
      <c r="Q61" s="1">
        <v>0</v>
      </c>
      <c r="R61" s="12">
        <v>38869</v>
      </c>
      <c r="S61" s="1">
        <v>13295</v>
      </c>
      <c r="T61" s="9" t="s">
        <v>21</v>
      </c>
    </row>
    <row r="62" spans="1:20" x14ac:dyDescent="0.25">
      <c r="A62" s="10" t="s">
        <v>0</v>
      </c>
      <c r="B62" t="b">
        <v>0</v>
      </c>
      <c r="C62" t="b">
        <v>0</v>
      </c>
      <c r="D62" s="1">
        <v>10684</v>
      </c>
      <c r="E62" s="1">
        <v>0</v>
      </c>
      <c r="F62" s="1">
        <v>380</v>
      </c>
      <c r="G62" s="1">
        <v>1453</v>
      </c>
      <c r="H62" s="1">
        <v>0</v>
      </c>
      <c r="I62" s="1">
        <v>0</v>
      </c>
      <c r="J62" s="1">
        <f t="shared" si="1"/>
        <v>12517</v>
      </c>
      <c r="K62" s="1">
        <v>5404</v>
      </c>
      <c r="L62" s="1">
        <v>0</v>
      </c>
      <c r="M62" s="1">
        <v>1989</v>
      </c>
      <c r="N62" s="1">
        <f t="shared" si="3"/>
        <v>7393</v>
      </c>
      <c r="O62" s="9">
        <v>1005</v>
      </c>
      <c r="P62" s="1">
        <v>0</v>
      </c>
      <c r="Q62" s="1">
        <v>0</v>
      </c>
      <c r="R62" s="12">
        <v>38899</v>
      </c>
      <c r="S62" s="1">
        <v>20915</v>
      </c>
      <c r="T62" s="9" t="s">
        <v>21</v>
      </c>
    </row>
    <row r="63" spans="1:20" x14ac:dyDescent="0.25">
      <c r="A63" s="10" t="s">
        <v>0</v>
      </c>
      <c r="B63" t="b">
        <v>0</v>
      </c>
      <c r="C63" t="b">
        <v>0</v>
      </c>
      <c r="D63" s="1">
        <v>5631</v>
      </c>
      <c r="E63" s="1">
        <v>0</v>
      </c>
      <c r="F63" s="1">
        <v>91</v>
      </c>
      <c r="G63" s="1">
        <v>1150</v>
      </c>
      <c r="H63" s="1">
        <v>0</v>
      </c>
      <c r="I63" s="1">
        <v>43</v>
      </c>
      <c r="J63" s="1">
        <f t="shared" si="1"/>
        <v>6915</v>
      </c>
      <c r="K63" s="1">
        <v>4393</v>
      </c>
      <c r="L63" s="1">
        <v>0</v>
      </c>
      <c r="M63" s="1">
        <v>2270</v>
      </c>
      <c r="N63" s="1">
        <f t="shared" si="3"/>
        <v>6663</v>
      </c>
      <c r="O63" s="9">
        <v>951</v>
      </c>
      <c r="P63" s="1">
        <v>0</v>
      </c>
      <c r="Q63" s="1">
        <v>0</v>
      </c>
      <c r="R63" s="12">
        <v>38930</v>
      </c>
      <c r="S63" s="1">
        <v>14529</v>
      </c>
      <c r="T63" s="9" t="s">
        <v>21</v>
      </c>
    </row>
    <row r="64" spans="1:20" x14ac:dyDescent="0.25">
      <c r="A64" s="10" t="s">
        <v>0</v>
      </c>
      <c r="B64" t="b">
        <v>0</v>
      </c>
      <c r="C64" t="b">
        <v>0</v>
      </c>
      <c r="D64" s="1">
        <v>7618</v>
      </c>
      <c r="E64" s="1">
        <v>0</v>
      </c>
      <c r="F64" s="1">
        <v>392</v>
      </c>
      <c r="G64" s="1">
        <v>1031</v>
      </c>
      <c r="H64" s="1">
        <v>0</v>
      </c>
      <c r="I64" s="1">
        <v>25</v>
      </c>
      <c r="J64" s="1">
        <f t="shared" si="1"/>
        <v>9066</v>
      </c>
      <c r="K64" s="1">
        <v>3665</v>
      </c>
      <c r="L64" s="1">
        <v>0</v>
      </c>
      <c r="M64" s="1">
        <v>1604</v>
      </c>
      <c r="N64" s="1">
        <f t="shared" si="3"/>
        <v>5269</v>
      </c>
      <c r="O64" s="9">
        <v>1154</v>
      </c>
      <c r="P64" s="1">
        <v>0</v>
      </c>
      <c r="Q64" s="1">
        <v>0</v>
      </c>
      <c r="R64" s="12">
        <v>38961</v>
      </c>
      <c r="S64" s="1">
        <v>15489</v>
      </c>
      <c r="T64" s="9" t="s">
        <v>21</v>
      </c>
    </row>
    <row r="65" spans="1:20" x14ac:dyDescent="0.25">
      <c r="A65" s="10" t="s">
        <v>0</v>
      </c>
      <c r="B65" t="b">
        <v>0</v>
      </c>
      <c r="C65" t="b">
        <v>0</v>
      </c>
      <c r="D65" s="1">
        <v>4019</v>
      </c>
      <c r="E65" s="1">
        <v>0</v>
      </c>
      <c r="F65" s="1">
        <v>60</v>
      </c>
      <c r="G65" s="1">
        <v>560</v>
      </c>
      <c r="H65" s="1">
        <v>0</v>
      </c>
      <c r="I65" s="1">
        <v>0</v>
      </c>
      <c r="J65" s="1">
        <f t="shared" si="1"/>
        <v>4639</v>
      </c>
      <c r="K65" s="1">
        <v>2412</v>
      </c>
      <c r="L65" s="1">
        <v>0</v>
      </c>
      <c r="M65" s="1">
        <v>772</v>
      </c>
      <c r="N65" s="1">
        <f t="shared" si="3"/>
        <v>3184</v>
      </c>
      <c r="O65" s="9">
        <v>1047</v>
      </c>
      <c r="P65" s="1">
        <v>0</v>
      </c>
      <c r="Q65" s="1">
        <v>0</v>
      </c>
      <c r="R65" s="12">
        <v>38991</v>
      </c>
      <c r="S65" s="1">
        <v>8870</v>
      </c>
      <c r="T65" s="9" t="s">
        <v>21</v>
      </c>
    </row>
    <row r="66" spans="1:20" x14ac:dyDescent="0.25">
      <c r="A66" s="10" t="s">
        <v>0</v>
      </c>
      <c r="B66" t="b">
        <v>0</v>
      </c>
      <c r="C66" t="b">
        <v>0</v>
      </c>
      <c r="D66" s="1">
        <v>1020</v>
      </c>
      <c r="E66" s="1">
        <v>0</v>
      </c>
      <c r="F66" s="1">
        <v>0</v>
      </c>
      <c r="G66" s="1">
        <v>32</v>
      </c>
      <c r="H66" s="1">
        <v>0</v>
      </c>
      <c r="I66" s="1">
        <v>0</v>
      </c>
      <c r="J66" s="1">
        <f t="shared" si="1"/>
        <v>1052</v>
      </c>
      <c r="K66" s="1">
        <v>1104</v>
      </c>
      <c r="L66" s="1">
        <v>0</v>
      </c>
      <c r="M66" s="1">
        <v>0</v>
      </c>
      <c r="N66" s="1">
        <f t="shared" si="3"/>
        <v>1104</v>
      </c>
      <c r="O66" s="9">
        <v>754</v>
      </c>
      <c r="P66" s="1">
        <v>0</v>
      </c>
      <c r="Q66" s="1">
        <v>0</v>
      </c>
      <c r="R66" s="12">
        <v>39022</v>
      </c>
      <c r="S66" s="1">
        <v>2910</v>
      </c>
      <c r="T66" s="9" t="s">
        <v>21</v>
      </c>
    </row>
    <row r="67" spans="1:20" x14ac:dyDescent="0.25">
      <c r="A67" s="10" t="s">
        <v>0</v>
      </c>
      <c r="B67" t="b">
        <v>0</v>
      </c>
      <c r="C67" t="b">
        <v>0</v>
      </c>
      <c r="D67" s="1">
        <v>1020</v>
      </c>
      <c r="E67" s="1">
        <v>0</v>
      </c>
      <c r="F67" s="1">
        <v>0</v>
      </c>
      <c r="G67" s="1">
        <v>32</v>
      </c>
      <c r="H67" s="1">
        <v>0</v>
      </c>
      <c r="I67" s="1">
        <v>0</v>
      </c>
      <c r="J67" s="1">
        <f t="shared" ref="J67:J130" si="4">D67+E67+F67+G67+H67+I67</f>
        <v>1052</v>
      </c>
      <c r="K67" s="1">
        <v>1104</v>
      </c>
      <c r="L67" s="1">
        <v>0</v>
      </c>
      <c r="M67" s="1">
        <v>0</v>
      </c>
      <c r="N67" s="1">
        <f t="shared" si="3"/>
        <v>1104</v>
      </c>
      <c r="O67" s="9">
        <v>754</v>
      </c>
      <c r="P67" s="1">
        <v>0</v>
      </c>
      <c r="Q67" s="1">
        <v>0</v>
      </c>
      <c r="R67" s="12">
        <v>39052</v>
      </c>
      <c r="S67" s="1">
        <v>2910</v>
      </c>
      <c r="T67" s="9" t="s">
        <v>21</v>
      </c>
    </row>
    <row r="68" spans="1:20" x14ac:dyDescent="0.25">
      <c r="A68" s="10" t="s">
        <v>0</v>
      </c>
      <c r="B68" t="b">
        <v>0</v>
      </c>
      <c r="C68" t="b">
        <v>0</v>
      </c>
      <c r="D68" s="1">
        <v>1020</v>
      </c>
      <c r="E68" s="1">
        <v>0</v>
      </c>
      <c r="F68" s="1">
        <v>0</v>
      </c>
      <c r="G68" s="1">
        <v>32</v>
      </c>
      <c r="H68" s="1">
        <v>0</v>
      </c>
      <c r="I68" s="1">
        <v>0</v>
      </c>
      <c r="J68" s="1">
        <f t="shared" si="4"/>
        <v>1052</v>
      </c>
      <c r="K68" s="1">
        <v>1104</v>
      </c>
      <c r="L68" s="1">
        <v>0</v>
      </c>
      <c r="M68" s="1">
        <v>0</v>
      </c>
      <c r="N68" s="1">
        <f t="shared" si="3"/>
        <v>1104</v>
      </c>
      <c r="O68" s="9">
        <v>754</v>
      </c>
      <c r="P68" s="1">
        <v>0</v>
      </c>
      <c r="Q68" s="1">
        <v>0</v>
      </c>
      <c r="R68" s="12">
        <v>39083</v>
      </c>
      <c r="S68" s="1">
        <v>2910</v>
      </c>
      <c r="T68" s="9" t="s">
        <v>41</v>
      </c>
    </row>
    <row r="69" spans="1:20" x14ac:dyDescent="0.25">
      <c r="A69" s="10" t="s">
        <v>0</v>
      </c>
      <c r="B69" t="b">
        <v>0</v>
      </c>
      <c r="C69" t="b">
        <v>0</v>
      </c>
      <c r="D69" s="1">
        <v>1020</v>
      </c>
      <c r="E69" s="1">
        <v>0</v>
      </c>
      <c r="F69" s="1">
        <v>0</v>
      </c>
      <c r="G69" s="1">
        <v>32</v>
      </c>
      <c r="H69" s="1">
        <v>0</v>
      </c>
      <c r="I69" s="1">
        <v>0</v>
      </c>
      <c r="J69" s="1">
        <f t="shared" si="4"/>
        <v>1052</v>
      </c>
      <c r="K69" s="1">
        <v>1104</v>
      </c>
      <c r="L69" s="1">
        <v>0</v>
      </c>
      <c r="M69" s="1">
        <v>0</v>
      </c>
      <c r="N69" s="1">
        <f t="shared" si="3"/>
        <v>1104</v>
      </c>
      <c r="O69" s="9">
        <v>754</v>
      </c>
      <c r="P69" s="1">
        <v>0</v>
      </c>
      <c r="Q69" s="1">
        <v>0</v>
      </c>
      <c r="R69" s="12">
        <v>39114</v>
      </c>
      <c r="S69" s="1">
        <v>2910</v>
      </c>
      <c r="T69" s="9" t="s">
        <v>41</v>
      </c>
    </row>
    <row r="70" spans="1:20" x14ac:dyDescent="0.25">
      <c r="A70" s="10" t="s">
        <v>0</v>
      </c>
      <c r="B70" t="b">
        <v>0</v>
      </c>
      <c r="C70" t="b">
        <v>0</v>
      </c>
      <c r="D70" s="1">
        <v>5609</v>
      </c>
      <c r="E70" s="1">
        <v>0</v>
      </c>
      <c r="F70" s="1">
        <v>15</v>
      </c>
      <c r="G70" s="1">
        <v>1123</v>
      </c>
      <c r="H70" s="1">
        <v>0</v>
      </c>
      <c r="I70" s="1">
        <v>0</v>
      </c>
      <c r="J70" s="1">
        <f t="shared" si="4"/>
        <v>6747</v>
      </c>
      <c r="K70" s="1">
        <v>2085</v>
      </c>
      <c r="L70" s="1">
        <v>0</v>
      </c>
      <c r="M70" s="1">
        <v>382</v>
      </c>
      <c r="N70" s="1">
        <f t="shared" si="3"/>
        <v>2467</v>
      </c>
      <c r="O70" s="9">
        <v>1313</v>
      </c>
      <c r="P70" s="1">
        <v>0</v>
      </c>
      <c r="Q70" s="1">
        <v>0</v>
      </c>
      <c r="R70" s="12">
        <v>39142</v>
      </c>
      <c r="S70" s="1">
        <v>10527</v>
      </c>
      <c r="T70" s="9" t="s">
        <v>41</v>
      </c>
    </row>
    <row r="71" spans="1:20" x14ac:dyDescent="0.25">
      <c r="A71" s="10" t="s">
        <v>0</v>
      </c>
      <c r="B71" t="b">
        <v>0</v>
      </c>
      <c r="C71" t="b">
        <v>0</v>
      </c>
      <c r="D71" s="1">
        <v>4032</v>
      </c>
      <c r="E71" s="1">
        <v>0</v>
      </c>
      <c r="F71" s="1">
        <v>182</v>
      </c>
      <c r="G71" s="1">
        <v>1463</v>
      </c>
      <c r="H71" s="1">
        <v>0</v>
      </c>
      <c r="I71" s="1">
        <v>0</v>
      </c>
      <c r="J71" s="1">
        <f t="shared" si="4"/>
        <v>5677</v>
      </c>
      <c r="K71" s="1">
        <v>2012</v>
      </c>
      <c r="L71" s="1">
        <v>0</v>
      </c>
      <c r="M71" s="1">
        <v>983</v>
      </c>
      <c r="N71" s="1">
        <f t="shared" si="3"/>
        <v>2995</v>
      </c>
      <c r="O71" s="9">
        <v>872</v>
      </c>
      <c r="P71" s="1">
        <v>0</v>
      </c>
      <c r="Q71" s="1">
        <v>0</v>
      </c>
      <c r="R71" s="12">
        <v>39173</v>
      </c>
      <c r="S71" s="1">
        <v>9544</v>
      </c>
      <c r="T71" s="9" t="s">
        <v>41</v>
      </c>
    </row>
    <row r="72" spans="1:20" x14ac:dyDescent="0.25">
      <c r="A72" s="10" t="s">
        <v>0</v>
      </c>
      <c r="B72" t="b">
        <v>0</v>
      </c>
      <c r="C72" t="b">
        <v>0</v>
      </c>
      <c r="D72" s="1">
        <v>4651</v>
      </c>
      <c r="E72" s="1">
        <v>0</v>
      </c>
      <c r="F72" s="1">
        <v>111</v>
      </c>
      <c r="G72" s="1">
        <v>1215</v>
      </c>
      <c r="H72" s="1">
        <v>0</v>
      </c>
      <c r="I72" s="1">
        <v>53</v>
      </c>
      <c r="J72" s="1">
        <f t="shared" si="4"/>
        <v>6030</v>
      </c>
      <c r="K72" s="1">
        <v>2632</v>
      </c>
      <c r="L72" s="1">
        <v>0</v>
      </c>
      <c r="M72" s="1">
        <v>1500</v>
      </c>
      <c r="N72" s="1">
        <f t="shared" si="3"/>
        <v>4132</v>
      </c>
      <c r="O72" s="9">
        <v>909</v>
      </c>
      <c r="P72" s="1">
        <v>0</v>
      </c>
      <c r="Q72" s="1">
        <v>0</v>
      </c>
      <c r="R72" s="12">
        <v>39203</v>
      </c>
      <c r="S72" s="1">
        <v>11071</v>
      </c>
      <c r="T72" s="9" t="s">
        <v>41</v>
      </c>
    </row>
    <row r="73" spans="1:20" x14ac:dyDescent="0.25">
      <c r="A73" s="10" t="s">
        <v>0</v>
      </c>
      <c r="B73" t="b">
        <v>0</v>
      </c>
      <c r="C73" t="b">
        <v>0</v>
      </c>
      <c r="D73" s="1">
        <v>6461</v>
      </c>
      <c r="E73" s="1">
        <v>0</v>
      </c>
      <c r="F73" s="1">
        <v>325</v>
      </c>
      <c r="G73" s="1">
        <v>1087</v>
      </c>
      <c r="H73" s="1">
        <v>0</v>
      </c>
      <c r="I73" s="1">
        <v>0</v>
      </c>
      <c r="J73" s="1">
        <f t="shared" si="4"/>
        <v>7873</v>
      </c>
      <c r="K73" s="1">
        <v>3945</v>
      </c>
      <c r="L73" s="1">
        <v>0</v>
      </c>
      <c r="M73" s="1">
        <v>1713</v>
      </c>
      <c r="N73" s="1">
        <f t="shared" si="3"/>
        <v>5658</v>
      </c>
      <c r="O73" s="9">
        <v>976</v>
      </c>
      <c r="P73" s="1">
        <v>0</v>
      </c>
      <c r="Q73" s="1">
        <v>0</v>
      </c>
      <c r="R73" s="12">
        <v>39234</v>
      </c>
      <c r="S73" s="1">
        <v>14507</v>
      </c>
      <c r="T73" s="9" t="s">
        <v>41</v>
      </c>
    </row>
    <row r="74" spans="1:20" x14ac:dyDescent="0.25">
      <c r="A74" s="10" t="s">
        <v>0</v>
      </c>
      <c r="B74" t="b">
        <v>0</v>
      </c>
      <c r="C74" t="b">
        <v>0</v>
      </c>
      <c r="D74" s="1">
        <v>8191</v>
      </c>
      <c r="E74" s="1">
        <v>0</v>
      </c>
      <c r="F74" s="1">
        <v>290</v>
      </c>
      <c r="G74" s="1">
        <v>1410</v>
      </c>
      <c r="H74" s="1">
        <v>0</v>
      </c>
      <c r="I74" s="1">
        <v>0</v>
      </c>
      <c r="J74" s="1">
        <f t="shared" si="4"/>
        <v>9891</v>
      </c>
      <c r="K74" s="1">
        <v>5379</v>
      </c>
      <c r="L74" s="1">
        <v>0</v>
      </c>
      <c r="M74" s="1">
        <v>3008</v>
      </c>
      <c r="N74" s="1">
        <f t="shared" si="3"/>
        <v>8387</v>
      </c>
      <c r="O74" s="9">
        <v>1040</v>
      </c>
      <c r="P74" s="1">
        <v>0</v>
      </c>
      <c r="Q74" s="1">
        <v>0</v>
      </c>
      <c r="R74" s="12">
        <v>39264</v>
      </c>
      <c r="S74" s="1">
        <v>19318</v>
      </c>
      <c r="T74" s="9" t="s">
        <v>41</v>
      </c>
    </row>
    <row r="75" spans="1:20" x14ac:dyDescent="0.25">
      <c r="A75" s="10" t="s">
        <v>0</v>
      </c>
      <c r="B75" t="b">
        <v>0</v>
      </c>
      <c r="C75" t="b">
        <v>0</v>
      </c>
      <c r="D75" s="1">
        <v>6512</v>
      </c>
      <c r="E75" s="1">
        <v>0</v>
      </c>
      <c r="F75" s="1">
        <v>170</v>
      </c>
      <c r="G75" s="1">
        <v>1369</v>
      </c>
      <c r="H75" s="1">
        <v>0</v>
      </c>
      <c r="I75" s="1">
        <v>0</v>
      </c>
      <c r="J75" s="1">
        <f t="shared" si="4"/>
        <v>8051</v>
      </c>
      <c r="K75" s="1">
        <v>4794</v>
      </c>
      <c r="L75" s="1">
        <v>0</v>
      </c>
      <c r="M75" s="1">
        <v>2320</v>
      </c>
      <c r="N75" s="1">
        <f t="shared" si="3"/>
        <v>7114</v>
      </c>
      <c r="O75" s="9">
        <v>1213</v>
      </c>
      <c r="P75" s="1">
        <v>0</v>
      </c>
      <c r="Q75" s="1">
        <v>0</v>
      </c>
      <c r="R75" s="12">
        <v>39295</v>
      </c>
      <c r="S75" s="1">
        <v>16378</v>
      </c>
      <c r="T75" s="9" t="s">
        <v>41</v>
      </c>
    </row>
    <row r="76" spans="1:20" x14ac:dyDescent="0.25">
      <c r="A76" s="10" t="s">
        <v>0</v>
      </c>
      <c r="B76" t="b">
        <v>0</v>
      </c>
      <c r="C76" t="b">
        <v>0</v>
      </c>
      <c r="D76" s="1">
        <v>7764</v>
      </c>
      <c r="E76" s="1">
        <v>0</v>
      </c>
      <c r="F76" s="1">
        <v>275</v>
      </c>
      <c r="G76" s="1">
        <v>1168</v>
      </c>
      <c r="H76" s="1">
        <v>0</v>
      </c>
      <c r="I76" s="1">
        <v>0</v>
      </c>
      <c r="J76" s="1">
        <f t="shared" si="4"/>
        <v>9207</v>
      </c>
      <c r="K76" s="1">
        <v>3300</v>
      </c>
      <c r="L76" s="1">
        <v>0</v>
      </c>
      <c r="M76" s="1">
        <v>1269</v>
      </c>
      <c r="N76" s="1">
        <f t="shared" si="3"/>
        <v>4569</v>
      </c>
      <c r="O76" s="9">
        <v>1200</v>
      </c>
      <c r="P76" s="1">
        <v>0</v>
      </c>
      <c r="Q76" s="1">
        <v>0</v>
      </c>
      <c r="R76" s="12">
        <v>39326</v>
      </c>
      <c r="S76" s="1">
        <v>14976</v>
      </c>
      <c r="T76" s="9" t="s">
        <v>41</v>
      </c>
    </row>
    <row r="77" spans="1:20" x14ac:dyDescent="0.25">
      <c r="A77" s="10" t="s">
        <v>0</v>
      </c>
      <c r="B77" t="b">
        <v>0</v>
      </c>
      <c r="C77" t="b">
        <v>0</v>
      </c>
      <c r="D77" s="1">
        <v>5564</v>
      </c>
      <c r="E77" s="1">
        <v>0</v>
      </c>
      <c r="F77" s="1">
        <v>255</v>
      </c>
      <c r="G77" s="1">
        <v>982</v>
      </c>
      <c r="H77" s="1">
        <v>0</v>
      </c>
      <c r="I77" s="1">
        <v>107</v>
      </c>
      <c r="J77" s="1">
        <f t="shared" si="4"/>
        <v>6908</v>
      </c>
      <c r="K77" s="1">
        <v>2700</v>
      </c>
      <c r="L77" s="1">
        <v>0</v>
      </c>
      <c r="M77" s="1">
        <v>875</v>
      </c>
      <c r="N77" s="1">
        <f t="shared" si="3"/>
        <v>3575</v>
      </c>
      <c r="O77" s="9">
        <v>2021</v>
      </c>
      <c r="P77" s="1">
        <v>0</v>
      </c>
      <c r="Q77" s="1">
        <v>0</v>
      </c>
      <c r="R77" s="12">
        <v>39356</v>
      </c>
      <c r="S77" s="1">
        <v>12504</v>
      </c>
      <c r="T77" s="9" t="s">
        <v>41</v>
      </c>
    </row>
    <row r="78" spans="1:20" x14ac:dyDescent="0.25">
      <c r="A78" s="10" t="s">
        <v>0</v>
      </c>
      <c r="B78" t="b">
        <v>0</v>
      </c>
      <c r="C78" t="b">
        <v>0</v>
      </c>
      <c r="D78" s="1">
        <v>5751</v>
      </c>
      <c r="E78" s="1">
        <v>0</v>
      </c>
      <c r="F78" s="1">
        <v>0</v>
      </c>
      <c r="G78" s="1">
        <v>774</v>
      </c>
      <c r="H78" s="1">
        <v>0</v>
      </c>
      <c r="I78" s="1">
        <v>0</v>
      </c>
      <c r="J78" s="1">
        <f t="shared" si="4"/>
        <v>6525</v>
      </c>
      <c r="K78" s="1">
        <v>1435</v>
      </c>
      <c r="L78" s="1">
        <v>0</v>
      </c>
      <c r="M78" s="1">
        <v>0</v>
      </c>
      <c r="N78" s="1">
        <f t="shared" si="3"/>
        <v>1435</v>
      </c>
      <c r="O78" s="9">
        <v>2301</v>
      </c>
      <c r="P78" s="1">
        <v>0</v>
      </c>
      <c r="Q78" s="1">
        <v>0</v>
      </c>
      <c r="R78" s="12">
        <v>39387</v>
      </c>
      <c r="S78" s="1">
        <v>10261</v>
      </c>
      <c r="T78" s="9" t="s">
        <v>41</v>
      </c>
    </row>
    <row r="79" spans="1:20" x14ac:dyDescent="0.25">
      <c r="A79" s="10" t="s">
        <v>0</v>
      </c>
      <c r="B79" t="b">
        <v>0</v>
      </c>
      <c r="C79" t="b">
        <v>0</v>
      </c>
      <c r="D79" s="1">
        <v>2187</v>
      </c>
      <c r="E79" s="1">
        <v>0</v>
      </c>
      <c r="F79" s="1">
        <v>0</v>
      </c>
      <c r="G79" s="1">
        <v>230</v>
      </c>
      <c r="H79" s="1">
        <v>0</v>
      </c>
      <c r="I79" s="1">
        <v>0</v>
      </c>
      <c r="J79" s="1">
        <f t="shared" si="4"/>
        <v>2417</v>
      </c>
      <c r="K79" s="1">
        <v>401</v>
      </c>
      <c r="L79" s="1">
        <v>0</v>
      </c>
      <c r="M79" s="1">
        <v>0</v>
      </c>
      <c r="N79" s="1">
        <f t="shared" si="3"/>
        <v>401</v>
      </c>
      <c r="O79" s="9">
        <v>748</v>
      </c>
      <c r="P79" s="1">
        <v>0</v>
      </c>
      <c r="Q79" s="1">
        <v>0</v>
      </c>
      <c r="R79" s="12">
        <v>39417</v>
      </c>
      <c r="S79" s="1">
        <v>3566</v>
      </c>
      <c r="T79" s="9" t="s">
        <v>41</v>
      </c>
    </row>
    <row r="80" spans="1:20" x14ac:dyDescent="0.25">
      <c r="A80" s="10" t="s">
        <v>0</v>
      </c>
      <c r="B80" t="b">
        <v>0</v>
      </c>
      <c r="C80" t="b">
        <v>0</v>
      </c>
      <c r="D80" s="1">
        <v>794</v>
      </c>
      <c r="E80" s="1">
        <v>0</v>
      </c>
      <c r="F80" s="1">
        <v>0</v>
      </c>
      <c r="G80" s="1">
        <v>212</v>
      </c>
      <c r="H80" s="1">
        <v>0</v>
      </c>
      <c r="I80" s="1">
        <v>0</v>
      </c>
      <c r="J80" s="1">
        <f t="shared" si="4"/>
        <v>1006</v>
      </c>
      <c r="K80" s="1">
        <v>312</v>
      </c>
      <c r="L80" s="1">
        <v>0</v>
      </c>
      <c r="M80" s="1">
        <v>0</v>
      </c>
      <c r="N80" s="1">
        <f t="shared" si="3"/>
        <v>312</v>
      </c>
      <c r="O80" s="9">
        <v>353</v>
      </c>
      <c r="P80" s="1">
        <v>0</v>
      </c>
      <c r="Q80" s="1">
        <v>0</v>
      </c>
      <c r="R80" s="12">
        <v>39448</v>
      </c>
      <c r="S80" s="1">
        <v>1671</v>
      </c>
      <c r="T80" s="9" t="s">
        <v>46</v>
      </c>
    </row>
    <row r="81" spans="1:20" x14ac:dyDescent="0.25">
      <c r="A81" s="10" t="s">
        <v>0</v>
      </c>
      <c r="B81" t="b">
        <v>0</v>
      </c>
      <c r="C81" t="b">
        <v>0</v>
      </c>
      <c r="D81" s="1">
        <v>1526</v>
      </c>
      <c r="E81" s="1">
        <v>0</v>
      </c>
      <c r="F81" s="1">
        <v>0</v>
      </c>
      <c r="G81" s="1">
        <v>370</v>
      </c>
      <c r="H81" s="1">
        <v>0</v>
      </c>
      <c r="I81" s="1">
        <v>0</v>
      </c>
      <c r="J81" s="1">
        <f t="shared" si="4"/>
        <v>1896</v>
      </c>
      <c r="K81" s="1">
        <v>531</v>
      </c>
      <c r="L81" s="1">
        <v>0</v>
      </c>
      <c r="M81" s="1">
        <v>0</v>
      </c>
      <c r="N81" s="1">
        <f t="shared" si="3"/>
        <v>531</v>
      </c>
      <c r="O81" s="9">
        <v>463</v>
      </c>
      <c r="P81" s="1">
        <v>0</v>
      </c>
      <c r="Q81" s="1">
        <v>0</v>
      </c>
      <c r="R81" s="12">
        <v>39479</v>
      </c>
      <c r="S81" s="1">
        <v>2890</v>
      </c>
      <c r="T81" s="9" t="s">
        <v>46</v>
      </c>
    </row>
    <row r="82" spans="1:20" x14ac:dyDescent="0.25">
      <c r="A82" s="10" t="s">
        <v>0</v>
      </c>
      <c r="B82" t="b">
        <v>0</v>
      </c>
      <c r="C82" t="b">
        <v>0</v>
      </c>
      <c r="D82" s="1">
        <v>4664</v>
      </c>
      <c r="E82" s="1">
        <v>0</v>
      </c>
      <c r="F82" s="1">
        <v>60</v>
      </c>
      <c r="G82" s="1">
        <v>1066</v>
      </c>
      <c r="H82" s="1">
        <v>2</v>
      </c>
      <c r="I82" s="1">
        <v>80</v>
      </c>
      <c r="J82" s="1">
        <f t="shared" si="4"/>
        <v>5872</v>
      </c>
      <c r="K82" s="1">
        <v>1895</v>
      </c>
      <c r="L82" s="1">
        <v>0</v>
      </c>
      <c r="M82" s="1">
        <v>544</v>
      </c>
      <c r="N82" s="1">
        <f t="shared" si="3"/>
        <v>2439</v>
      </c>
      <c r="O82" s="9">
        <v>976</v>
      </c>
      <c r="P82" s="1">
        <v>0</v>
      </c>
      <c r="Q82" s="1">
        <v>0</v>
      </c>
      <c r="R82" s="12">
        <v>39508</v>
      </c>
      <c r="S82" s="1">
        <v>9287</v>
      </c>
      <c r="T82" s="9" t="s">
        <v>46</v>
      </c>
    </row>
    <row r="83" spans="1:20" x14ac:dyDescent="0.25">
      <c r="A83" s="10" t="s">
        <v>0</v>
      </c>
      <c r="B83" t="b">
        <v>0</v>
      </c>
      <c r="C83" t="b">
        <v>0</v>
      </c>
      <c r="D83" s="1">
        <v>5922</v>
      </c>
      <c r="E83" s="1">
        <v>0</v>
      </c>
      <c r="F83" s="1">
        <v>0</v>
      </c>
      <c r="G83" s="1">
        <v>1428</v>
      </c>
      <c r="H83" s="1">
        <v>0</v>
      </c>
      <c r="I83" s="1">
        <v>28</v>
      </c>
      <c r="J83" s="1">
        <f t="shared" si="4"/>
        <v>7378</v>
      </c>
      <c r="K83" s="1">
        <v>1984</v>
      </c>
      <c r="L83" s="1">
        <v>0</v>
      </c>
      <c r="M83" s="1">
        <v>758</v>
      </c>
      <c r="N83" s="1">
        <f t="shared" si="3"/>
        <v>2742</v>
      </c>
      <c r="O83" s="9">
        <v>1214</v>
      </c>
      <c r="P83" s="1">
        <v>0</v>
      </c>
      <c r="Q83" s="1">
        <v>0</v>
      </c>
      <c r="R83" s="12">
        <v>39539</v>
      </c>
      <c r="S83" s="1">
        <v>11334</v>
      </c>
      <c r="T83" s="9" t="s">
        <v>46</v>
      </c>
    </row>
    <row r="84" spans="1:20" x14ac:dyDescent="0.25">
      <c r="A84" s="10" t="s">
        <v>0</v>
      </c>
      <c r="B84" t="b">
        <v>0</v>
      </c>
      <c r="C84" t="b">
        <v>0</v>
      </c>
      <c r="D84" s="1">
        <v>8548</v>
      </c>
      <c r="E84" s="1">
        <v>0</v>
      </c>
      <c r="F84" s="1">
        <v>175</v>
      </c>
      <c r="G84" s="1">
        <v>1452</v>
      </c>
      <c r="H84" s="1">
        <v>0</v>
      </c>
      <c r="I84" s="1">
        <v>0</v>
      </c>
      <c r="J84" s="1">
        <f t="shared" si="4"/>
        <v>10175</v>
      </c>
      <c r="K84" s="1">
        <v>3635</v>
      </c>
      <c r="L84" s="1">
        <v>0</v>
      </c>
      <c r="M84" s="1">
        <v>1588</v>
      </c>
      <c r="N84" s="1">
        <f t="shared" si="3"/>
        <v>5223</v>
      </c>
      <c r="O84" s="9">
        <v>1193</v>
      </c>
      <c r="P84" s="1">
        <v>0</v>
      </c>
      <c r="Q84" s="1">
        <v>0</v>
      </c>
      <c r="R84" s="12">
        <v>39569</v>
      </c>
      <c r="S84" s="1">
        <v>16591</v>
      </c>
      <c r="T84" s="9" t="s">
        <v>46</v>
      </c>
    </row>
    <row r="85" spans="1:20" x14ac:dyDescent="0.25">
      <c r="A85" s="10" t="s">
        <v>0</v>
      </c>
      <c r="B85" t="b">
        <v>0</v>
      </c>
      <c r="C85" t="b">
        <v>0</v>
      </c>
      <c r="D85" s="1">
        <v>8129</v>
      </c>
      <c r="E85" s="1">
        <v>0</v>
      </c>
      <c r="F85" s="1">
        <v>240</v>
      </c>
      <c r="G85" s="1">
        <v>1147</v>
      </c>
      <c r="H85" s="1">
        <v>0</v>
      </c>
      <c r="I85" s="1">
        <v>0</v>
      </c>
      <c r="J85" s="1">
        <f t="shared" si="4"/>
        <v>9516</v>
      </c>
      <c r="K85" s="1">
        <v>4202</v>
      </c>
      <c r="L85" s="1">
        <v>0</v>
      </c>
      <c r="M85" s="1">
        <v>1908</v>
      </c>
      <c r="N85" s="1">
        <f t="shared" si="3"/>
        <v>6110</v>
      </c>
      <c r="O85" s="9">
        <v>885</v>
      </c>
      <c r="P85" s="1">
        <v>0</v>
      </c>
      <c r="Q85" s="1">
        <v>0</v>
      </c>
      <c r="R85" s="12">
        <v>39600</v>
      </c>
      <c r="S85" s="1">
        <v>16511</v>
      </c>
      <c r="T85" s="9" t="s">
        <v>46</v>
      </c>
    </row>
    <row r="86" spans="1:20" x14ac:dyDescent="0.25">
      <c r="A86" s="10" t="s">
        <v>0</v>
      </c>
      <c r="B86" t="b">
        <v>0</v>
      </c>
      <c r="C86" t="b">
        <v>0</v>
      </c>
      <c r="D86" s="1">
        <v>7975</v>
      </c>
      <c r="E86" s="1">
        <v>0</v>
      </c>
      <c r="F86" s="1">
        <v>400</v>
      </c>
      <c r="G86" s="1">
        <v>1396</v>
      </c>
      <c r="H86" s="1">
        <v>0</v>
      </c>
      <c r="I86" s="1">
        <v>0</v>
      </c>
      <c r="J86" s="1">
        <f t="shared" si="4"/>
        <v>9771</v>
      </c>
      <c r="K86" s="1">
        <v>5015</v>
      </c>
      <c r="L86" s="1">
        <v>0</v>
      </c>
      <c r="M86" s="1">
        <v>1648</v>
      </c>
      <c r="N86" s="1">
        <f t="shared" si="3"/>
        <v>6663</v>
      </c>
      <c r="O86" s="9">
        <v>868</v>
      </c>
      <c r="P86" s="1">
        <v>0</v>
      </c>
      <c r="Q86" s="1">
        <v>0</v>
      </c>
      <c r="R86" s="12">
        <v>39630</v>
      </c>
      <c r="S86" s="1">
        <v>17302</v>
      </c>
      <c r="T86" s="9" t="s">
        <v>46</v>
      </c>
    </row>
    <row r="87" spans="1:20" x14ac:dyDescent="0.25">
      <c r="A87" s="10" t="s">
        <v>0</v>
      </c>
      <c r="B87" t="b">
        <v>0</v>
      </c>
      <c r="C87" t="b">
        <v>0</v>
      </c>
      <c r="D87" s="1">
        <v>7809</v>
      </c>
      <c r="E87" s="1">
        <v>0</v>
      </c>
      <c r="F87" s="1">
        <v>414</v>
      </c>
      <c r="G87" s="1">
        <v>1569</v>
      </c>
      <c r="H87" s="1">
        <v>0</v>
      </c>
      <c r="I87" s="1">
        <v>0</v>
      </c>
      <c r="J87" s="1">
        <f t="shared" si="4"/>
        <v>9792</v>
      </c>
      <c r="K87" s="1">
        <v>5205</v>
      </c>
      <c r="L87" s="1">
        <v>0</v>
      </c>
      <c r="M87" s="1">
        <v>2451</v>
      </c>
      <c r="N87" s="1">
        <f t="shared" si="3"/>
        <v>7656</v>
      </c>
      <c r="O87" s="9">
        <v>1179</v>
      </c>
      <c r="P87" s="1">
        <v>0</v>
      </c>
      <c r="Q87" s="1">
        <v>0</v>
      </c>
      <c r="R87" s="12">
        <v>39661</v>
      </c>
      <c r="S87" s="1">
        <v>18627</v>
      </c>
      <c r="T87" s="9" t="s">
        <v>46</v>
      </c>
    </row>
    <row r="88" spans="1:20" x14ac:dyDescent="0.25">
      <c r="A88" s="10" t="s">
        <v>0</v>
      </c>
      <c r="B88" t="b">
        <v>0</v>
      </c>
      <c r="C88" t="b">
        <v>0</v>
      </c>
      <c r="D88" s="1">
        <v>7327</v>
      </c>
      <c r="E88" s="1">
        <v>0</v>
      </c>
      <c r="F88" s="1">
        <v>33</v>
      </c>
      <c r="G88" s="1">
        <v>1207</v>
      </c>
      <c r="H88" s="1">
        <v>0</v>
      </c>
      <c r="I88" s="1">
        <v>128</v>
      </c>
      <c r="J88" s="1">
        <f t="shared" si="4"/>
        <v>8695</v>
      </c>
      <c r="K88" s="1">
        <v>3164</v>
      </c>
      <c r="L88" s="1">
        <v>0</v>
      </c>
      <c r="M88" s="1">
        <v>43</v>
      </c>
      <c r="N88" s="1">
        <f t="shared" si="3"/>
        <v>3207</v>
      </c>
      <c r="O88" s="9">
        <v>1501</v>
      </c>
      <c r="P88" s="1">
        <v>0</v>
      </c>
      <c r="Q88" s="1">
        <v>0</v>
      </c>
      <c r="R88" s="12">
        <v>39692</v>
      </c>
      <c r="S88" s="1">
        <v>13403</v>
      </c>
      <c r="T88" s="9" t="s">
        <v>46</v>
      </c>
    </row>
    <row r="89" spans="1:20" x14ac:dyDescent="0.25">
      <c r="A89" s="10" t="s">
        <v>0</v>
      </c>
      <c r="B89" t="b">
        <v>0</v>
      </c>
      <c r="C89" t="b">
        <v>0</v>
      </c>
      <c r="D89" s="1">
        <v>6933</v>
      </c>
      <c r="E89" s="1">
        <v>30</v>
      </c>
      <c r="F89" s="1">
        <v>90</v>
      </c>
      <c r="G89" s="1">
        <v>1164</v>
      </c>
      <c r="H89" s="1">
        <v>35</v>
      </c>
      <c r="I89" s="1">
        <v>102</v>
      </c>
      <c r="J89" s="1">
        <f t="shared" si="4"/>
        <v>8354</v>
      </c>
      <c r="K89" s="1">
        <v>3438</v>
      </c>
      <c r="L89" s="1">
        <v>0</v>
      </c>
      <c r="M89" s="1">
        <v>923</v>
      </c>
      <c r="N89" s="1">
        <f t="shared" si="3"/>
        <v>4361</v>
      </c>
      <c r="O89" s="9">
        <v>2007</v>
      </c>
      <c r="P89" s="1">
        <v>0</v>
      </c>
      <c r="Q89" s="1">
        <v>0</v>
      </c>
      <c r="R89" s="12">
        <v>39722</v>
      </c>
      <c r="S89" s="1">
        <v>14722</v>
      </c>
      <c r="T89" s="9" t="s">
        <v>46</v>
      </c>
    </row>
    <row r="90" spans="1:20" x14ac:dyDescent="0.25">
      <c r="A90" s="10" t="s">
        <v>0</v>
      </c>
      <c r="B90" t="b">
        <v>0</v>
      </c>
      <c r="C90" t="b">
        <v>0</v>
      </c>
      <c r="D90" s="1">
        <v>8321</v>
      </c>
      <c r="E90" s="1">
        <v>0</v>
      </c>
      <c r="F90" s="1">
        <v>0</v>
      </c>
      <c r="G90" s="1">
        <v>875</v>
      </c>
      <c r="H90" s="1">
        <v>0</v>
      </c>
      <c r="I90" s="1">
        <v>0</v>
      </c>
      <c r="J90" s="1">
        <f t="shared" si="4"/>
        <v>9196</v>
      </c>
      <c r="K90" s="1">
        <v>2060</v>
      </c>
      <c r="L90" s="1">
        <v>16</v>
      </c>
      <c r="M90" s="1">
        <v>493</v>
      </c>
      <c r="N90" s="1">
        <f t="shared" si="3"/>
        <v>2569</v>
      </c>
      <c r="O90" s="9">
        <v>2524</v>
      </c>
      <c r="P90" s="1">
        <v>0</v>
      </c>
      <c r="Q90" s="1">
        <v>0</v>
      </c>
      <c r="R90" s="12">
        <v>39753</v>
      </c>
      <c r="S90" s="1">
        <v>14289</v>
      </c>
      <c r="T90" s="9" t="s">
        <v>46</v>
      </c>
    </row>
    <row r="91" spans="1:20" x14ac:dyDescent="0.25">
      <c r="A91" s="10" t="s">
        <v>0</v>
      </c>
      <c r="B91" t="b">
        <v>0</v>
      </c>
      <c r="C91" t="b">
        <v>0</v>
      </c>
      <c r="D91" s="1">
        <v>3075</v>
      </c>
      <c r="E91" s="1">
        <v>0</v>
      </c>
      <c r="F91" s="1">
        <v>0</v>
      </c>
      <c r="G91" s="1">
        <v>959</v>
      </c>
      <c r="H91" s="1">
        <v>0</v>
      </c>
      <c r="I91" s="1">
        <v>0</v>
      </c>
      <c r="J91" s="1">
        <f t="shared" si="4"/>
        <v>4034</v>
      </c>
      <c r="K91" s="1">
        <v>440</v>
      </c>
      <c r="L91" s="1">
        <v>0</v>
      </c>
      <c r="M91" s="1">
        <v>5</v>
      </c>
      <c r="N91" s="1">
        <f t="shared" si="3"/>
        <v>445</v>
      </c>
      <c r="O91" s="9">
        <v>988</v>
      </c>
      <c r="P91" s="1">
        <v>0</v>
      </c>
      <c r="Q91" s="1">
        <v>0</v>
      </c>
      <c r="R91" s="12">
        <v>39783</v>
      </c>
      <c r="S91" s="1">
        <v>5467</v>
      </c>
      <c r="T91" s="9" t="s">
        <v>46</v>
      </c>
    </row>
    <row r="92" spans="1:20" x14ac:dyDescent="0.25">
      <c r="A92" s="10" t="s">
        <v>0</v>
      </c>
      <c r="B92" t="b">
        <v>0</v>
      </c>
      <c r="C92" t="b">
        <v>0</v>
      </c>
      <c r="D92" s="1">
        <v>4241</v>
      </c>
      <c r="E92" s="1">
        <v>0</v>
      </c>
      <c r="F92" s="1">
        <v>0</v>
      </c>
      <c r="G92" s="1">
        <v>1133</v>
      </c>
      <c r="H92" s="1">
        <v>0</v>
      </c>
      <c r="I92" s="1">
        <v>0</v>
      </c>
      <c r="J92" s="1">
        <f t="shared" si="4"/>
        <v>5374</v>
      </c>
      <c r="K92" s="1">
        <v>759</v>
      </c>
      <c r="L92" s="1">
        <v>0</v>
      </c>
      <c r="M92" s="1">
        <v>0</v>
      </c>
      <c r="N92" s="1">
        <f t="shared" si="3"/>
        <v>759</v>
      </c>
      <c r="O92" s="9">
        <v>1208</v>
      </c>
      <c r="P92" s="1">
        <v>0</v>
      </c>
      <c r="Q92" s="1">
        <v>0</v>
      </c>
      <c r="R92" s="12">
        <v>39814</v>
      </c>
      <c r="S92" s="1">
        <v>7341</v>
      </c>
      <c r="T92" s="9" t="s">
        <v>41</v>
      </c>
    </row>
    <row r="93" spans="1:20" x14ac:dyDescent="0.25">
      <c r="A93" s="10" t="s">
        <v>0</v>
      </c>
      <c r="B93" t="b">
        <v>0</v>
      </c>
      <c r="C93" t="b">
        <v>0</v>
      </c>
      <c r="D93" s="1">
        <v>1865</v>
      </c>
      <c r="E93" s="1">
        <v>0</v>
      </c>
      <c r="F93" s="1">
        <v>0</v>
      </c>
      <c r="G93" s="1">
        <v>543</v>
      </c>
      <c r="H93" s="1">
        <v>0</v>
      </c>
      <c r="I93" s="1">
        <v>0</v>
      </c>
      <c r="J93" s="1">
        <f t="shared" si="4"/>
        <v>2408</v>
      </c>
      <c r="K93" s="1">
        <v>362</v>
      </c>
      <c r="L93" s="1">
        <v>0</v>
      </c>
      <c r="M93" s="1">
        <v>6</v>
      </c>
      <c r="N93" s="1">
        <f t="shared" si="3"/>
        <v>368</v>
      </c>
      <c r="O93" s="9">
        <v>508</v>
      </c>
      <c r="P93" s="1">
        <v>4</v>
      </c>
      <c r="Q93" s="1">
        <v>0</v>
      </c>
      <c r="R93" s="12">
        <v>39845</v>
      </c>
      <c r="S93" s="1">
        <v>3288</v>
      </c>
      <c r="T93" s="9" t="s">
        <v>41</v>
      </c>
    </row>
    <row r="94" spans="1:20" x14ac:dyDescent="0.25">
      <c r="A94" s="10" t="s">
        <v>0</v>
      </c>
      <c r="B94" t="b">
        <v>0</v>
      </c>
      <c r="C94" t="b">
        <v>0</v>
      </c>
      <c r="D94" s="1">
        <v>3621</v>
      </c>
      <c r="E94" s="1">
        <v>0</v>
      </c>
      <c r="F94" s="1">
        <v>0</v>
      </c>
      <c r="G94" s="1">
        <v>2746</v>
      </c>
      <c r="H94" s="1">
        <v>0</v>
      </c>
      <c r="I94" s="1">
        <v>0</v>
      </c>
      <c r="J94" s="1">
        <f t="shared" si="4"/>
        <v>6367</v>
      </c>
      <c r="K94" s="1">
        <v>1003</v>
      </c>
      <c r="L94" s="1">
        <v>0</v>
      </c>
      <c r="M94" s="1">
        <v>14</v>
      </c>
      <c r="N94" s="1">
        <f t="shared" ref="N94:N157" si="5">K94+L94+M94</f>
        <v>1017</v>
      </c>
      <c r="O94" s="9">
        <v>1038</v>
      </c>
      <c r="P94" s="1">
        <v>0</v>
      </c>
      <c r="Q94" s="1">
        <v>0</v>
      </c>
      <c r="R94" s="12">
        <v>39873</v>
      </c>
      <c r="S94" s="1">
        <v>8422</v>
      </c>
      <c r="T94" s="9" t="s">
        <v>41</v>
      </c>
    </row>
    <row r="95" spans="1:20" x14ac:dyDescent="0.25">
      <c r="A95" s="10" t="s">
        <v>0</v>
      </c>
      <c r="B95" t="b">
        <v>0</v>
      </c>
      <c r="C95" t="b">
        <v>0</v>
      </c>
      <c r="D95" s="1">
        <v>5300</v>
      </c>
      <c r="E95" s="1">
        <v>0</v>
      </c>
      <c r="F95" s="1">
        <v>3</v>
      </c>
      <c r="G95" s="1">
        <v>991</v>
      </c>
      <c r="H95" s="1">
        <v>0</v>
      </c>
      <c r="I95" s="1">
        <v>0</v>
      </c>
      <c r="J95" s="1">
        <f t="shared" si="4"/>
        <v>6294</v>
      </c>
      <c r="K95" s="1">
        <v>0</v>
      </c>
      <c r="L95" s="1">
        <v>1840</v>
      </c>
      <c r="M95" s="1">
        <v>25</v>
      </c>
      <c r="N95" s="1">
        <f t="shared" si="5"/>
        <v>1865</v>
      </c>
      <c r="O95" s="9">
        <v>1115</v>
      </c>
      <c r="P95" s="1">
        <v>24</v>
      </c>
      <c r="Q95" s="1">
        <v>0</v>
      </c>
      <c r="R95" s="12">
        <v>39904</v>
      </c>
      <c r="S95" s="1">
        <v>9298</v>
      </c>
      <c r="T95" s="9" t="s">
        <v>41</v>
      </c>
    </row>
    <row r="96" spans="1:20" x14ac:dyDescent="0.25">
      <c r="A96" s="10" t="s">
        <v>0</v>
      </c>
      <c r="B96" t="b">
        <v>0</v>
      </c>
      <c r="C96" t="b">
        <v>0</v>
      </c>
      <c r="D96" s="1">
        <v>8607</v>
      </c>
      <c r="E96" s="1">
        <v>0</v>
      </c>
      <c r="F96" s="1">
        <v>9</v>
      </c>
      <c r="G96" s="1">
        <v>1743</v>
      </c>
      <c r="H96" s="1">
        <v>0</v>
      </c>
      <c r="I96" s="1">
        <v>0</v>
      </c>
      <c r="J96" s="1">
        <f t="shared" si="4"/>
        <v>10359</v>
      </c>
      <c r="K96" s="1">
        <v>3481</v>
      </c>
      <c r="L96" s="1">
        <v>0</v>
      </c>
      <c r="M96" s="1">
        <v>43</v>
      </c>
      <c r="N96" s="1">
        <f t="shared" si="5"/>
        <v>3524</v>
      </c>
      <c r="O96" s="9">
        <v>1259</v>
      </c>
      <c r="P96" s="1">
        <v>5</v>
      </c>
      <c r="Q96" s="1">
        <v>0</v>
      </c>
      <c r="R96" s="12">
        <v>39934</v>
      </c>
      <c r="S96" s="1">
        <v>15147</v>
      </c>
      <c r="T96" s="9" t="s">
        <v>41</v>
      </c>
    </row>
    <row r="97" spans="1:20" x14ac:dyDescent="0.25">
      <c r="A97" s="10" t="s">
        <v>0</v>
      </c>
      <c r="B97" t="b">
        <v>0</v>
      </c>
      <c r="C97" t="b">
        <v>0</v>
      </c>
      <c r="D97" s="1">
        <v>6189</v>
      </c>
      <c r="E97" s="1">
        <v>0</v>
      </c>
      <c r="F97" s="1">
        <v>13</v>
      </c>
      <c r="G97" s="1">
        <v>1613</v>
      </c>
      <c r="H97" s="1">
        <v>0</v>
      </c>
      <c r="I97" s="1">
        <v>0</v>
      </c>
      <c r="J97" s="1">
        <f t="shared" si="4"/>
        <v>7815</v>
      </c>
      <c r="K97" s="1">
        <v>3579</v>
      </c>
      <c r="L97" s="1">
        <v>0</v>
      </c>
      <c r="M97" s="1">
        <v>56</v>
      </c>
      <c r="N97" s="1">
        <f t="shared" si="5"/>
        <v>3635</v>
      </c>
      <c r="O97" s="9">
        <v>681</v>
      </c>
      <c r="P97" s="1">
        <v>8</v>
      </c>
      <c r="Q97" s="1">
        <v>0</v>
      </c>
      <c r="R97" s="12">
        <v>39965</v>
      </c>
      <c r="S97" s="1">
        <v>12139</v>
      </c>
      <c r="T97" s="9" t="s">
        <v>41</v>
      </c>
    </row>
    <row r="98" spans="1:20" x14ac:dyDescent="0.25">
      <c r="A98" s="10" t="s">
        <v>0</v>
      </c>
      <c r="B98" t="b">
        <v>0</v>
      </c>
      <c r="C98" t="b">
        <v>0</v>
      </c>
      <c r="D98" s="1">
        <v>8155</v>
      </c>
      <c r="E98" s="1">
        <v>3</v>
      </c>
      <c r="F98" s="1">
        <v>18</v>
      </c>
      <c r="G98" s="1">
        <v>1767</v>
      </c>
      <c r="H98" s="1">
        <v>0</v>
      </c>
      <c r="I98" s="1">
        <v>0</v>
      </c>
      <c r="J98" s="1">
        <f t="shared" si="4"/>
        <v>9943</v>
      </c>
      <c r="K98" s="1">
        <v>5152</v>
      </c>
      <c r="L98" s="1">
        <v>0</v>
      </c>
      <c r="M98" s="1">
        <v>70</v>
      </c>
      <c r="N98" s="1">
        <f t="shared" si="5"/>
        <v>5222</v>
      </c>
      <c r="O98" s="9">
        <v>870</v>
      </c>
      <c r="P98" s="1">
        <v>10</v>
      </c>
      <c r="Q98" s="1">
        <v>0</v>
      </c>
      <c r="R98" s="12">
        <v>39995</v>
      </c>
      <c r="S98" s="1">
        <v>16045</v>
      </c>
      <c r="T98" s="9" t="s">
        <v>41</v>
      </c>
    </row>
    <row r="99" spans="1:20" x14ac:dyDescent="0.25">
      <c r="A99" s="10" t="s">
        <v>0</v>
      </c>
      <c r="B99" t="b">
        <v>0</v>
      </c>
      <c r="C99" t="b">
        <v>0</v>
      </c>
      <c r="D99" s="1">
        <v>10486</v>
      </c>
      <c r="E99" s="1">
        <v>3</v>
      </c>
      <c r="F99" s="1">
        <v>8</v>
      </c>
      <c r="G99" s="1">
        <v>9615</v>
      </c>
      <c r="H99" s="1">
        <v>0</v>
      </c>
      <c r="I99" s="1">
        <v>0</v>
      </c>
      <c r="J99" s="1">
        <f t="shared" si="4"/>
        <v>20112</v>
      </c>
      <c r="K99" s="1">
        <v>5721</v>
      </c>
      <c r="L99" s="1">
        <v>0</v>
      </c>
      <c r="M99" s="1">
        <v>58</v>
      </c>
      <c r="N99" s="1">
        <f t="shared" si="5"/>
        <v>5779</v>
      </c>
      <c r="O99" s="9">
        <v>1150</v>
      </c>
      <c r="P99" s="1">
        <v>16</v>
      </c>
      <c r="Q99" s="1">
        <v>0</v>
      </c>
      <c r="R99" s="12">
        <v>40026</v>
      </c>
      <c r="S99" s="1">
        <v>27057</v>
      </c>
      <c r="T99" s="9" t="s">
        <v>41</v>
      </c>
    </row>
    <row r="100" spans="1:20" x14ac:dyDescent="0.25">
      <c r="A100" s="10" t="s">
        <v>0</v>
      </c>
      <c r="B100" t="b">
        <v>0</v>
      </c>
      <c r="C100" t="b">
        <v>0</v>
      </c>
      <c r="D100" s="1">
        <v>9577</v>
      </c>
      <c r="E100" s="1">
        <v>0</v>
      </c>
      <c r="F100" s="1">
        <v>6</v>
      </c>
      <c r="G100" s="1">
        <v>6642</v>
      </c>
      <c r="H100" s="1">
        <v>0</v>
      </c>
      <c r="I100" s="1">
        <v>0</v>
      </c>
      <c r="J100" s="1">
        <f t="shared" si="4"/>
        <v>16225</v>
      </c>
      <c r="K100" s="1">
        <v>3124</v>
      </c>
      <c r="L100" s="1">
        <v>0</v>
      </c>
      <c r="M100" s="1">
        <v>45</v>
      </c>
      <c r="N100" s="1">
        <f t="shared" si="5"/>
        <v>3169</v>
      </c>
      <c r="O100" s="9">
        <v>1297</v>
      </c>
      <c r="P100" s="1">
        <v>8</v>
      </c>
      <c r="Q100" s="1">
        <v>0</v>
      </c>
      <c r="R100" s="12">
        <v>40057</v>
      </c>
      <c r="S100" s="1">
        <v>20699</v>
      </c>
      <c r="T100" s="9" t="s">
        <v>41</v>
      </c>
    </row>
    <row r="101" spans="1:20" x14ac:dyDescent="0.25">
      <c r="A101" s="10" t="s">
        <v>0</v>
      </c>
      <c r="B101" t="b">
        <v>0</v>
      </c>
      <c r="C101" t="b">
        <v>0</v>
      </c>
      <c r="D101" s="1">
        <v>7321</v>
      </c>
      <c r="E101" s="1">
        <v>0</v>
      </c>
      <c r="F101" s="1">
        <v>0</v>
      </c>
      <c r="G101" s="1">
        <v>1341</v>
      </c>
      <c r="H101" s="1">
        <v>0</v>
      </c>
      <c r="I101" s="1">
        <v>0</v>
      </c>
      <c r="J101" s="1">
        <f t="shared" si="4"/>
        <v>8662</v>
      </c>
      <c r="K101" s="1">
        <v>2667</v>
      </c>
      <c r="L101" s="1">
        <v>0</v>
      </c>
      <c r="M101" s="1">
        <v>40</v>
      </c>
      <c r="N101" s="1">
        <f t="shared" si="5"/>
        <v>2707</v>
      </c>
      <c r="O101" s="9">
        <v>1592</v>
      </c>
      <c r="P101" s="1">
        <v>11</v>
      </c>
      <c r="Q101" s="1">
        <v>0</v>
      </c>
      <c r="R101" s="12">
        <v>40087</v>
      </c>
      <c r="S101" s="1">
        <v>12972</v>
      </c>
      <c r="T101" s="9" t="s">
        <v>41</v>
      </c>
    </row>
    <row r="102" spans="1:20" x14ac:dyDescent="0.25">
      <c r="A102" s="10" t="s">
        <v>0</v>
      </c>
      <c r="B102" t="b">
        <v>0</v>
      </c>
      <c r="C102" t="b">
        <v>0</v>
      </c>
      <c r="D102" s="1">
        <v>6308</v>
      </c>
      <c r="E102" s="1">
        <v>0</v>
      </c>
      <c r="F102" s="1">
        <v>0</v>
      </c>
      <c r="G102" s="1">
        <v>1613</v>
      </c>
      <c r="H102" s="1">
        <v>0</v>
      </c>
      <c r="I102" s="1">
        <v>0</v>
      </c>
      <c r="J102" s="1">
        <f t="shared" si="4"/>
        <v>7921</v>
      </c>
      <c r="K102" s="1">
        <v>1170</v>
      </c>
      <c r="L102" s="1">
        <v>0</v>
      </c>
      <c r="M102" s="1">
        <v>4</v>
      </c>
      <c r="N102" s="1">
        <f t="shared" si="5"/>
        <v>1174</v>
      </c>
      <c r="O102" s="9">
        <v>1450</v>
      </c>
      <c r="P102" s="1">
        <v>2</v>
      </c>
      <c r="Q102" s="1">
        <v>0</v>
      </c>
      <c r="R102" s="12">
        <v>40118</v>
      </c>
      <c r="S102" s="1">
        <v>10547</v>
      </c>
      <c r="T102" s="9" t="s">
        <v>41</v>
      </c>
    </row>
    <row r="103" spans="1:20" x14ac:dyDescent="0.25">
      <c r="A103" s="10" t="s">
        <v>0</v>
      </c>
      <c r="B103" t="b">
        <v>0</v>
      </c>
      <c r="C103" t="b">
        <v>0</v>
      </c>
      <c r="D103" s="1">
        <v>2674</v>
      </c>
      <c r="E103" s="1">
        <v>0</v>
      </c>
      <c r="F103" s="1">
        <v>0</v>
      </c>
      <c r="G103" s="1">
        <v>806</v>
      </c>
      <c r="H103" s="1">
        <v>0</v>
      </c>
      <c r="I103" s="1">
        <v>0</v>
      </c>
      <c r="J103" s="1">
        <f t="shared" si="4"/>
        <v>3480</v>
      </c>
      <c r="K103" s="1">
        <v>213</v>
      </c>
      <c r="L103" s="1">
        <v>0</v>
      </c>
      <c r="M103" s="1">
        <v>0</v>
      </c>
      <c r="N103" s="1">
        <f t="shared" si="5"/>
        <v>213</v>
      </c>
      <c r="O103" s="9">
        <v>642</v>
      </c>
      <c r="P103" s="1">
        <v>0</v>
      </c>
      <c r="Q103" s="1">
        <v>0</v>
      </c>
      <c r="R103" s="12">
        <v>40148</v>
      </c>
      <c r="S103" s="1">
        <v>4335</v>
      </c>
      <c r="T103" s="9" t="s">
        <v>41</v>
      </c>
    </row>
    <row r="104" spans="1:20" x14ac:dyDescent="0.25">
      <c r="A104" s="10" t="s">
        <v>0</v>
      </c>
      <c r="B104" t="b">
        <v>0</v>
      </c>
      <c r="C104" t="b">
        <v>0</v>
      </c>
      <c r="D104" s="1">
        <v>1983</v>
      </c>
      <c r="E104" s="1">
        <v>0</v>
      </c>
      <c r="F104" s="1">
        <v>0</v>
      </c>
      <c r="G104" s="1">
        <v>574</v>
      </c>
      <c r="H104" s="1">
        <v>0</v>
      </c>
      <c r="I104" s="1">
        <v>0</v>
      </c>
      <c r="J104" s="1">
        <f t="shared" si="4"/>
        <v>2557</v>
      </c>
      <c r="K104" s="1">
        <v>169</v>
      </c>
      <c r="L104" s="1">
        <v>0</v>
      </c>
      <c r="M104" s="1">
        <v>0</v>
      </c>
      <c r="N104" s="1">
        <f t="shared" si="5"/>
        <v>169</v>
      </c>
      <c r="O104" s="9">
        <v>464</v>
      </c>
      <c r="P104" s="1">
        <v>0</v>
      </c>
      <c r="Q104" s="1">
        <v>0</v>
      </c>
      <c r="R104" s="12">
        <v>40179</v>
      </c>
      <c r="S104" s="1">
        <v>3190</v>
      </c>
      <c r="T104" s="9" t="s">
        <v>21</v>
      </c>
    </row>
    <row r="105" spans="1:20" x14ac:dyDescent="0.25">
      <c r="A105" s="10" t="s">
        <v>0</v>
      </c>
      <c r="B105" t="b">
        <v>0</v>
      </c>
      <c r="C105" t="b">
        <v>0</v>
      </c>
      <c r="D105" s="1">
        <v>1514</v>
      </c>
      <c r="E105" s="1">
        <v>0</v>
      </c>
      <c r="F105" s="1">
        <v>0</v>
      </c>
      <c r="G105" s="1">
        <v>255</v>
      </c>
      <c r="H105" s="1">
        <v>0</v>
      </c>
      <c r="I105" s="1">
        <v>0</v>
      </c>
      <c r="J105" s="1">
        <f t="shared" si="4"/>
        <v>1769</v>
      </c>
      <c r="K105" s="1">
        <v>303</v>
      </c>
      <c r="L105" s="1">
        <v>0</v>
      </c>
      <c r="M105" s="1">
        <v>0</v>
      </c>
      <c r="N105" s="1">
        <f t="shared" si="5"/>
        <v>303</v>
      </c>
      <c r="O105" s="9">
        <v>336</v>
      </c>
      <c r="P105" s="1">
        <v>0</v>
      </c>
      <c r="Q105" s="1">
        <v>0</v>
      </c>
      <c r="R105" s="12">
        <v>40210</v>
      </c>
      <c r="S105" s="1">
        <v>2408</v>
      </c>
      <c r="T105" s="9" t="s">
        <v>21</v>
      </c>
    </row>
    <row r="106" spans="1:20" x14ac:dyDescent="0.25">
      <c r="A106" s="10" t="s">
        <v>0</v>
      </c>
      <c r="B106" t="b">
        <v>0</v>
      </c>
      <c r="C106" t="b">
        <v>0</v>
      </c>
      <c r="D106" s="1">
        <v>2717</v>
      </c>
      <c r="E106" s="1">
        <v>0</v>
      </c>
      <c r="F106" s="1">
        <v>0</v>
      </c>
      <c r="G106" s="1">
        <v>56</v>
      </c>
      <c r="H106" s="1">
        <v>0</v>
      </c>
      <c r="I106" s="1">
        <v>0</v>
      </c>
      <c r="J106" s="1">
        <f t="shared" si="4"/>
        <v>2773</v>
      </c>
      <c r="K106" s="1">
        <v>534</v>
      </c>
      <c r="L106" s="1">
        <v>0</v>
      </c>
      <c r="M106" s="1">
        <v>0</v>
      </c>
      <c r="N106" s="1">
        <f t="shared" si="5"/>
        <v>534</v>
      </c>
      <c r="O106" s="9">
        <v>483</v>
      </c>
      <c r="P106" s="1">
        <v>0</v>
      </c>
      <c r="Q106" s="1">
        <v>0</v>
      </c>
      <c r="R106" s="12">
        <v>40238</v>
      </c>
      <c r="S106" s="1">
        <v>3790</v>
      </c>
      <c r="T106" s="9" t="s">
        <v>21</v>
      </c>
    </row>
    <row r="107" spans="1:20" x14ac:dyDescent="0.25">
      <c r="A107" s="10" t="s">
        <v>0</v>
      </c>
      <c r="B107" t="b">
        <v>0</v>
      </c>
      <c r="C107" t="b">
        <v>0</v>
      </c>
      <c r="D107" s="1">
        <v>3927</v>
      </c>
      <c r="E107" s="1">
        <v>0</v>
      </c>
      <c r="F107" s="1">
        <v>0</v>
      </c>
      <c r="G107" s="1">
        <v>941</v>
      </c>
      <c r="H107" s="1">
        <v>0</v>
      </c>
      <c r="I107" s="1">
        <v>0</v>
      </c>
      <c r="J107" s="1">
        <f t="shared" si="4"/>
        <v>4868</v>
      </c>
      <c r="K107" s="1">
        <v>1001</v>
      </c>
      <c r="L107" s="1">
        <v>0</v>
      </c>
      <c r="M107" s="1">
        <v>0</v>
      </c>
      <c r="N107" s="1">
        <f t="shared" si="5"/>
        <v>1001</v>
      </c>
      <c r="O107" s="9">
        <v>0</v>
      </c>
      <c r="P107" s="1">
        <v>0</v>
      </c>
      <c r="Q107" s="1">
        <v>0</v>
      </c>
      <c r="R107" s="12">
        <v>40269</v>
      </c>
      <c r="S107" s="1">
        <v>5869</v>
      </c>
      <c r="T107" s="9" t="s">
        <v>21</v>
      </c>
    </row>
    <row r="108" spans="1:20" x14ac:dyDescent="0.25">
      <c r="A108" s="10" t="s">
        <v>0</v>
      </c>
      <c r="B108" t="b">
        <v>0</v>
      </c>
      <c r="C108" t="b">
        <v>0</v>
      </c>
      <c r="D108" s="1">
        <v>6365</v>
      </c>
      <c r="E108" s="1">
        <v>0</v>
      </c>
      <c r="F108" s="1">
        <v>5</v>
      </c>
      <c r="G108" s="1">
        <v>1322</v>
      </c>
      <c r="H108" s="1">
        <v>0</v>
      </c>
      <c r="I108" s="1">
        <v>2</v>
      </c>
      <c r="J108" s="1">
        <f t="shared" si="4"/>
        <v>7694</v>
      </c>
      <c r="K108" s="1">
        <v>2494</v>
      </c>
      <c r="L108" s="1">
        <v>0</v>
      </c>
      <c r="M108" s="1">
        <v>3</v>
      </c>
      <c r="N108" s="1">
        <f t="shared" si="5"/>
        <v>2497</v>
      </c>
      <c r="O108" s="9">
        <v>818</v>
      </c>
      <c r="P108" s="1">
        <v>3</v>
      </c>
      <c r="Q108" s="1">
        <v>0</v>
      </c>
      <c r="R108" s="12">
        <v>40299</v>
      </c>
      <c r="S108" s="1">
        <v>11012</v>
      </c>
      <c r="T108" s="9" t="s">
        <v>21</v>
      </c>
    </row>
    <row r="109" spans="1:20" x14ac:dyDescent="0.25">
      <c r="A109" s="10" t="s">
        <v>0</v>
      </c>
      <c r="B109" t="b">
        <v>0</v>
      </c>
      <c r="C109" t="b">
        <v>0</v>
      </c>
      <c r="D109" s="1">
        <v>5835</v>
      </c>
      <c r="E109" s="1">
        <v>0</v>
      </c>
      <c r="F109" s="1">
        <v>1</v>
      </c>
      <c r="G109" s="1">
        <v>1294</v>
      </c>
      <c r="H109" s="1">
        <v>0</v>
      </c>
      <c r="I109" s="1">
        <v>3</v>
      </c>
      <c r="J109" s="1">
        <f t="shared" si="4"/>
        <v>7133</v>
      </c>
      <c r="K109" s="1">
        <v>2501</v>
      </c>
      <c r="L109" s="1">
        <v>0</v>
      </c>
      <c r="M109" s="1">
        <v>39</v>
      </c>
      <c r="N109" s="1">
        <f t="shared" si="5"/>
        <v>2540</v>
      </c>
      <c r="O109" s="9">
        <v>515</v>
      </c>
      <c r="P109" s="1">
        <v>16</v>
      </c>
      <c r="Q109" s="1">
        <v>0</v>
      </c>
      <c r="R109" s="12">
        <v>40330</v>
      </c>
      <c r="S109" s="1">
        <v>10204</v>
      </c>
      <c r="T109" s="9" t="s">
        <v>21</v>
      </c>
    </row>
    <row r="110" spans="1:20" x14ac:dyDescent="0.25">
      <c r="A110" s="10" t="s">
        <v>0</v>
      </c>
      <c r="B110" t="b">
        <v>0</v>
      </c>
      <c r="C110" t="b">
        <v>0</v>
      </c>
      <c r="D110" s="1">
        <v>10199</v>
      </c>
      <c r="E110" s="1">
        <v>0</v>
      </c>
      <c r="F110" s="1">
        <v>6</v>
      </c>
      <c r="G110" s="1">
        <v>1800</v>
      </c>
      <c r="H110" s="1">
        <v>0</v>
      </c>
      <c r="I110" s="1">
        <v>0</v>
      </c>
      <c r="J110" s="1">
        <f t="shared" si="4"/>
        <v>12005</v>
      </c>
      <c r="K110" s="1">
        <v>5284</v>
      </c>
      <c r="L110" s="1">
        <v>0</v>
      </c>
      <c r="M110" s="1">
        <v>73</v>
      </c>
      <c r="N110" s="1">
        <f t="shared" si="5"/>
        <v>5357</v>
      </c>
      <c r="O110" s="9">
        <v>849</v>
      </c>
      <c r="P110" s="1">
        <v>8</v>
      </c>
      <c r="Q110" s="1">
        <v>0</v>
      </c>
      <c r="R110" s="12">
        <v>40360</v>
      </c>
      <c r="S110" s="1">
        <v>18219</v>
      </c>
      <c r="T110" s="9" t="s">
        <v>21</v>
      </c>
    </row>
    <row r="111" spans="1:20" x14ac:dyDescent="0.25">
      <c r="A111" s="10" t="s">
        <v>0</v>
      </c>
      <c r="B111" t="b">
        <v>0</v>
      </c>
      <c r="C111" t="b">
        <v>0</v>
      </c>
      <c r="D111" s="1">
        <v>5806</v>
      </c>
      <c r="E111" s="1">
        <v>0</v>
      </c>
      <c r="F111" s="1">
        <v>4</v>
      </c>
      <c r="G111" s="1">
        <v>1644</v>
      </c>
      <c r="H111" s="1">
        <v>0</v>
      </c>
      <c r="I111" s="1">
        <v>0</v>
      </c>
      <c r="J111" s="1">
        <f t="shared" si="4"/>
        <v>7454</v>
      </c>
      <c r="K111" s="1">
        <v>3498</v>
      </c>
      <c r="L111" s="1">
        <v>0</v>
      </c>
      <c r="M111" s="1">
        <v>52</v>
      </c>
      <c r="N111" s="1">
        <f t="shared" si="5"/>
        <v>3550</v>
      </c>
      <c r="O111" s="9">
        <v>671</v>
      </c>
      <c r="P111" s="1">
        <v>13</v>
      </c>
      <c r="Q111" s="1">
        <v>0</v>
      </c>
      <c r="R111" s="12">
        <v>40391</v>
      </c>
      <c r="S111" s="1">
        <v>11688</v>
      </c>
      <c r="T111" s="9" t="s">
        <v>21</v>
      </c>
    </row>
    <row r="112" spans="1:20" x14ac:dyDescent="0.25">
      <c r="A112" s="10" t="s">
        <v>0</v>
      </c>
      <c r="B112" t="b">
        <v>0</v>
      </c>
      <c r="C112" t="b">
        <v>0</v>
      </c>
      <c r="D112" s="1">
        <v>7698</v>
      </c>
      <c r="E112" s="1">
        <v>0</v>
      </c>
      <c r="F112" s="1">
        <v>14</v>
      </c>
      <c r="G112" s="1">
        <v>1051</v>
      </c>
      <c r="H112" s="1">
        <v>0</v>
      </c>
      <c r="I112" s="1">
        <v>2</v>
      </c>
      <c r="J112" s="1">
        <f t="shared" si="4"/>
        <v>8765</v>
      </c>
      <c r="K112" s="1">
        <v>2297</v>
      </c>
      <c r="L112" s="1">
        <v>0</v>
      </c>
      <c r="M112" s="1">
        <v>49</v>
      </c>
      <c r="N112" s="1">
        <f t="shared" si="5"/>
        <v>2346</v>
      </c>
      <c r="O112" s="9">
        <v>1254</v>
      </c>
      <c r="P112" s="1">
        <v>27</v>
      </c>
      <c r="Q112" s="1">
        <v>0</v>
      </c>
      <c r="R112" s="12">
        <v>40422</v>
      </c>
      <c r="S112" s="1">
        <v>12392</v>
      </c>
      <c r="T112" s="9" t="s">
        <v>21</v>
      </c>
    </row>
    <row r="113" spans="1:20" x14ac:dyDescent="0.25">
      <c r="A113" s="10" t="s">
        <v>0</v>
      </c>
      <c r="B113" t="b">
        <v>0</v>
      </c>
      <c r="C113" t="b">
        <v>0</v>
      </c>
      <c r="D113" s="1">
        <v>4667</v>
      </c>
      <c r="E113" s="1">
        <v>0</v>
      </c>
      <c r="F113" s="1">
        <v>0</v>
      </c>
      <c r="G113" s="1">
        <v>865</v>
      </c>
      <c r="H113" s="1">
        <v>0</v>
      </c>
      <c r="I113" s="1">
        <v>0</v>
      </c>
      <c r="J113" s="1">
        <f t="shared" si="4"/>
        <v>5532</v>
      </c>
      <c r="K113" s="1">
        <v>1668</v>
      </c>
      <c r="L113" s="1">
        <v>0</v>
      </c>
      <c r="M113" s="1">
        <v>9</v>
      </c>
      <c r="N113" s="1">
        <f t="shared" si="5"/>
        <v>1677</v>
      </c>
      <c r="O113" s="9">
        <v>1282</v>
      </c>
      <c r="P113" s="1">
        <v>3</v>
      </c>
      <c r="Q113" s="1">
        <v>0</v>
      </c>
      <c r="R113" s="12">
        <v>40452</v>
      </c>
      <c r="S113" s="1">
        <v>8494</v>
      </c>
      <c r="T113" s="9" t="s">
        <v>21</v>
      </c>
    </row>
    <row r="114" spans="1:20" x14ac:dyDescent="0.25">
      <c r="A114" s="10" t="s">
        <v>0</v>
      </c>
      <c r="B114" t="b">
        <v>0</v>
      </c>
      <c r="C114" t="b">
        <v>0</v>
      </c>
      <c r="D114" s="1">
        <v>3958</v>
      </c>
      <c r="E114" s="1">
        <v>0</v>
      </c>
      <c r="F114" s="1">
        <v>0</v>
      </c>
      <c r="G114" s="1">
        <v>603</v>
      </c>
      <c r="H114" s="1">
        <v>0</v>
      </c>
      <c r="I114" s="1">
        <v>0</v>
      </c>
      <c r="J114" s="1">
        <f t="shared" si="4"/>
        <v>4561</v>
      </c>
      <c r="K114" s="1">
        <v>594</v>
      </c>
      <c r="L114" s="1">
        <v>0</v>
      </c>
      <c r="M114" s="1">
        <v>0</v>
      </c>
      <c r="N114" s="1">
        <f t="shared" si="5"/>
        <v>594</v>
      </c>
      <c r="O114" s="9">
        <v>1275</v>
      </c>
      <c r="P114" s="1">
        <v>5</v>
      </c>
      <c r="Q114" s="1">
        <v>0</v>
      </c>
      <c r="R114" s="12">
        <v>40483</v>
      </c>
      <c r="S114" s="1">
        <v>6435</v>
      </c>
      <c r="T114" s="9" t="s">
        <v>21</v>
      </c>
    </row>
    <row r="115" spans="1:20" x14ac:dyDescent="0.25">
      <c r="A115" s="10" t="s">
        <v>0</v>
      </c>
      <c r="B115" t="b">
        <v>0</v>
      </c>
      <c r="C115" t="b">
        <v>0</v>
      </c>
      <c r="D115" s="1">
        <v>1598</v>
      </c>
      <c r="E115" s="1">
        <v>0</v>
      </c>
      <c r="F115" s="1">
        <v>0</v>
      </c>
      <c r="G115" s="1">
        <v>455</v>
      </c>
      <c r="H115" s="1">
        <v>0</v>
      </c>
      <c r="I115" s="1">
        <v>0</v>
      </c>
      <c r="J115" s="1">
        <f t="shared" si="4"/>
        <v>2053</v>
      </c>
      <c r="K115" s="1">
        <v>174</v>
      </c>
      <c r="L115" s="1">
        <v>0</v>
      </c>
      <c r="M115" s="1">
        <v>0</v>
      </c>
      <c r="N115" s="1">
        <f t="shared" si="5"/>
        <v>174</v>
      </c>
      <c r="O115" s="9">
        <v>507</v>
      </c>
      <c r="P115" s="1">
        <v>1</v>
      </c>
      <c r="Q115" s="1">
        <v>0</v>
      </c>
      <c r="R115" s="12">
        <v>40513</v>
      </c>
      <c r="S115" s="1">
        <v>2735</v>
      </c>
      <c r="T115" s="9" t="s">
        <v>21</v>
      </c>
    </row>
    <row r="116" spans="1:20" x14ac:dyDescent="0.25">
      <c r="A116" s="10" t="s">
        <v>0</v>
      </c>
      <c r="B116" t="b">
        <v>0</v>
      </c>
      <c r="C116" t="b">
        <v>0</v>
      </c>
      <c r="D116" s="1">
        <v>1388</v>
      </c>
      <c r="E116" s="1">
        <v>0</v>
      </c>
      <c r="F116" s="1">
        <v>0</v>
      </c>
      <c r="G116" s="1">
        <v>458</v>
      </c>
      <c r="H116" s="1">
        <v>0</v>
      </c>
      <c r="I116" s="1">
        <v>0</v>
      </c>
      <c r="J116" s="1">
        <f t="shared" si="4"/>
        <v>1846</v>
      </c>
      <c r="K116" s="1">
        <v>171</v>
      </c>
      <c r="L116" s="1">
        <v>0</v>
      </c>
      <c r="M116" s="1">
        <v>0</v>
      </c>
      <c r="N116" s="1">
        <f t="shared" si="5"/>
        <v>171</v>
      </c>
      <c r="O116" s="9">
        <v>414</v>
      </c>
      <c r="P116" s="1">
        <v>0</v>
      </c>
      <c r="Q116" s="1">
        <v>0</v>
      </c>
      <c r="R116" s="12">
        <v>40544</v>
      </c>
      <c r="S116" s="1">
        <v>2431</v>
      </c>
      <c r="T116" s="9" t="s">
        <v>21</v>
      </c>
    </row>
    <row r="117" spans="1:20" x14ac:dyDescent="0.25">
      <c r="A117" s="10" t="s">
        <v>0</v>
      </c>
      <c r="B117" t="b">
        <v>0</v>
      </c>
      <c r="C117" t="b">
        <v>0</v>
      </c>
      <c r="D117" s="1">
        <v>1457</v>
      </c>
      <c r="E117" s="1">
        <v>0</v>
      </c>
      <c r="F117" s="1">
        <v>0</v>
      </c>
      <c r="G117" s="1">
        <v>562</v>
      </c>
      <c r="H117" s="1">
        <v>0</v>
      </c>
      <c r="I117" s="1">
        <v>0</v>
      </c>
      <c r="J117" s="1">
        <f t="shared" si="4"/>
        <v>2019</v>
      </c>
      <c r="K117" s="1">
        <v>246</v>
      </c>
      <c r="L117" s="1">
        <v>0</v>
      </c>
      <c r="M117" s="1">
        <v>0</v>
      </c>
      <c r="N117" s="1">
        <f t="shared" si="5"/>
        <v>246</v>
      </c>
      <c r="O117" s="9">
        <v>403</v>
      </c>
      <c r="P117" s="1">
        <v>3</v>
      </c>
      <c r="Q117" s="1">
        <v>0</v>
      </c>
      <c r="R117" s="12">
        <v>40575</v>
      </c>
      <c r="S117" s="1">
        <v>2671</v>
      </c>
      <c r="T117" s="9" t="s">
        <v>21</v>
      </c>
    </row>
    <row r="118" spans="1:20" x14ac:dyDescent="0.25">
      <c r="A118" s="10" t="s">
        <v>0</v>
      </c>
      <c r="B118" t="b">
        <v>0</v>
      </c>
      <c r="C118" t="b">
        <v>0</v>
      </c>
      <c r="D118" s="1">
        <v>784</v>
      </c>
      <c r="E118" s="1">
        <v>0</v>
      </c>
      <c r="F118" s="1">
        <v>0</v>
      </c>
      <c r="G118" s="1">
        <v>453</v>
      </c>
      <c r="H118" s="1">
        <v>0</v>
      </c>
      <c r="I118" s="1">
        <v>0</v>
      </c>
      <c r="J118" s="1">
        <f t="shared" si="4"/>
        <v>1237</v>
      </c>
      <c r="K118" s="1">
        <v>224</v>
      </c>
      <c r="L118" s="1">
        <v>0</v>
      </c>
      <c r="M118" s="1">
        <v>1</v>
      </c>
      <c r="N118" s="1">
        <f t="shared" si="5"/>
        <v>225</v>
      </c>
      <c r="O118" s="9">
        <v>193</v>
      </c>
      <c r="P118" s="1">
        <v>0</v>
      </c>
      <c r="Q118" s="1">
        <v>0</v>
      </c>
      <c r="R118" s="12">
        <v>40603</v>
      </c>
      <c r="S118" s="1">
        <v>1655</v>
      </c>
      <c r="T118" s="9" t="s">
        <v>21</v>
      </c>
    </row>
    <row r="119" spans="1:20" x14ac:dyDescent="0.25">
      <c r="A119" s="10" t="s">
        <v>0</v>
      </c>
      <c r="B119" t="b">
        <v>0</v>
      </c>
      <c r="C119" t="b">
        <v>0</v>
      </c>
      <c r="D119" s="1">
        <v>1907</v>
      </c>
      <c r="E119" s="1">
        <v>0</v>
      </c>
      <c r="F119" s="1">
        <v>2</v>
      </c>
      <c r="G119" s="1">
        <v>928</v>
      </c>
      <c r="H119" s="1">
        <v>11</v>
      </c>
      <c r="I119" s="1">
        <v>0</v>
      </c>
      <c r="J119" s="1">
        <f t="shared" si="4"/>
        <v>2848</v>
      </c>
      <c r="K119" s="1">
        <v>840</v>
      </c>
      <c r="L119" s="1">
        <v>0</v>
      </c>
      <c r="M119" s="1">
        <v>20</v>
      </c>
      <c r="N119" s="1">
        <f t="shared" si="5"/>
        <v>860</v>
      </c>
      <c r="O119" s="9">
        <v>383</v>
      </c>
      <c r="P119" s="1">
        <v>0</v>
      </c>
      <c r="Q119" s="1">
        <v>0</v>
      </c>
      <c r="R119" s="12">
        <v>40634</v>
      </c>
      <c r="S119" s="1">
        <v>4091</v>
      </c>
      <c r="T119" s="9" t="s">
        <v>21</v>
      </c>
    </row>
    <row r="120" spans="1:20" x14ac:dyDescent="0.25">
      <c r="A120" s="10" t="s">
        <v>0</v>
      </c>
      <c r="B120" t="b">
        <v>0</v>
      </c>
      <c r="C120" t="b">
        <v>0</v>
      </c>
      <c r="D120" s="1">
        <v>3027</v>
      </c>
      <c r="E120" s="1">
        <v>0</v>
      </c>
      <c r="F120" s="1">
        <v>0</v>
      </c>
      <c r="G120" s="1">
        <v>1130</v>
      </c>
      <c r="H120" s="1">
        <v>0</v>
      </c>
      <c r="I120" s="1">
        <v>4</v>
      </c>
      <c r="J120" s="1">
        <f t="shared" si="4"/>
        <v>4161</v>
      </c>
      <c r="K120" s="1">
        <v>1738</v>
      </c>
      <c r="L120" s="1">
        <v>0</v>
      </c>
      <c r="M120" s="1">
        <v>41</v>
      </c>
      <c r="N120" s="1">
        <f t="shared" si="5"/>
        <v>1779</v>
      </c>
      <c r="O120" s="9">
        <v>474</v>
      </c>
      <c r="P120" s="1">
        <v>1</v>
      </c>
      <c r="Q120" s="1">
        <v>0</v>
      </c>
      <c r="R120" s="12">
        <v>40664</v>
      </c>
      <c r="S120" s="1">
        <v>6415</v>
      </c>
      <c r="T120" s="9" t="s">
        <v>21</v>
      </c>
    </row>
    <row r="121" spans="1:20" x14ac:dyDescent="0.25">
      <c r="A121" s="10" t="s">
        <v>0</v>
      </c>
      <c r="B121" t="b">
        <v>0</v>
      </c>
      <c r="C121" t="b">
        <v>0</v>
      </c>
      <c r="D121" s="1">
        <v>3895</v>
      </c>
      <c r="E121" s="1">
        <v>0</v>
      </c>
      <c r="F121" s="1">
        <v>0</v>
      </c>
      <c r="G121" s="1">
        <v>995</v>
      </c>
      <c r="H121" s="1">
        <v>0</v>
      </c>
      <c r="I121" s="1">
        <v>0</v>
      </c>
      <c r="J121" s="1">
        <f t="shared" si="4"/>
        <v>4890</v>
      </c>
      <c r="K121" s="1">
        <v>1383</v>
      </c>
      <c r="L121" s="1">
        <v>0</v>
      </c>
      <c r="M121" s="1">
        <v>35</v>
      </c>
      <c r="N121" s="1">
        <f t="shared" si="5"/>
        <v>1418</v>
      </c>
      <c r="O121" s="9">
        <v>443</v>
      </c>
      <c r="P121" s="1">
        <v>3</v>
      </c>
      <c r="Q121" s="1">
        <v>0</v>
      </c>
      <c r="R121" s="12">
        <v>40695</v>
      </c>
      <c r="S121" s="1">
        <v>6754</v>
      </c>
      <c r="T121" s="9" t="s">
        <v>21</v>
      </c>
    </row>
    <row r="122" spans="1:20" x14ac:dyDescent="0.25">
      <c r="A122" s="10" t="s">
        <v>0</v>
      </c>
      <c r="B122" t="b">
        <v>0</v>
      </c>
      <c r="C122" t="b">
        <v>0</v>
      </c>
      <c r="D122" s="1">
        <v>6816</v>
      </c>
      <c r="E122" s="1">
        <v>0</v>
      </c>
      <c r="F122" s="1">
        <v>9</v>
      </c>
      <c r="G122" s="1">
        <v>2593</v>
      </c>
      <c r="H122" s="1">
        <v>0</v>
      </c>
      <c r="I122" s="1">
        <v>0</v>
      </c>
      <c r="J122" s="1">
        <f t="shared" si="4"/>
        <v>9418</v>
      </c>
      <c r="K122" s="1">
        <v>3262</v>
      </c>
      <c r="L122" s="1">
        <v>0</v>
      </c>
      <c r="M122" s="1">
        <v>61</v>
      </c>
      <c r="N122" s="1">
        <f t="shared" si="5"/>
        <v>3323</v>
      </c>
      <c r="O122" s="9">
        <v>720</v>
      </c>
      <c r="P122" s="1">
        <v>6</v>
      </c>
      <c r="Q122" s="1">
        <v>0</v>
      </c>
      <c r="R122" s="12">
        <v>40725</v>
      </c>
      <c r="S122" s="1">
        <v>13467</v>
      </c>
      <c r="T122" s="9" t="s">
        <v>21</v>
      </c>
    </row>
    <row r="123" spans="1:20" x14ac:dyDescent="0.25">
      <c r="A123" s="10" t="s">
        <v>0</v>
      </c>
      <c r="B123" t="b">
        <v>0</v>
      </c>
      <c r="C123" t="b">
        <v>0</v>
      </c>
      <c r="D123" s="1">
        <v>3662</v>
      </c>
      <c r="E123" s="1">
        <v>0</v>
      </c>
      <c r="F123" s="1">
        <v>11</v>
      </c>
      <c r="G123" s="1">
        <v>998</v>
      </c>
      <c r="H123" s="1">
        <v>0</v>
      </c>
      <c r="I123" s="1">
        <v>0</v>
      </c>
      <c r="J123" s="1">
        <f t="shared" si="4"/>
        <v>4671</v>
      </c>
      <c r="K123" s="1">
        <v>2041</v>
      </c>
      <c r="L123" s="1">
        <v>0</v>
      </c>
      <c r="M123" s="1">
        <v>49</v>
      </c>
      <c r="N123" s="1">
        <f t="shared" si="5"/>
        <v>2090</v>
      </c>
      <c r="O123" s="9">
        <v>508</v>
      </c>
      <c r="P123" s="1">
        <v>5</v>
      </c>
      <c r="Q123" s="1">
        <v>0</v>
      </c>
      <c r="R123" s="12">
        <v>40756</v>
      </c>
      <c r="S123" s="1">
        <v>7274</v>
      </c>
      <c r="T123" s="9" t="s">
        <v>21</v>
      </c>
    </row>
    <row r="124" spans="1:20" x14ac:dyDescent="0.25">
      <c r="A124" s="10" t="s">
        <v>0</v>
      </c>
      <c r="B124" t="b">
        <v>0</v>
      </c>
      <c r="C124" t="b">
        <v>0</v>
      </c>
      <c r="D124" s="1">
        <v>4448</v>
      </c>
      <c r="E124" s="1">
        <v>0</v>
      </c>
      <c r="F124" s="1">
        <v>8</v>
      </c>
      <c r="G124" s="1">
        <v>725</v>
      </c>
      <c r="H124" s="1">
        <v>0</v>
      </c>
      <c r="I124" s="1">
        <v>1</v>
      </c>
      <c r="J124" s="1">
        <f t="shared" si="4"/>
        <v>5182</v>
      </c>
      <c r="K124" s="1">
        <v>1789</v>
      </c>
      <c r="L124" s="1">
        <v>0</v>
      </c>
      <c r="M124" s="1">
        <v>102</v>
      </c>
      <c r="N124" s="1">
        <f t="shared" si="5"/>
        <v>1891</v>
      </c>
      <c r="O124" s="9">
        <v>8</v>
      </c>
      <c r="P124" s="1">
        <v>1</v>
      </c>
      <c r="Q124" s="1">
        <v>0</v>
      </c>
      <c r="R124" s="12">
        <v>40787</v>
      </c>
      <c r="S124" s="1">
        <v>7082</v>
      </c>
      <c r="T124" s="9" t="s">
        <v>21</v>
      </c>
    </row>
    <row r="125" spans="1:20" x14ac:dyDescent="0.25">
      <c r="A125" s="10" t="s">
        <v>0</v>
      </c>
      <c r="B125" t="b">
        <v>0</v>
      </c>
      <c r="C125" t="b">
        <v>0</v>
      </c>
      <c r="D125" s="1">
        <v>3978</v>
      </c>
      <c r="E125" s="1">
        <v>0</v>
      </c>
      <c r="F125" s="1">
        <v>0</v>
      </c>
      <c r="G125" s="1">
        <v>832</v>
      </c>
      <c r="H125" s="1">
        <v>0</v>
      </c>
      <c r="I125" s="1">
        <v>0</v>
      </c>
      <c r="J125" s="1">
        <f t="shared" si="4"/>
        <v>4810</v>
      </c>
      <c r="K125" s="1">
        <v>988</v>
      </c>
      <c r="L125" s="1">
        <v>0</v>
      </c>
      <c r="M125" s="1">
        <v>0</v>
      </c>
      <c r="N125" s="1">
        <f t="shared" si="5"/>
        <v>988</v>
      </c>
      <c r="O125" s="9">
        <v>1018</v>
      </c>
      <c r="P125" s="1">
        <v>5</v>
      </c>
      <c r="Q125" s="1">
        <v>0</v>
      </c>
      <c r="R125" s="12">
        <v>40817</v>
      </c>
      <c r="S125" s="1">
        <v>6821</v>
      </c>
      <c r="T125" s="9" t="s">
        <v>21</v>
      </c>
    </row>
    <row r="126" spans="1:20" x14ac:dyDescent="0.25">
      <c r="A126" s="10" t="s">
        <v>0</v>
      </c>
      <c r="B126" t="b">
        <v>0</v>
      </c>
      <c r="C126" t="b">
        <v>0</v>
      </c>
      <c r="D126" s="1">
        <v>3247</v>
      </c>
      <c r="E126" s="1">
        <v>0</v>
      </c>
      <c r="F126" s="1">
        <v>0</v>
      </c>
      <c r="G126" s="1">
        <v>673</v>
      </c>
      <c r="H126" s="1">
        <v>0</v>
      </c>
      <c r="I126" s="1">
        <v>2</v>
      </c>
      <c r="J126" s="1">
        <f t="shared" si="4"/>
        <v>3922</v>
      </c>
      <c r="K126" s="1">
        <v>208</v>
      </c>
      <c r="L126" s="1">
        <v>0</v>
      </c>
      <c r="M126" s="1">
        <v>0</v>
      </c>
      <c r="N126" s="1">
        <f t="shared" si="5"/>
        <v>208</v>
      </c>
      <c r="O126" s="9">
        <v>912</v>
      </c>
      <c r="P126" s="1">
        <v>1</v>
      </c>
      <c r="Q126" s="1">
        <v>0</v>
      </c>
      <c r="R126" s="12">
        <v>40848</v>
      </c>
      <c r="S126" s="1">
        <v>5043</v>
      </c>
      <c r="T126" s="9" t="s">
        <v>21</v>
      </c>
    </row>
    <row r="127" spans="1:20" x14ac:dyDescent="0.25">
      <c r="A127" s="10" t="s">
        <v>0</v>
      </c>
      <c r="B127" t="b">
        <v>0</v>
      </c>
      <c r="C127" t="b">
        <v>0</v>
      </c>
      <c r="D127" s="1">
        <v>2659</v>
      </c>
      <c r="E127" s="1">
        <v>0</v>
      </c>
      <c r="F127" s="1">
        <v>0</v>
      </c>
      <c r="G127" s="1">
        <v>687</v>
      </c>
      <c r="H127" s="1">
        <v>0</v>
      </c>
      <c r="I127" s="1">
        <v>0</v>
      </c>
      <c r="J127" s="1">
        <f t="shared" si="4"/>
        <v>3346</v>
      </c>
      <c r="K127" s="1">
        <v>70</v>
      </c>
      <c r="L127" s="1">
        <v>0</v>
      </c>
      <c r="M127" s="1">
        <v>0</v>
      </c>
      <c r="N127" s="1">
        <f t="shared" si="5"/>
        <v>70</v>
      </c>
      <c r="O127" s="9">
        <v>863</v>
      </c>
      <c r="P127" s="1">
        <v>0</v>
      </c>
      <c r="Q127" s="1">
        <v>0</v>
      </c>
      <c r="R127" s="12">
        <v>40878</v>
      </c>
      <c r="S127" s="1">
        <v>4279</v>
      </c>
      <c r="T127" s="9" t="s">
        <v>21</v>
      </c>
    </row>
    <row r="128" spans="1:20" x14ac:dyDescent="0.25">
      <c r="A128" s="10" t="s">
        <v>0</v>
      </c>
      <c r="B128" t="b">
        <v>0</v>
      </c>
      <c r="C128" t="b">
        <v>0</v>
      </c>
      <c r="D128" s="1">
        <v>1524</v>
      </c>
      <c r="E128" s="1">
        <v>0</v>
      </c>
      <c r="F128" s="1">
        <v>0</v>
      </c>
      <c r="G128" s="1">
        <v>656</v>
      </c>
      <c r="H128" s="1">
        <v>0</v>
      </c>
      <c r="I128" s="1">
        <v>0</v>
      </c>
      <c r="J128" s="1">
        <f t="shared" si="4"/>
        <v>2180</v>
      </c>
      <c r="K128" s="1">
        <v>140</v>
      </c>
      <c r="L128" s="1">
        <v>0</v>
      </c>
      <c r="M128" s="1">
        <v>0</v>
      </c>
      <c r="N128" s="1">
        <f t="shared" si="5"/>
        <v>140</v>
      </c>
      <c r="O128" s="9">
        <v>434</v>
      </c>
      <c r="P128" s="1">
        <v>1</v>
      </c>
      <c r="Q128" s="1">
        <v>0</v>
      </c>
      <c r="R128" s="12">
        <v>40909</v>
      </c>
      <c r="S128" s="1">
        <v>2755</v>
      </c>
      <c r="T128" s="9" t="s">
        <v>21</v>
      </c>
    </row>
    <row r="129" spans="1:20" x14ac:dyDescent="0.25">
      <c r="A129" s="10" t="s">
        <v>0</v>
      </c>
      <c r="B129" t="b">
        <v>0</v>
      </c>
      <c r="C129" t="b">
        <v>0</v>
      </c>
      <c r="D129" s="1">
        <v>1471</v>
      </c>
      <c r="E129" s="1">
        <v>0</v>
      </c>
      <c r="F129" s="1">
        <v>0</v>
      </c>
      <c r="G129" s="1">
        <v>776</v>
      </c>
      <c r="H129" s="1">
        <v>0</v>
      </c>
      <c r="I129" s="1">
        <v>0</v>
      </c>
      <c r="J129" s="1">
        <f t="shared" si="4"/>
        <v>2247</v>
      </c>
      <c r="K129" s="1">
        <v>218</v>
      </c>
      <c r="L129" s="1">
        <v>0</v>
      </c>
      <c r="M129" s="1">
        <v>0</v>
      </c>
      <c r="N129" s="1">
        <f t="shared" si="5"/>
        <v>218</v>
      </c>
      <c r="O129" s="9">
        <v>379</v>
      </c>
      <c r="P129" s="1">
        <v>5</v>
      </c>
      <c r="Q129" s="1">
        <v>0</v>
      </c>
      <c r="R129" s="12">
        <v>40940</v>
      </c>
      <c r="S129" s="1">
        <v>2849</v>
      </c>
      <c r="T129" s="9" t="s">
        <v>21</v>
      </c>
    </row>
    <row r="130" spans="1:20" x14ac:dyDescent="0.25">
      <c r="A130" s="10" t="s">
        <v>0</v>
      </c>
      <c r="B130" t="b">
        <v>0</v>
      </c>
      <c r="C130" t="b">
        <v>0</v>
      </c>
      <c r="D130" s="1">
        <v>1150</v>
      </c>
      <c r="E130" s="1">
        <v>0</v>
      </c>
      <c r="F130" s="1">
        <v>0</v>
      </c>
      <c r="G130" s="1">
        <v>829</v>
      </c>
      <c r="H130" s="1">
        <v>0</v>
      </c>
      <c r="I130" s="1">
        <v>0</v>
      </c>
      <c r="J130" s="1">
        <f t="shared" si="4"/>
        <v>1979</v>
      </c>
      <c r="K130" s="1">
        <v>196</v>
      </c>
      <c r="L130" s="1">
        <v>0</v>
      </c>
      <c r="M130" s="1">
        <v>0</v>
      </c>
      <c r="N130" s="1">
        <f t="shared" si="5"/>
        <v>196</v>
      </c>
      <c r="O130" s="9">
        <v>288</v>
      </c>
      <c r="P130" s="1">
        <v>1</v>
      </c>
      <c r="Q130" s="1">
        <v>0</v>
      </c>
      <c r="R130" s="12">
        <v>40969</v>
      </c>
      <c r="S130" s="1">
        <v>2464</v>
      </c>
      <c r="T130" s="9" t="s">
        <v>21</v>
      </c>
    </row>
    <row r="131" spans="1:20" x14ac:dyDescent="0.25">
      <c r="A131" s="10" t="s">
        <v>0</v>
      </c>
      <c r="B131" t="b">
        <v>0</v>
      </c>
      <c r="C131" t="b">
        <v>0</v>
      </c>
      <c r="D131" s="1">
        <v>3094</v>
      </c>
      <c r="E131" s="1">
        <v>0</v>
      </c>
      <c r="F131" s="1">
        <v>0</v>
      </c>
      <c r="G131" s="1">
        <v>1051</v>
      </c>
      <c r="H131" s="1">
        <v>0</v>
      </c>
      <c r="I131" s="1">
        <v>1</v>
      </c>
      <c r="J131" s="1">
        <f t="shared" ref="J131:J194" si="6">D131+E131+F131+G131+H131+I131</f>
        <v>4146</v>
      </c>
      <c r="K131" s="1">
        <v>493</v>
      </c>
      <c r="L131" s="1">
        <v>0</v>
      </c>
      <c r="M131" s="1">
        <v>0</v>
      </c>
      <c r="N131" s="1">
        <f t="shared" si="5"/>
        <v>493</v>
      </c>
      <c r="O131" s="9">
        <v>582</v>
      </c>
      <c r="P131" s="1">
        <v>4</v>
      </c>
      <c r="Q131" s="1">
        <v>0</v>
      </c>
      <c r="R131" s="12">
        <v>41000</v>
      </c>
      <c r="S131" s="1">
        <v>5225</v>
      </c>
      <c r="T131" s="9" t="s">
        <v>21</v>
      </c>
    </row>
    <row r="132" spans="1:20" x14ac:dyDescent="0.25">
      <c r="A132" s="10" t="s">
        <v>0</v>
      </c>
      <c r="B132" t="b">
        <v>0</v>
      </c>
      <c r="C132" t="b">
        <v>0</v>
      </c>
      <c r="D132" s="1">
        <v>5460</v>
      </c>
      <c r="E132" s="1">
        <v>0</v>
      </c>
      <c r="F132" s="1">
        <v>0</v>
      </c>
      <c r="G132" s="1">
        <v>1188</v>
      </c>
      <c r="H132" s="1">
        <v>0</v>
      </c>
      <c r="I132" s="1">
        <v>3</v>
      </c>
      <c r="J132" s="1">
        <f t="shared" si="6"/>
        <v>6651</v>
      </c>
      <c r="K132" s="1">
        <v>1285</v>
      </c>
      <c r="L132" s="1">
        <v>0</v>
      </c>
      <c r="M132" s="1">
        <v>0</v>
      </c>
      <c r="N132" s="1">
        <f t="shared" si="5"/>
        <v>1285</v>
      </c>
      <c r="O132" s="9">
        <v>994</v>
      </c>
      <c r="P132" s="1">
        <v>4</v>
      </c>
      <c r="Q132" s="1">
        <v>0</v>
      </c>
      <c r="R132" s="12">
        <v>41030</v>
      </c>
      <c r="S132" s="1">
        <v>8934</v>
      </c>
      <c r="T132" s="9" t="s">
        <v>21</v>
      </c>
    </row>
    <row r="133" spans="1:20" x14ac:dyDescent="0.25">
      <c r="A133" s="10" t="s">
        <v>0</v>
      </c>
      <c r="B133" t="b">
        <v>0</v>
      </c>
      <c r="C133" t="b">
        <v>0</v>
      </c>
      <c r="D133" s="1">
        <v>4461</v>
      </c>
      <c r="E133" s="1">
        <v>0</v>
      </c>
      <c r="F133" s="1">
        <v>3</v>
      </c>
      <c r="G133" s="1">
        <v>1415</v>
      </c>
      <c r="H133" s="1">
        <v>0</v>
      </c>
      <c r="I133" s="1">
        <v>0</v>
      </c>
      <c r="J133" s="1">
        <f t="shared" si="6"/>
        <v>5879</v>
      </c>
      <c r="K133" s="1">
        <v>1347</v>
      </c>
      <c r="L133" s="1">
        <v>0</v>
      </c>
      <c r="M133" s="1">
        <v>0</v>
      </c>
      <c r="N133" s="1">
        <f t="shared" si="5"/>
        <v>1347</v>
      </c>
      <c r="O133" s="9">
        <v>459</v>
      </c>
      <c r="P133" s="1">
        <v>9</v>
      </c>
      <c r="Q133" s="1">
        <v>0</v>
      </c>
      <c r="R133" s="12">
        <v>41061</v>
      </c>
      <c r="S133" s="1">
        <v>7694</v>
      </c>
      <c r="T133" s="9" t="s">
        <v>21</v>
      </c>
    </row>
    <row r="134" spans="1:20" x14ac:dyDescent="0.25">
      <c r="A134" s="10" t="s">
        <v>0</v>
      </c>
      <c r="B134" t="b">
        <v>0</v>
      </c>
      <c r="C134" t="b">
        <v>0</v>
      </c>
      <c r="D134" s="1">
        <v>5936</v>
      </c>
      <c r="E134" s="1">
        <v>0</v>
      </c>
      <c r="F134" s="1">
        <v>178</v>
      </c>
      <c r="G134" s="1">
        <v>1400</v>
      </c>
      <c r="H134" s="1">
        <v>0</v>
      </c>
      <c r="I134" s="1">
        <v>0</v>
      </c>
      <c r="J134" s="1">
        <f t="shared" si="6"/>
        <v>7514</v>
      </c>
      <c r="K134" s="1">
        <v>2503</v>
      </c>
      <c r="L134" s="1">
        <v>0</v>
      </c>
      <c r="M134" s="1">
        <v>0</v>
      </c>
      <c r="N134" s="1">
        <f t="shared" si="5"/>
        <v>2503</v>
      </c>
      <c r="O134" s="9">
        <v>717</v>
      </c>
      <c r="P134" s="1">
        <v>11</v>
      </c>
      <c r="Q134" s="1">
        <v>0</v>
      </c>
      <c r="R134" s="12">
        <v>41091</v>
      </c>
      <c r="S134" s="1">
        <v>10745</v>
      </c>
      <c r="T134" s="9" t="s">
        <v>21</v>
      </c>
    </row>
    <row r="135" spans="1:20" x14ac:dyDescent="0.25">
      <c r="A135" s="10" t="s">
        <v>0</v>
      </c>
      <c r="B135" t="b">
        <v>0</v>
      </c>
      <c r="C135" t="b">
        <v>0</v>
      </c>
      <c r="D135" s="1">
        <v>4172</v>
      </c>
      <c r="E135" s="1">
        <v>0</v>
      </c>
      <c r="F135" s="1">
        <v>0</v>
      </c>
      <c r="G135" s="1">
        <v>113</v>
      </c>
      <c r="H135" s="1">
        <v>21</v>
      </c>
      <c r="I135" s="1">
        <v>0</v>
      </c>
      <c r="J135" s="1">
        <f t="shared" si="6"/>
        <v>4306</v>
      </c>
      <c r="K135" s="1">
        <v>2520</v>
      </c>
      <c r="L135" s="1">
        <v>506</v>
      </c>
      <c r="M135" s="1">
        <v>0</v>
      </c>
      <c r="N135" s="1">
        <f t="shared" si="5"/>
        <v>3026</v>
      </c>
      <c r="O135" s="9">
        <v>558</v>
      </c>
      <c r="P135" s="1">
        <v>0</v>
      </c>
      <c r="Q135" s="1">
        <v>0</v>
      </c>
      <c r="R135" s="12">
        <v>41122</v>
      </c>
      <c r="S135" s="1">
        <v>7890</v>
      </c>
      <c r="T135" s="9" t="s">
        <v>21</v>
      </c>
    </row>
    <row r="136" spans="1:20" x14ac:dyDescent="0.25">
      <c r="A136" s="10" t="s">
        <v>0</v>
      </c>
      <c r="B136" t="b">
        <v>0</v>
      </c>
      <c r="C136" t="b">
        <v>0</v>
      </c>
      <c r="D136" s="1">
        <v>3399</v>
      </c>
      <c r="E136" s="1">
        <v>0</v>
      </c>
      <c r="F136" s="1">
        <v>0</v>
      </c>
      <c r="G136" s="1">
        <v>198</v>
      </c>
      <c r="H136" s="1">
        <v>0</v>
      </c>
      <c r="I136" s="1">
        <v>0</v>
      </c>
      <c r="J136" s="1">
        <f t="shared" si="6"/>
        <v>3597</v>
      </c>
      <c r="K136" s="1">
        <v>1282</v>
      </c>
      <c r="L136" s="1">
        <v>238</v>
      </c>
      <c r="M136" s="1">
        <v>0</v>
      </c>
      <c r="N136" s="1">
        <f t="shared" si="5"/>
        <v>1520</v>
      </c>
      <c r="O136" s="9">
        <v>0</v>
      </c>
      <c r="P136" s="1">
        <v>667</v>
      </c>
      <c r="Q136" s="1">
        <v>0</v>
      </c>
      <c r="R136" s="12">
        <v>41153</v>
      </c>
      <c r="S136" s="1">
        <v>5784</v>
      </c>
      <c r="T136" s="9" t="s">
        <v>21</v>
      </c>
    </row>
    <row r="137" spans="1:20" x14ac:dyDescent="0.25">
      <c r="A137" s="10" t="s">
        <v>0</v>
      </c>
      <c r="B137" t="b">
        <v>0</v>
      </c>
      <c r="C137" t="b">
        <v>0</v>
      </c>
      <c r="D137" s="1">
        <v>2590</v>
      </c>
      <c r="E137" s="1">
        <v>0</v>
      </c>
      <c r="F137" s="1">
        <v>0</v>
      </c>
      <c r="G137" s="1">
        <v>193</v>
      </c>
      <c r="H137" s="1">
        <v>0</v>
      </c>
      <c r="I137" s="1">
        <v>0</v>
      </c>
      <c r="J137" s="1">
        <f t="shared" si="6"/>
        <v>2783</v>
      </c>
      <c r="K137" s="1">
        <v>860</v>
      </c>
      <c r="L137" s="1">
        <v>0</v>
      </c>
      <c r="M137" s="1">
        <v>0</v>
      </c>
      <c r="N137" s="1">
        <f t="shared" si="5"/>
        <v>860</v>
      </c>
      <c r="O137" s="9">
        <v>765</v>
      </c>
      <c r="P137" s="1">
        <v>0</v>
      </c>
      <c r="Q137" s="1">
        <v>0</v>
      </c>
      <c r="R137" s="12">
        <v>41183</v>
      </c>
      <c r="S137" s="1">
        <v>4408</v>
      </c>
      <c r="T137" s="9" t="s">
        <v>21</v>
      </c>
    </row>
    <row r="138" spans="1:20" x14ac:dyDescent="0.25">
      <c r="A138" s="10" t="s">
        <v>0</v>
      </c>
      <c r="B138" t="b">
        <v>0</v>
      </c>
      <c r="C138" t="b">
        <v>0</v>
      </c>
      <c r="D138" s="1">
        <v>3241</v>
      </c>
      <c r="E138" s="1">
        <v>0</v>
      </c>
      <c r="F138" s="1">
        <v>0</v>
      </c>
      <c r="G138" s="1">
        <v>255</v>
      </c>
      <c r="H138" s="1">
        <v>0</v>
      </c>
      <c r="I138" s="1">
        <v>0</v>
      </c>
      <c r="J138" s="1">
        <f t="shared" si="6"/>
        <v>3496</v>
      </c>
      <c r="K138" s="1">
        <v>249</v>
      </c>
      <c r="L138" s="1">
        <v>0</v>
      </c>
      <c r="M138" s="1">
        <v>0</v>
      </c>
      <c r="N138" s="1">
        <f t="shared" si="5"/>
        <v>249</v>
      </c>
      <c r="O138" s="9">
        <v>1057</v>
      </c>
      <c r="P138" s="1">
        <v>0</v>
      </c>
      <c r="Q138" s="1">
        <v>0</v>
      </c>
      <c r="R138" s="12">
        <v>41214</v>
      </c>
      <c r="S138" s="1">
        <v>4802</v>
      </c>
      <c r="T138" s="9" t="s">
        <v>21</v>
      </c>
    </row>
    <row r="139" spans="1:20" x14ac:dyDescent="0.25">
      <c r="A139" s="10" t="s">
        <v>0</v>
      </c>
      <c r="B139" t="b">
        <v>0</v>
      </c>
      <c r="C139" t="b">
        <v>0</v>
      </c>
      <c r="D139" s="1">
        <v>920</v>
      </c>
      <c r="E139" s="1">
        <v>0</v>
      </c>
      <c r="F139" s="1">
        <v>0</v>
      </c>
      <c r="G139" s="1">
        <v>10</v>
      </c>
      <c r="H139" s="1">
        <v>0</v>
      </c>
      <c r="I139" s="1">
        <v>0</v>
      </c>
      <c r="J139" s="1">
        <f t="shared" si="6"/>
        <v>930</v>
      </c>
      <c r="K139" s="1">
        <v>48</v>
      </c>
      <c r="L139" s="1">
        <v>0</v>
      </c>
      <c r="M139" s="1">
        <v>0</v>
      </c>
      <c r="N139" s="1">
        <f t="shared" si="5"/>
        <v>48</v>
      </c>
      <c r="O139" s="9">
        <v>297</v>
      </c>
      <c r="P139" s="1">
        <v>0</v>
      </c>
      <c r="Q139" s="1">
        <v>0</v>
      </c>
      <c r="R139" s="12">
        <v>41244</v>
      </c>
      <c r="S139" s="1">
        <v>1275</v>
      </c>
      <c r="T139" s="9" t="s">
        <v>21</v>
      </c>
    </row>
    <row r="140" spans="1:20" x14ac:dyDescent="0.25">
      <c r="A140" s="10" t="s">
        <v>0</v>
      </c>
      <c r="B140" t="b">
        <v>0</v>
      </c>
      <c r="C140" t="b">
        <v>0</v>
      </c>
      <c r="D140" s="1">
        <v>773</v>
      </c>
      <c r="E140" s="1">
        <v>0</v>
      </c>
      <c r="F140" s="1">
        <v>0</v>
      </c>
      <c r="G140" s="1">
        <v>195</v>
      </c>
      <c r="H140" s="1">
        <v>0</v>
      </c>
      <c r="I140" s="1">
        <v>0</v>
      </c>
      <c r="J140" s="1">
        <f t="shared" si="6"/>
        <v>968</v>
      </c>
      <c r="K140" s="1">
        <v>81</v>
      </c>
      <c r="L140" s="1">
        <v>39</v>
      </c>
      <c r="M140" s="1">
        <v>0</v>
      </c>
      <c r="N140" s="1">
        <f t="shared" si="5"/>
        <v>120</v>
      </c>
      <c r="O140" s="9">
        <v>231</v>
      </c>
      <c r="P140" s="1">
        <v>0</v>
      </c>
      <c r="Q140" s="1">
        <v>0</v>
      </c>
      <c r="R140" s="12">
        <v>41275</v>
      </c>
      <c r="S140" s="1">
        <v>1319</v>
      </c>
      <c r="T140" s="9" t="s">
        <v>40</v>
      </c>
    </row>
    <row r="141" spans="1:20" x14ac:dyDescent="0.25">
      <c r="A141" s="10" t="s">
        <v>0</v>
      </c>
      <c r="B141" t="b">
        <v>0</v>
      </c>
      <c r="C141" t="b">
        <v>0</v>
      </c>
      <c r="D141" s="1">
        <v>1249</v>
      </c>
      <c r="E141" s="1">
        <v>0</v>
      </c>
      <c r="F141" s="1">
        <v>0</v>
      </c>
      <c r="G141" s="1">
        <v>296</v>
      </c>
      <c r="H141" s="1">
        <v>0</v>
      </c>
      <c r="I141" s="1">
        <v>0</v>
      </c>
      <c r="J141" s="1">
        <f t="shared" si="6"/>
        <v>1545</v>
      </c>
      <c r="K141" s="1">
        <v>342</v>
      </c>
      <c r="L141" s="1">
        <v>37</v>
      </c>
      <c r="M141" s="1">
        <v>0</v>
      </c>
      <c r="N141" s="1">
        <f t="shared" si="5"/>
        <v>379</v>
      </c>
      <c r="O141" s="9">
        <v>329</v>
      </c>
      <c r="P141" s="1">
        <v>0</v>
      </c>
      <c r="Q141" s="1">
        <v>0</v>
      </c>
      <c r="R141" s="12">
        <v>41306</v>
      </c>
      <c r="S141" s="1">
        <v>2253</v>
      </c>
      <c r="T141" s="9" t="s">
        <v>40</v>
      </c>
    </row>
    <row r="142" spans="1:20" x14ac:dyDescent="0.25">
      <c r="A142" s="10" t="s">
        <v>0</v>
      </c>
      <c r="B142" t="b">
        <v>0</v>
      </c>
      <c r="C142" t="b">
        <v>0</v>
      </c>
      <c r="D142" s="1">
        <v>2740</v>
      </c>
      <c r="E142" s="1">
        <v>0</v>
      </c>
      <c r="F142" s="1">
        <v>0</v>
      </c>
      <c r="G142" s="1">
        <v>595</v>
      </c>
      <c r="H142" s="1">
        <v>0</v>
      </c>
      <c r="I142" s="1">
        <v>0</v>
      </c>
      <c r="J142" s="1">
        <f t="shared" si="6"/>
        <v>3335</v>
      </c>
      <c r="K142" s="1">
        <v>490</v>
      </c>
      <c r="L142" s="1">
        <v>69</v>
      </c>
      <c r="M142" s="1">
        <v>0</v>
      </c>
      <c r="N142" s="1">
        <f t="shared" si="5"/>
        <v>559</v>
      </c>
      <c r="O142" s="9">
        <v>702</v>
      </c>
      <c r="P142" s="1">
        <v>0</v>
      </c>
      <c r="Q142" s="1">
        <v>0</v>
      </c>
      <c r="R142" s="12">
        <v>41334</v>
      </c>
      <c r="S142" s="1">
        <v>4596</v>
      </c>
      <c r="T142" s="9" t="s">
        <v>40</v>
      </c>
    </row>
    <row r="143" spans="1:20" x14ac:dyDescent="0.25">
      <c r="A143" s="10" t="s">
        <v>0</v>
      </c>
      <c r="B143" t="b">
        <v>0</v>
      </c>
      <c r="C143" t="b">
        <v>0</v>
      </c>
      <c r="D143" s="1">
        <v>2224</v>
      </c>
      <c r="E143" s="1">
        <v>0</v>
      </c>
      <c r="F143" s="1">
        <v>0</v>
      </c>
      <c r="G143" s="1">
        <v>569</v>
      </c>
      <c r="H143" s="1">
        <v>0</v>
      </c>
      <c r="I143" s="1">
        <v>0</v>
      </c>
      <c r="J143" s="1">
        <f t="shared" si="6"/>
        <v>2793</v>
      </c>
      <c r="K143" s="1">
        <v>538</v>
      </c>
      <c r="L143" s="1">
        <v>46</v>
      </c>
      <c r="M143" s="1">
        <v>0</v>
      </c>
      <c r="N143" s="1">
        <f t="shared" si="5"/>
        <v>584</v>
      </c>
      <c r="O143" s="9">
        <v>692</v>
      </c>
      <c r="P143" s="1">
        <v>0</v>
      </c>
      <c r="Q143" s="1">
        <v>0</v>
      </c>
      <c r="R143" s="12">
        <v>41365</v>
      </c>
      <c r="S143" s="1">
        <v>4069</v>
      </c>
      <c r="T143" s="9" t="s">
        <v>40</v>
      </c>
    </row>
    <row r="144" spans="1:20" x14ac:dyDescent="0.25">
      <c r="A144" s="10" t="s">
        <v>0</v>
      </c>
      <c r="B144" t="b">
        <v>0</v>
      </c>
      <c r="C144" t="b">
        <v>0</v>
      </c>
      <c r="D144" s="1">
        <v>2490</v>
      </c>
      <c r="E144" s="1">
        <v>0</v>
      </c>
      <c r="F144" s="1">
        <v>0</v>
      </c>
      <c r="G144" s="1">
        <v>205</v>
      </c>
      <c r="H144" s="1">
        <v>0</v>
      </c>
      <c r="I144" s="1">
        <v>0</v>
      </c>
      <c r="J144" s="1">
        <f t="shared" si="6"/>
        <v>2695</v>
      </c>
      <c r="K144" s="1">
        <v>641</v>
      </c>
      <c r="L144" s="1">
        <v>16</v>
      </c>
      <c r="M144" s="1">
        <v>0</v>
      </c>
      <c r="N144" s="1">
        <f t="shared" si="5"/>
        <v>657</v>
      </c>
      <c r="O144" s="9">
        <v>401</v>
      </c>
      <c r="P144" s="1">
        <v>0</v>
      </c>
      <c r="Q144" s="1">
        <v>0</v>
      </c>
      <c r="R144" s="12">
        <v>41395</v>
      </c>
      <c r="S144" s="1">
        <v>3753</v>
      </c>
      <c r="T144" s="9" t="s">
        <v>40</v>
      </c>
    </row>
    <row r="145" spans="1:20" x14ac:dyDescent="0.25">
      <c r="A145" s="10" t="s">
        <v>0</v>
      </c>
      <c r="B145" t="b">
        <v>0</v>
      </c>
      <c r="C145" t="b">
        <v>0</v>
      </c>
      <c r="D145" s="1">
        <v>4714</v>
      </c>
      <c r="E145" s="1">
        <v>0</v>
      </c>
      <c r="F145" s="1">
        <v>0</v>
      </c>
      <c r="G145" s="1">
        <v>216</v>
      </c>
      <c r="H145" s="1">
        <v>0</v>
      </c>
      <c r="I145" s="1">
        <v>0</v>
      </c>
      <c r="J145" s="1">
        <f t="shared" si="6"/>
        <v>4930</v>
      </c>
      <c r="K145" s="1">
        <v>590</v>
      </c>
      <c r="L145" s="1">
        <v>0</v>
      </c>
      <c r="M145" s="1">
        <v>0</v>
      </c>
      <c r="N145" s="1">
        <f t="shared" si="5"/>
        <v>590</v>
      </c>
      <c r="O145" s="9">
        <v>396</v>
      </c>
      <c r="P145" s="1">
        <v>0</v>
      </c>
      <c r="Q145" s="1">
        <v>0</v>
      </c>
      <c r="R145" s="12">
        <v>41426</v>
      </c>
      <c r="S145" s="1">
        <v>5916</v>
      </c>
      <c r="T145" s="9" t="s">
        <v>40</v>
      </c>
    </row>
    <row r="146" spans="1:20" x14ac:dyDescent="0.25">
      <c r="A146" s="10" t="s">
        <v>0</v>
      </c>
      <c r="B146" t="b">
        <v>0</v>
      </c>
      <c r="C146" t="b">
        <v>0</v>
      </c>
      <c r="D146" s="1">
        <v>6376</v>
      </c>
      <c r="E146" s="1">
        <v>0</v>
      </c>
      <c r="F146" s="1">
        <v>0</v>
      </c>
      <c r="G146" s="1">
        <v>299</v>
      </c>
      <c r="H146" s="1">
        <v>0</v>
      </c>
      <c r="I146" s="1">
        <v>0</v>
      </c>
      <c r="J146" s="1">
        <f t="shared" si="6"/>
        <v>6675</v>
      </c>
      <c r="K146" s="1">
        <v>1439</v>
      </c>
      <c r="L146" s="1">
        <v>0</v>
      </c>
      <c r="M146" s="1">
        <v>0</v>
      </c>
      <c r="N146" s="1">
        <f t="shared" si="5"/>
        <v>1439</v>
      </c>
      <c r="O146" s="9">
        <v>482</v>
      </c>
      <c r="P146" s="1">
        <v>0</v>
      </c>
      <c r="Q146" s="1">
        <v>0</v>
      </c>
      <c r="R146" s="12">
        <v>41456</v>
      </c>
      <c r="S146" s="1">
        <v>8596</v>
      </c>
      <c r="T146" s="9" t="s">
        <v>40</v>
      </c>
    </row>
    <row r="147" spans="1:20" x14ac:dyDescent="0.25">
      <c r="A147" s="10" t="s">
        <v>0</v>
      </c>
      <c r="B147" t="b">
        <v>0</v>
      </c>
      <c r="C147" t="b">
        <v>0</v>
      </c>
      <c r="D147" s="1">
        <v>3814</v>
      </c>
      <c r="E147" s="1">
        <v>0</v>
      </c>
      <c r="F147" s="1">
        <v>0</v>
      </c>
      <c r="G147" s="1">
        <v>397</v>
      </c>
      <c r="H147" s="1">
        <v>0</v>
      </c>
      <c r="I147" s="1">
        <v>0</v>
      </c>
      <c r="J147" s="1">
        <f t="shared" si="6"/>
        <v>4211</v>
      </c>
      <c r="K147" s="1">
        <v>1884</v>
      </c>
      <c r="L147" s="1">
        <v>0</v>
      </c>
      <c r="M147" s="1">
        <v>0</v>
      </c>
      <c r="N147" s="1">
        <f t="shared" si="5"/>
        <v>1884</v>
      </c>
      <c r="O147" s="9">
        <v>629</v>
      </c>
      <c r="P147" s="1">
        <v>0</v>
      </c>
      <c r="Q147" s="1">
        <v>0</v>
      </c>
      <c r="R147" s="12">
        <v>41487</v>
      </c>
      <c r="S147" s="1">
        <v>6724</v>
      </c>
      <c r="T147" s="9" t="s">
        <v>40</v>
      </c>
    </row>
    <row r="148" spans="1:20" x14ac:dyDescent="0.25">
      <c r="A148" s="10" t="s">
        <v>0</v>
      </c>
      <c r="B148" t="b">
        <v>0</v>
      </c>
      <c r="C148" t="b">
        <v>0</v>
      </c>
      <c r="D148" s="1">
        <v>3606</v>
      </c>
      <c r="E148" s="1">
        <v>0</v>
      </c>
      <c r="F148" s="1">
        <v>0</v>
      </c>
      <c r="G148" s="1">
        <v>298</v>
      </c>
      <c r="H148" s="1">
        <v>0</v>
      </c>
      <c r="I148" s="1">
        <v>0</v>
      </c>
      <c r="J148" s="1">
        <f t="shared" si="6"/>
        <v>3904</v>
      </c>
      <c r="K148" s="1">
        <v>649</v>
      </c>
      <c r="L148" s="1">
        <v>0</v>
      </c>
      <c r="M148" s="1">
        <v>0</v>
      </c>
      <c r="N148" s="1">
        <f t="shared" si="5"/>
        <v>649</v>
      </c>
      <c r="O148" s="9">
        <v>625</v>
      </c>
      <c r="P148" s="1">
        <v>0</v>
      </c>
      <c r="Q148" s="1">
        <v>0</v>
      </c>
      <c r="R148" s="12">
        <v>41518</v>
      </c>
      <c r="S148" s="1">
        <v>5178</v>
      </c>
      <c r="T148" s="9" t="s">
        <v>40</v>
      </c>
    </row>
    <row r="149" spans="1:20" x14ac:dyDescent="0.25">
      <c r="A149" s="10" t="s">
        <v>0</v>
      </c>
      <c r="B149" t="b">
        <v>0</v>
      </c>
      <c r="C149" t="b">
        <v>0</v>
      </c>
      <c r="D149" s="1">
        <v>4155</v>
      </c>
      <c r="E149" s="1">
        <v>0</v>
      </c>
      <c r="F149" s="1">
        <v>0</v>
      </c>
      <c r="G149" s="1">
        <v>275</v>
      </c>
      <c r="H149" s="1">
        <v>0</v>
      </c>
      <c r="I149" s="1">
        <v>0</v>
      </c>
      <c r="J149" s="1">
        <f t="shared" si="6"/>
        <v>4430</v>
      </c>
      <c r="K149" s="1">
        <v>803</v>
      </c>
      <c r="L149" s="1">
        <v>0</v>
      </c>
      <c r="M149" s="1">
        <v>0</v>
      </c>
      <c r="N149" s="1">
        <f t="shared" si="5"/>
        <v>803</v>
      </c>
      <c r="O149" s="9">
        <v>980</v>
      </c>
      <c r="P149" s="1">
        <v>0</v>
      </c>
      <c r="Q149" s="1">
        <v>0</v>
      </c>
      <c r="R149" s="12">
        <v>41548</v>
      </c>
      <c r="S149" s="1">
        <v>6213</v>
      </c>
      <c r="T149" s="9" t="s">
        <v>40</v>
      </c>
    </row>
    <row r="150" spans="1:20" x14ac:dyDescent="0.25">
      <c r="A150" s="10" t="s">
        <v>0</v>
      </c>
      <c r="B150" t="b">
        <v>0</v>
      </c>
      <c r="C150" t="b">
        <v>0</v>
      </c>
      <c r="D150" s="1">
        <v>5127</v>
      </c>
      <c r="E150" s="1">
        <v>0</v>
      </c>
      <c r="F150" s="1">
        <v>0</v>
      </c>
      <c r="G150" s="1">
        <v>207</v>
      </c>
      <c r="H150" s="1">
        <v>0</v>
      </c>
      <c r="I150" s="1">
        <v>0</v>
      </c>
      <c r="J150" s="1">
        <f t="shared" si="6"/>
        <v>5334</v>
      </c>
      <c r="K150" s="1">
        <v>535</v>
      </c>
      <c r="L150" s="1">
        <v>0</v>
      </c>
      <c r="M150" s="1">
        <v>0</v>
      </c>
      <c r="N150" s="1">
        <f t="shared" si="5"/>
        <v>535</v>
      </c>
      <c r="O150" s="9">
        <v>1597</v>
      </c>
      <c r="P150" s="1">
        <v>0</v>
      </c>
      <c r="Q150" s="1">
        <v>0</v>
      </c>
      <c r="R150" s="12">
        <v>41579</v>
      </c>
      <c r="S150" s="1">
        <v>7466</v>
      </c>
      <c r="T150" s="9" t="s">
        <v>40</v>
      </c>
    </row>
    <row r="151" spans="1:20" x14ac:dyDescent="0.25">
      <c r="A151" s="10" t="s">
        <v>0</v>
      </c>
      <c r="B151" t="b">
        <v>0</v>
      </c>
      <c r="C151" t="b">
        <v>0</v>
      </c>
      <c r="D151" s="1">
        <v>1853</v>
      </c>
      <c r="E151" s="1">
        <v>0</v>
      </c>
      <c r="F151" s="1">
        <v>0</v>
      </c>
      <c r="G151" s="1">
        <v>116</v>
      </c>
      <c r="H151" s="1">
        <v>0</v>
      </c>
      <c r="I151" s="1">
        <v>0</v>
      </c>
      <c r="J151" s="1">
        <f t="shared" si="6"/>
        <v>1969</v>
      </c>
      <c r="K151" s="1">
        <v>143</v>
      </c>
      <c r="L151" s="1">
        <v>0</v>
      </c>
      <c r="M151" s="1">
        <v>0</v>
      </c>
      <c r="N151" s="1">
        <f t="shared" si="5"/>
        <v>143</v>
      </c>
      <c r="O151" s="9">
        <v>599</v>
      </c>
      <c r="P151" s="1">
        <v>0</v>
      </c>
      <c r="Q151" s="1">
        <v>0</v>
      </c>
      <c r="R151" s="12">
        <v>41609</v>
      </c>
      <c r="S151" s="1">
        <v>2711</v>
      </c>
      <c r="T151" s="9" t="s">
        <v>40</v>
      </c>
    </row>
    <row r="152" spans="1:20" x14ac:dyDescent="0.25">
      <c r="A152" s="10" t="s">
        <v>0</v>
      </c>
      <c r="B152" t="b">
        <v>0</v>
      </c>
      <c r="C152" t="b">
        <v>0</v>
      </c>
      <c r="D152" s="1">
        <v>1304</v>
      </c>
      <c r="E152" s="1">
        <v>0</v>
      </c>
      <c r="F152" s="1">
        <v>0</v>
      </c>
      <c r="G152" s="1">
        <v>228</v>
      </c>
      <c r="H152" s="1">
        <v>0</v>
      </c>
      <c r="I152" s="1">
        <v>0</v>
      </c>
      <c r="J152" s="1">
        <f t="shared" si="6"/>
        <v>1532</v>
      </c>
      <c r="K152" s="1">
        <v>254</v>
      </c>
      <c r="L152" s="1">
        <v>0</v>
      </c>
      <c r="M152" s="1">
        <v>0</v>
      </c>
      <c r="N152" s="1">
        <f t="shared" si="5"/>
        <v>254</v>
      </c>
      <c r="O152" s="9">
        <v>363</v>
      </c>
      <c r="P152" s="1">
        <v>0</v>
      </c>
      <c r="Q152" s="1">
        <v>0</v>
      </c>
      <c r="R152" s="12">
        <v>41640</v>
      </c>
      <c r="S152" s="1">
        <v>2149</v>
      </c>
      <c r="T152" s="9" t="s">
        <v>39</v>
      </c>
    </row>
    <row r="153" spans="1:20" x14ac:dyDescent="0.25">
      <c r="A153" s="10" t="s">
        <v>0</v>
      </c>
      <c r="B153" t="b">
        <v>0</v>
      </c>
      <c r="C153" t="b">
        <v>0</v>
      </c>
      <c r="D153" s="1">
        <v>1050</v>
      </c>
      <c r="E153" s="1">
        <v>0</v>
      </c>
      <c r="F153" s="1">
        <v>0</v>
      </c>
      <c r="G153" s="1">
        <v>231</v>
      </c>
      <c r="H153" s="1">
        <v>0</v>
      </c>
      <c r="I153" s="1">
        <v>0</v>
      </c>
      <c r="J153" s="1">
        <f t="shared" si="6"/>
        <v>1281</v>
      </c>
      <c r="K153" s="1">
        <v>235</v>
      </c>
      <c r="L153" s="1">
        <v>0</v>
      </c>
      <c r="M153" s="1">
        <v>0</v>
      </c>
      <c r="N153" s="1">
        <f t="shared" si="5"/>
        <v>235</v>
      </c>
      <c r="O153" s="9">
        <v>276</v>
      </c>
      <c r="P153" s="1">
        <v>0</v>
      </c>
      <c r="Q153" s="1">
        <v>0</v>
      </c>
      <c r="R153" s="12">
        <v>41671</v>
      </c>
      <c r="S153" s="1">
        <v>1792</v>
      </c>
      <c r="T153" s="9" t="s">
        <v>39</v>
      </c>
    </row>
    <row r="154" spans="1:20" x14ac:dyDescent="0.25">
      <c r="A154" s="10" t="s">
        <v>0</v>
      </c>
      <c r="B154" t="b">
        <v>0</v>
      </c>
      <c r="C154" t="b">
        <v>0</v>
      </c>
      <c r="D154" s="1">
        <v>1753</v>
      </c>
      <c r="E154" s="1">
        <v>0</v>
      </c>
      <c r="F154" s="1">
        <v>0</v>
      </c>
      <c r="G154" s="1">
        <v>554</v>
      </c>
      <c r="H154" s="1">
        <v>0</v>
      </c>
      <c r="I154" s="1">
        <v>0</v>
      </c>
      <c r="J154" s="1">
        <f t="shared" si="6"/>
        <v>2307</v>
      </c>
      <c r="K154" s="1">
        <v>636</v>
      </c>
      <c r="L154" s="1">
        <v>0</v>
      </c>
      <c r="M154" s="1">
        <v>0</v>
      </c>
      <c r="N154" s="1">
        <f t="shared" si="5"/>
        <v>636</v>
      </c>
      <c r="O154" s="9">
        <v>409</v>
      </c>
      <c r="P154" s="1">
        <v>0</v>
      </c>
      <c r="Q154" s="1">
        <v>0</v>
      </c>
      <c r="R154" s="12">
        <v>41699</v>
      </c>
      <c r="S154" s="1">
        <v>3352</v>
      </c>
      <c r="T154" s="9" t="s">
        <v>39</v>
      </c>
    </row>
    <row r="155" spans="1:20" x14ac:dyDescent="0.25">
      <c r="A155" s="10" t="s">
        <v>0</v>
      </c>
      <c r="B155" t="b">
        <v>0</v>
      </c>
      <c r="C155" t="b">
        <v>0</v>
      </c>
      <c r="D155" s="1">
        <v>2803</v>
      </c>
      <c r="E155" s="1">
        <v>0</v>
      </c>
      <c r="F155" s="1">
        <v>0</v>
      </c>
      <c r="G155" s="1">
        <v>598</v>
      </c>
      <c r="H155" s="1">
        <v>0</v>
      </c>
      <c r="I155" s="1">
        <v>0</v>
      </c>
      <c r="J155" s="1">
        <f t="shared" si="6"/>
        <v>3401</v>
      </c>
      <c r="K155" s="1">
        <v>1683</v>
      </c>
      <c r="L155" s="1">
        <v>0</v>
      </c>
      <c r="M155" s="1">
        <v>0</v>
      </c>
      <c r="N155" s="1">
        <f t="shared" si="5"/>
        <v>1683</v>
      </c>
      <c r="O155" s="9">
        <v>637</v>
      </c>
      <c r="P155" s="1">
        <v>0</v>
      </c>
      <c r="Q155" s="1">
        <v>0</v>
      </c>
      <c r="R155" s="12">
        <v>41730</v>
      </c>
      <c r="S155" s="1">
        <v>5721</v>
      </c>
      <c r="T155" s="9" t="s">
        <v>39</v>
      </c>
    </row>
    <row r="156" spans="1:20" x14ac:dyDescent="0.25">
      <c r="A156" s="10" t="s">
        <v>0</v>
      </c>
      <c r="B156" t="b">
        <v>0</v>
      </c>
      <c r="C156" t="b">
        <v>0</v>
      </c>
      <c r="D156" s="1">
        <v>4906</v>
      </c>
      <c r="E156" s="1">
        <v>0</v>
      </c>
      <c r="F156" s="1">
        <v>0</v>
      </c>
      <c r="G156" s="1">
        <v>1232</v>
      </c>
      <c r="H156" s="1">
        <v>0</v>
      </c>
      <c r="I156" s="1">
        <v>0</v>
      </c>
      <c r="J156" s="1">
        <f t="shared" si="6"/>
        <v>6138</v>
      </c>
      <c r="K156" s="1">
        <v>2582</v>
      </c>
      <c r="L156" s="1">
        <v>0</v>
      </c>
      <c r="M156" s="1">
        <v>0</v>
      </c>
      <c r="N156" s="1">
        <f t="shared" si="5"/>
        <v>2582</v>
      </c>
      <c r="O156" s="9">
        <v>619</v>
      </c>
      <c r="P156" s="1">
        <v>0</v>
      </c>
      <c r="Q156" s="1">
        <v>0</v>
      </c>
      <c r="R156" s="12">
        <v>41760</v>
      </c>
      <c r="S156" s="1">
        <v>9339</v>
      </c>
      <c r="T156" s="9" t="s">
        <v>39</v>
      </c>
    </row>
    <row r="157" spans="1:20" x14ac:dyDescent="0.25">
      <c r="A157" s="10" t="s">
        <v>0</v>
      </c>
      <c r="B157" t="b">
        <v>0</v>
      </c>
      <c r="C157" t="b">
        <v>0</v>
      </c>
      <c r="D157" s="1">
        <v>5695</v>
      </c>
      <c r="E157" s="1">
        <v>0</v>
      </c>
      <c r="F157" s="1">
        <v>0</v>
      </c>
      <c r="G157" s="1">
        <v>675</v>
      </c>
      <c r="H157" s="1">
        <v>0</v>
      </c>
      <c r="I157" s="1">
        <v>0</v>
      </c>
      <c r="J157" s="1">
        <f t="shared" si="6"/>
        <v>6370</v>
      </c>
      <c r="K157" s="1">
        <v>3903</v>
      </c>
      <c r="L157" s="1">
        <v>0</v>
      </c>
      <c r="M157" s="1">
        <v>0</v>
      </c>
      <c r="N157" s="1">
        <f t="shared" si="5"/>
        <v>3903</v>
      </c>
      <c r="O157" s="9">
        <v>432</v>
      </c>
      <c r="P157" s="1">
        <v>0</v>
      </c>
      <c r="Q157" s="1">
        <v>0</v>
      </c>
      <c r="R157" s="12">
        <v>41791</v>
      </c>
      <c r="S157" s="1">
        <v>10705</v>
      </c>
      <c r="T157" s="9" t="s">
        <v>39</v>
      </c>
    </row>
    <row r="158" spans="1:20" x14ac:dyDescent="0.25">
      <c r="A158" s="10" t="s">
        <v>0</v>
      </c>
      <c r="B158" t="b">
        <v>0</v>
      </c>
      <c r="C158" t="b">
        <v>0</v>
      </c>
      <c r="D158" s="1">
        <v>7288</v>
      </c>
      <c r="E158" s="1">
        <v>0</v>
      </c>
      <c r="F158" s="1">
        <v>0</v>
      </c>
      <c r="G158" s="1">
        <v>523</v>
      </c>
      <c r="H158" s="1">
        <v>0</v>
      </c>
      <c r="I158" s="1">
        <v>0</v>
      </c>
      <c r="J158" s="1">
        <f t="shared" si="6"/>
        <v>7811</v>
      </c>
      <c r="K158" s="1">
        <v>5561</v>
      </c>
      <c r="L158" s="1">
        <v>0</v>
      </c>
      <c r="M158" s="1">
        <v>0</v>
      </c>
      <c r="N158" s="1">
        <f t="shared" ref="N158:N221" si="7">K158+L158+M158</f>
        <v>5561</v>
      </c>
      <c r="O158" s="9">
        <v>550</v>
      </c>
      <c r="P158" s="1">
        <v>0</v>
      </c>
      <c r="Q158" s="1">
        <v>0</v>
      </c>
      <c r="R158" s="12">
        <v>41821</v>
      </c>
      <c r="S158" s="1">
        <v>13922</v>
      </c>
      <c r="T158" s="9" t="s">
        <v>39</v>
      </c>
    </row>
    <row r="159" spans="1:20" x14ac:dyDescent="0.25">
      <c r="A159" s="10" t="s">
        <v>0</v>
      </c>
      <c r="B159" t="b">
        <v>0</v>
      </c>
      <c r="C159" t="b">
        <v>0</v>
      </c>
      <c r="D159" s="1">
        <v>6841</v>
      </c>
      <c r="E159" s="1">
        <v>0</v>
      </c>
      <c r="F159" s="1">
        <v>0</v>
      </c>
      <c r="G159" s="1">
        <v>614</v>
      </c>
      <c r="H159" s="1">
        <v>0</v>
      </c>
      <c r="I159" s="1">
        <v>0</v>
      </c>
      <c r="J159" s="1">
        <f t="shared" si="6"/>
        <v>7455</v>
      </c>
      <c r="K159" s="1">
        <v>6378</v>
      </c>
      <c r="L159" s="1">
        <v>0</v>
      </c>
      <c r="M159" s="1">
        <v>0</v>
      </c>
      <c r="N159" s="1">
        <f t="shared" si="7"/>
        <v>6378</v>
      </c>
      <c r="O159" s="9">
        <v>674</v>
      </c>
      <c r="P159" s="1">
        <v>0</v>
      </c>
      <c r="Q159" s="1">
        <v>0</v>
      </c>
      <c r="R159" s="12">
        <v>41852</v>
      </c>
      <c r="S159" s="1">
        <v>14507</v>
      </c>
      <c r="T159" s="9" t="s">
        <v>39</v>
      </c>
    </row>
    <row r="160" spans="1:20" x14ac:dyDescent="0.25">
      <c r="A160" s="10" t="s">
        <v>0</v>
      </c>
      <c r="B160" t="b">
        <v>0</v>
      </c>
      <c r="C160" t="b">
        <v>0</v>
      </c>
      <c r="D160" s="1">
        <v>2578</v>
      </c>
      <c r="E160" s="1">
        <v>0</v>
      </c>
      <c r="F160" s="1">
        <v>0</v>
      </c>
      <c r="G160" s="1">
        <v>809</v>
      </c>
      <c r="H160" s="1">
        <v>0</v>
      </c>
      <c r="I160" s="1">
        <v>0</v>
      </c>
      <c r="J160" s="1">
        <f t="shared" si="6"/>
        <v>3387</v>
      </c>
      <c r="K160" s="1">
        <v>601</v>
      </c>
      <c r="L160" s="1">
        <v>0</v>
      </c>
      <c r="M160" s="1">
        <v>0</v>
      </c>
      <c r="N160" s="1">
        <f t="shared" si="7"/>
        <v>601</v>
      </c>
      <c r="O160" s="9">
        <v>0</v>
      </c>
      <c r="P160" s="1">
        <v>0</v>
      </c>
      <c r="Q160" s="1">
        <v>0</v>
      </c>
      <c r="R160" s="12">
        <v>41883</v>
      </c>
      <c r="S160" s="1">
        <v>3988</v>
      </c>
      <c r="T160" s="9" t="s">
        <v>39</v>
      </c>
    </row>
    <row r="161" spans="1:20" x14ac:dyDescent="0.25">
      <c r="A161" s="10" t="s">
        <v>0</v>
      </c>
      <c r="B161" t="b">
        <v>0</v>
      </c>
      <c r="C161" t="b">
        <v>0</v>
      </c>
      <c r="D161" s="1">
        <v>3800</v>
      </c>
      <c r="E161" s="1">
        <v>0</v>
      </c>
      <c r="F161" s="1">
        <v>0</v>
      </c>
      <c r="G161" s="1">
        <v>658</v>
      </c>
      <c r="H161" s="1">
        <v>0</v>
      </c>
      <c r="I161" s="1">
        <v>0</v>
      </c>
      <c r="J161" s="1">
        <f t="shared" si="6"/>
        <v>4458</v>
      </c>
      <c r="K161" s="1">
        <v>1372</v>
      </c>
      <c r="L161" s="1">
        <v>0</v>
      </c>
      <c r="M161" s="1">
        <v>0</v>
      </c>
      <c r="N161" s="1">
        <f t="shared" si="7"/>
        <v>1372</v>
      </c>
      <c r="O161" s="9">
        <v>848</v>
      </c>
      <c r="P161" s="1">
        <v>0</v>
      </c>
      <c r="Q161" s="1">
        <v>0</v>
      </c>
      <c r="R161" s="12">
        <v>41913</v>
      </c>
      <c r="S161" s="1">
        <v>6678</v>
      </c>
      <c r="T161" s="9" t="s">
        <v>39</v>
      </c>
    </row>
    <row r="162" spans="1:20" x14ac:dyDescent="0.25">
      <c r="A162" s="10" t="s">
        <v>0</v>
      </c>
      <c r="B162" t="b">
        <v>0</v>
      </c>
      <c r="C162" t="b">
        <v>0</v>
      </c>
      <c r="D162" s="1">
        <v>3409</v>
      </c>
      <c r="E162" s="1">
        <v>0</v>
      </c>
      <c r="F162" s="1">
        <v>0</v>
      </c>
      <c r="G162" s="1">
        <v>771</v>
      </c>
      <c r="H162" s="1">
        <v>0</v>
      </c>
      <c r="I162" s="1">
        <v>0</v>
      </c>
      <c r="J162" s="1">
        <f t="shared" si="6"/>
        <v>4180</v>
      </c>
      <c r="K162" s="1">
        <v>812</v>
      </c>
      <c r="L162" s="1">
        <v>0</v>
      </c>
      <c r="M162" s="1">
        <v>0</v>
      </c>
      <c r="N162" s="1">
        <f t="shared" si="7"/>
        <v>812</v>
      </c>
      <c r="O162" s="9">
        <v>1070</v>
      </c>
      <c r="P162" s="1">
        <v>0</v>
      </c>
      <c r="Q162" s="1">
        <v>0</v>
      </c>
      <c r="R162" s="12">
        <v>41944</v>
      </c>
      <c r="S162" s="1">
        <v>6062</v>
      </c>
      <c r="T162" s="9" t="s">
        <v>39</v>
      </c>
    </row>
    <row r="163" spans="1:20" x14ac:dyDescent="0.25">
      <c r="A163" s="10" t="s">
        <v>0</v>
      </c>
      <c r="B163" t="b">
        <v>0</v>
      </c>
      <c r="C163" t="b">
        <v>0</v>
      </c>
      <c r="D163" s="1">
        <v>1174</v>
      </c>
      <c r="E163" s="1">
        <v>0</v>
      </c>
      <c r="F163" s="1">
        <v>0</v>
      </c>
      <c r="G163" s="1">
        <v>281</v>
      </c>
      <c r="H163" s="1">
        <v>0</v>
      </c>
      <c r="I163" s="1">
        <v>0</v>
      </c>
      <c r="J163" s="1">
        <f t="shared" si="6"/>
        <v>1455</v>
      </c>
      <c r="K163" s="1">
        <v>218</v>
      </c>
      <c r="L163" s="1">
        <v>0</v>
      </c>
      <c r="M163" s="1">
        <v>0</v>
      </c>
      <c r="N163" s="1">
        <f t="shared" si="7"/>
        <v>218</v>
      </c>
      <c r="O163" s="9">
        <v>396</v>
      </c>
      <c r="P163" s="1">
        <v>0</v>
      </c>
      <c r="Q163" s="1">
        <v>0</v>
      </c>
      <c r="R163" s="12">
        <v>41974</v>
      </c>
      <c r="S163" s="1">
        <v>2069</v>
      </c>
      <c r="T163" s="9" t="s">
        <v>39</v>
      </c>
    </row>
    <row r="164" spans="1:20" x14ac:dyDescent="0.25">
      <c r="A164" s="10" t="s">
        <v>0</v>
      </c>
      <c r="B164" t="b">
        <v>0</v>
      </c>
      <c r="C164" t="b">
        <v>0</v>
      </c>
      <c r="D164" s="1">
        <v>1274</v>
      </c>
      <c r="E164" s="1">
        <v>0</v>
      </c>
      <c r="F164" s="1">
        <v>0</v>
      </c>
      <c r="G164" s="1">
        <v>377</v>
      </c>
      <c r="H164" s="1">
        <v>0</v>
      </c>
      <c r="I164" s="1">
        <v>0</v>
      </c>
      <c r="J164" s="1">
        <f t="shared" si="6"/>
        <v>1651</v>
      </c>
      <c r="K164" s="1">
        <v>269</v>
      </c>
      <c r="L164" s="1">
        <v>0</v>
      </c>
      <c r="M164" s="1">
        <v>0</v>
      </c>
      <c r="N164" s="1">
        <f t="shared" si="7"/>
        <v>269</v>
      </c>
      <c r="O164" s="9">
        <v>368</v>
      </c>
      <c r="P164" s="1">
        <v>0</v>
      </c>
      <c r="Q164" s="1">
        <v>0</v>
      </c>
      <c r="R164" s="12">
        <v>42005</v>
      </c>
      <c r="S164" s="1">
        <v>2288</v>
      </c>
      <c r="T164" s="9" t="s">
        <v>39</v>
      </c>
    </row>
    <row r="165" spans="1:20" x14ac:dyDescent="0.25">
      <c r="A165" s="10" t="s">
        <v>0</v>
      </c>
      <c r="B165" t="b">
        <v>0</v>
      </c>
      <c r="C165" t="b">
        <v>0</v>
      </c>
      <c r="D165" s="1">
        <v>1170</v>
      </c>
      <c r="E165" s="1">
        <v>0</v>
      </c>
      <c r="F165" s="1">
        <v>0</v>
      </c>
      <c r="G165" s="1">
        <v>384</v>
      </c>
      <c r="H165" s="1">
        <v>0</v>
      </c>
      <c r="I165" s="1">
        <v>0</v>
      </c>
      <c r="J165" s="1">
        <f t="shared" si="6"/>
        <v>1554</v>
      </c>
      <c r="K165" s="1">
        <v>899</v>
      </c>
      <c r="L165" s="1">
        <v>0</v>
      </c>
      <c r="M165" s="1">
        <v>0</v>
      </c>
      <c r="N165" s="1">
        <f t="shared" si="7"/>
        <v>899</v>
      </c>
      <c r="O165" s="9">
        <v>264</v>
      </c>
      <c r="P165" s="1">
        <v>0</v>
      </c>
      <c r="Q165" s="1">
        <v>0</v>
      </c>
      <c r="R165" s="12">
        <v>42036</v>
      </c>
      <c r="S165" s="1">
        <v>2717</v>
      </c>
      <c r="T165" s="9" t="s">
        <v>39</v>
      </c>
    </row>
    <row r="166" spans="1:20" x14ac:dyDescent="0.25">
      <c r="A166" s="10" t="s">
        <v>0</v>
      </c>
      <c r="B166" t="b">
        <v>0</v>
      </c>
      <c r="C166" t="b">
        <v>0</v>
      </c>
      <c r="D166" s="1">
        <v>2834</v>
      </c>
      <c r="E166" s="1">
        <v>0</v>
      </c>
      <c r="F166" s="1">
        <v>0</v>
      </c>
      <c r="G166" s="1">
        <v>802</v>
      </c>
      <c r="H166" s="1">
        <v>0</v>
      </c>
      <c r="I166" s="1">
        <v>0</v>
      </c>
      <c r="J166" s="1">
        <f t="shared" si="6"/>
        <v>3636</v>
      </c>
      <c r="K166" s="1">
        <v>1064</v>
      </c>
      <c r="L166" s="1">
        <v>0</v>
      </c>
      <c r="M166" s="1">
        <v>0</v>
      </c>
      <c r="N166" s="1">
        <f t="shared" si="7"/>
        <v>1064</v>
      </c>
      <c r="O166" s="9">
        <v>697</v>
      </c>
      <c r="P166" s="1">
        <v>0</v>
      </c>
      <c r="Q166" s="1">
        <v>0</v>
      </c>
      <c r="R166" s="12">
        <v>42064</v>
      </c>
      <c r="S166" s="1">
        <v>5397</v>
      </c>
      <c r="T166" s="9" t="s">
        <v>39</v>
      </c>
    </row>
    <row r="167" spans="1:20" x14ac:dyDescent="0.25">
      <c r="A167" s="10" t="s">
        <v>0</v>
      </c>
      <c r="B167" t="b">
        <v>0</v>
      </c>
      <c r="C167" t="b">
        <v>0</v>
      </c>
      <c r="D167" s="1">
        <v>3458</v>
      </c>
      <c r="E167" s="1">
        <v>0</v>
      </c>
      <c r="F167" s="1">
        <v>0</v>
      </c>
      <c r="G167" s="1">
        <v>838</v>
      </c>
      <c r="H167" s="1">
        <v>0</v>
      </c>
      <c r="I167" s="1">
        <v>0</v>
      </c>
      <c r="J167" s="1">
        <f t="shared" si="6"/>
        <v>4296</v>
      </c>
      <c r="K167" s="1">
        <v>2094</v>
      </c>
      <c r="L167" s="1">
        <v>0</v>
      </c>
      <c r="M167" s="1">
        <v>0</v>
      </c>
      <c r="N167" s="1">
        <f t="shared" si="7"/>
        <v>2094</v>
      </c>
      <c r="O167" s="9">
        <v>774</v>
      </c>
      <c r="P167" s="1">
        <v>0</v>
      </c>
      <c r="Q167" s="1">
        <v>0</v>
      </c>
      <c r="R167" s="12">
        <v>42095</v>
      </c>
      <c r="S167" s="1">
        <v>7164</v>
      </c>
      <c r="T167" s="9" t="s">
        <v>39</v>
      </c>
    </row>
    <row r="168" spans="1:20" x14ac:dyDescent="0.25">
      <c r="A168" s="10" t="s">
        <v>0</v>
      </c>
      <c r="B168" t="b">
        <v>0</v>
      </c>
      <c r="C168" t="b">
        <v>0</v>
      </c>
      <c r="D168" s="1">
        <v>4068</v>
      </c>
      <c r="E168" s="1">
        <v>0</v>
      </c>
      <c r="F168" s="1">
        <v>0</v>
      </c>
      <c r="G168" s="1">
        <v>802</v>
      </c>
      <c r="H168" s="1">
        <v>0</v>
      </c>
      <c r="I168" s="1">
        <v>0</v>
      </c>
      <c r="J168" s="1">
        <f t="shared" si="6"/>
        <v>4870</v>
      </c>
      <c r="K168" s="1">
        <v>2736</v>
      </c>
      <c r="L168" s="1">
        <v>0</v>
      </c>
      <c r="M168" s="1">
        <v>0</v>
      </c>
      <c r="N168" s="1">
        <f t="shared" si="7"/>
        <v>2736</v>
      </c>
      <c r="O168" s="9">
        <v>586</v>
      </c>
      <c r="P168" s="1">
        <v>0</v>
      </c>
      <c r="Q168" s="1">
        <v>0</v>
      </c>
      <c r="R168" s="12">
        <v>42125</v>
      </c>
      <c r="S168" s="1">
        <v>8192</v>
      </c>
      <c r="T168" s="9" t="s">
        <v>39</v>
      </c>
    </row>
    <row r="169" spans="1:20" x14ac:dyDescent="0.25">
      <c r="A169" s="10" t="s">
        <v>0</v>
      </c>
      <c r="B169" t="b">
        <v>0</v>
      </c>
      <c r="C169" t="b">
        <v>0</v>
      </c>
      <c r="D169" s="1">
        <v>5012</v>
      </c>
      <c r="E169" s="1">
        <v>0</v>
      </c>
      <c r="F169" s="1">
        <v>0</v>
      </c>
      <c r="G169" s="1">
        <v>353</v>
      </c>
      <c r="H169" s="1">
        <v>0</v>
      </c>
      <c r="I169" s="1">
        <v>0</v>
      </c>
      <c r="J169" s="1">
        <f t="shared" si="6"/>
        <v>5365</v>
      </c>
      <c r="K169" s="1">
        <v>2979</v>
      </c>
      <c r="L169" s="1">
        <v>0</v>
      </c>
      <c r="M169" s="1">
        <v>0</v>
      </c>
      <c r="N169" s="1">
        <f t="shared" si="7"/>
        <v>2979</v>
      </c>
      <c r="O169" s="9">
        <v>411</v>
      </c>
      <c r="P169" s="1">
        <v>0</v>
      </c>
      <c r="Q169" s="1">
        <v>0</v>
      </c>
      <c r="R169" s="12">
        <v>42156</v>
      </c>
      <c r="S169" s="1">
        <v>8755</v>
      </c>
      <c r="T169" s="9" t="s">
        <v>39</v>
      </c>
    </row>
    <row r="170" spans="1:20" x14ac:dyDescent="0.25">
      <c r="A170" s="10" t="s">
        <v>0</v>
      </c>
      <c r="B170" t="b">
        <v>0</v>
      </c>
      <c r="C170" t="b">
        <v>0</v>
      </c>
      <c r="D170" s="1">
        <v>5440</v>
      </c>
      <c r="E170" s="1">
        <v>0</v>
      </c>
      <c r="F170" s="1">
        <v>0</v>
      </c>
      <c r="G170" s="1">
        <v>370</v>
      </c>
      <c r="H170" s="1">
        <v>0</v>
      </c>
      <c r="I170" s="1">
        <v>0</v>
      </c>
      <c r="J170" s="1">
        <f t="shared" si="6"/>
        <v>5810</v>
      </c>
      <c r="K170" s="1">
        <v>4746</v>
      </c>
      <c r="L170" s="1">
        <v>0</v>
      </c>
      <c r="M170" s="1">
        <v>0</v>
      </c>
      <c r="N170" s="1">
        <f t="shared" si="7"/>
        <v>4746</v>
      </c>
      <c r="O170" s="9">
        <v>546</v>
      </c>
      <c r="P170" s="1">
        <v>0</v>
      </c>
      <c r="Q170" s="1">
        <v>0</v>
      </c>
      <c r="R170" s="12">
        <v>42186</v>
      </c>
      <c r="S170" s="1">
        <v>11102</v>
      </c>
      <c r="T170" s="9" t="s">
        <v>39</v>
      </c>
    </row>
    <row r="171" spans="1:20" x14ac:dyDescent="0.25">
      <c r="A171" s="10" t="s">
        <v>0</v>
      </c>
      <c r="B171" t="b">
        <v>0</v>
      </c>
      <c r="C171" t="b">
        <v>0</v>
      </c>
      <c r="D171" s="1">
        <v>4875</v>
      </c>
      <c r="E171" s="1">
        <v>0</v>
      </c>
      <c r="F171" s="1">
        <v>0</v>
      </c>
      <c r="G171" s="1">
        <v>485</v>
      </c>
      <c r="H171" s="1">
        <v>0</v>
      </c>
      <c r="I171" s="1">
        <v>0</v>
      </c>
      <c r="J171" s="1">
        <f t="shared" si="6"/>
        <v>5360</v>
      </c>
      <c r="K171" s="1">
        <v>3839</v>
      </c>
      <c r="L171" s="1">
        <v>0</v>
      </c>
      <c r="M171" s="1">
        <v>0</v>
      </c>
      <c r="N171" s="1">
        <f t="shared" si="7"/>
        <v>3839</v>
      </c>
      <c r="O171" s="9">
        <v>607</v>
      </c>
      <c r="P171" s="1">
        <v>0</v>
      </c>
      <c r="Q171" s="1">
        <v>0</v>
      </c>
      <c r="R171" s="12">
        <v>42217</v>
      </c>
      <c r="S171" s="1">
        <v>9806</v>
      </c>
      <c r="T171" s="9" t="s">
        <v>39</v>
      </c>
    </row>
    <row r="172" spans="1:20" x14ac:dyDescent="0.25">
      <c r="A172" s="10" t="s">
        <v>0</v>
      </c>
      <c r="B172" t="b">
        <v>0</v>
      </c>
      <c r="C172" t="b">
        <v>0</v>
      </c>
      <c r="D172" s="1">
        <v>4309</v>
      </c>
      <c r="E172" s="1">
        <v>0</v>
      </c>
      <c r="F172" s="1">
        <v>0</v>
      </c>
      <c r="G172" s="1">
        <v>766</v>
      </c>
      <c r="H172" s="1">
        <v>0</v>
      </c>
      <c r="I172" s="1">
        <v>0</v>
      </c>
      <c r="J172" s="1">
        <f t="shared" si="6"/>
        <v>5075</v>
      </c>
      <c r="K172" s="1">
        <v>2369</v>
      </c>
      <c r="L172" s="1">
        <v>0</v>
      </c>
      <c r="M172" s="1">
        <v>0</v>
      </c>
      <c r="N172" s="1">
        <f t="shared" si="7"/>
        <v>2369</v>
      </c>
      <c r="O172" s="9">
        <v>761</v>
      </c>
      <c r="P172" s="1">
        <v>0</v>
      </c>
      <c r="Q172" s="1">
        <v>0</v>
      </c>
      <c r="R172" s="12">
        <v>42248</v>
      </c>
      <c r="S172" s="1">
        <v>8205</v>
      </c>
      <c r="T172" s="9" t="s">
        <v>39</v>
      </c>
    </row>
    <row r="173" spans="1:20" x14ac:dyDescent="0.25">
      <c r="A173" s="10" t="s">
        <v>0</v>
      </c>
      <c r="B173" t="b">
        <v>0</v>
      </c>
      <c r="C173" t="b">
        <v>0</v>
      </c>
      <c r="D173" s="1">
        <v>3522</v>
      </c>
      <c r="E173" s="1">
        <v>0</v>
      </c>
      <c r="F173" s="1">
        <v>0</v>
      </c>
      <c r="G173" s="1">
        <v>806</v>
      </c>
      <c r="H173" s="1">
        <v>0</v>
      </c>
      <c r="I173" s="1">
        <v>0</v>
      </c>
      <c r="J173" s="1">
        <f t="shared" si="6"/>
        <v>4328</v>
      </c>
      <c r="K173" s="1">
        <v>1848</v>
      </c>
      <c r="L173" s="1">
        <v>0</v>
      </c>
      <c r="M173" s="1">
        <v>0</v>
      </c>
      <c r="N173" s="1">
        <f t="shared" si="7"/>
        <v>1848</v>
      </c>
      <c r="O173" s="9">
        <v>925</v>
      </c>
      <c r="P173" s="1">
        <v>0</v>
      </c>
      <c r="Q173" s="1">
        <v>0</v>
      </c>
      <c r="R173" s="12">
        <v>42278</v>
      </c>
      <c r="S173" s="1">
        <v>7101</v>
      </c>
      <c r="T173" s="9" t="s">
        <v>39</v>
      </c>
    </row>
    <row r="174" spans="1:20" x14ac:dyDescent="0.25">
      <c r="A174" s="10" t="s">
        <v>0</v>
      </c>
      <c r="B174" t="b">
        <v>0</v>
      </c>
      <c r="C174" t="b">
        <v>0</v>
      </c>
      <c r="D174" s="1">
        <v>3060</v>
      </c>
      <c r="E174" s="1">
        <v>0</v>
      </c>
      <c r="F174" s="1">
        <v>0</v>
      </c>
      <c r="G174" s="1">
        <v>852</v>
      </c>
      <c r="H174" s="1">
        <v>0</v>
      </c>
      <c r="I174" s="1">
        <v>0</v>
      </c>
      <c r="J174" s="1">
        <f t="shared" si="6"/>
        <v>3912</v>
      </c>
      <c r="K174" s="1">
        <v>1022</v>
      </c>
      <c r="L174" s="1">
        <v>0</v>
      </c>
      <c r="M174" s="1">
        <v>0</v>
      </c>
      <c r="N174" s="1">
        <f t="shared" si="7"/>
        <v>1022</v>
      </c>
      <c r="O174" s="9">
        <v>966</v>
      </c>
      <c r="P174" s="1">
        <v>0</v>
      </c>
      <c r="Q174" s="1">
        <v>0</v>
      </c>
      <c r="R174" s="12">
        <v>42309</v>
      </c>
      <c r="S174" s="1">
        <v>5900</v>
      </c>
      <c r="T174" s="9" t="s">
        <v>39</v>
      </c>
    </row>
    <row r="175" spans="1:20" x14ac:dyDescent="0.25">
      <c r="A175" s="10" t="s">
        <v>0</v>
      </c>
      <c r="B175" t="b">
        <v>0</v>
      </c>
      <c r="C175" t="b">
        <v>0</v>
      </c>
      <c r="D175" s="1">
        <v>1266</v>
      </c>
      <c r="E175" s="1">
        <v>0</v>
      </c>
      <c r="F175" s="1">
        <v>0</v>
      </c>
      <c r="G175" s="1">
        <v>422</v>
      </c>
      <c r="H175" s="1">
        <v>0</v>
      </c>
      <c r="I175" s="1">
        <v>0</v>
      </c>
      <c r="J175" s="1">
        <f t="shared" si="6"/>
        <v>1688</v>
      </c>
      <c r="K175" s="1">
        <v>143</v>
      </c>
      <c r="L175" s="1">
        <v>0</v>
      </c>
      <c r="M175" s="1">
        <v>0</v>
      </c>
      <c r="N175" s="1">
        <f t="shared" si="7"/>
        <v>143</v>
      </c>
      <c r="O175" s="9">
        <v>364</v>
      </c>
      <c r="P175" s="1">
        <v>0</v>
      </c>
      <c r="Q175" s="1">
        <v>0</v>
      </c>
      <c r="R175" s="12">
        <v>42339</v>
      </c>
      <c r="S175" s="1">
        <v>2195</v>
      </c>
      <c r="T175" s="9" t="s">
        <v>39</v>
      </c>
    </row>
    <row r="176" spans="1:20" x14ac:dyDescent="0.25">
      <c r="A176" s="10" t="s">
        <v>0</v>
      </c>
      <c r="B176" t="b">
        <v>0</v>
      </c>
      <c r="C176" t="b">
        <v>0</v>
      </c>
      <c r="D176" s="1">
        <v>1132</v>
      </c>
      <c r="E176" s="1">
        <v>0</v>
      </c>
      <c r="F176" s="1">
        <v>0</v>
      </c>
      <c r="G176" s="1">
        <v>387</v>
      </c>
      <c r="H176" s="1">
        <v>0</v>
      </c>
      <c r="I176" s="1">
        <v>0</v>
      </c>
      <c r="J176" s="1">
        <f t="shared" si="6"/>
        <v>1519</v>
      </c>
      <c r="K176" s="1">
        <v>708</v>
      </c>
      <c r="L176" s="1">
        <v>0</v>
      </c>
      <c r="M176" s="1">
        <v>0</v>
      </c>
      <c r="N176" s="1">
        <f t="shared" si="7"/>
        <v>708</v>
      </c>
      <c r="O176" s="9">
        <v>290</v>
      </c>
      <c r="P176" s="1">
        <v>0</v>
      </c>
      <c r="Q176" s="1">
        <v>0</v>
      </c>
      <c r="R176" s="12">
        <v>42370</v>
      </c>
      <c r="S176" s="1">
        <v>2517</v>
      </c>
      <c r="T176" s="9" t="s">
        <v>46</v>
      </c>
    </row>
    <row r="177" spans="1:20" x14ac:dyDescent="0.25">
      <c r="A177" s="10" t="s">
        <v>0</v>
      </c>
      <c r="B177" t="b">
        <v>0</v>
      </c>
      <c r="C177" t="b">
        <v>0</v>
      </c>
      <c r="D177" s="1">
        <v>1638</v>
      </c>
      <c r="E177" s="1">
        <v>0</v>
      </c>
      <c r="F177" s="1">
        <v>0</v>
      </c>
      <c r="G177" s="1">
        <v>557</v>
      </c>
      <c r="H177" s="1">
        <v>0</v>
      </c>
      <c r="I177" s="1">
        <v>0</v>
      </c>
      <c r="J177" s="1">
        <f t="shared" si="6"/>
        <v>2195</v>
      </c>
      <c r="K177" s="1">
        <v>706</v>
      </c>
      <c r="L177" s="1">
        <v>0</v>
      </c>
      <c r="M177" s="1">
        <v>0</v>
      </c>
      <c r="N177" s="1">
        <f t="shared" si="7"/>
        <v>706</v>
      </c>
      <c r="O177" s="9">
        <v>398</v>
      </c>
      <c r="P177" s="1">
        <v>0</v>
      </c>
      <c r="Q177" s="1">
        <v>0</v>
      </c>
      <c r="R177" s="12">
        <v>42401</v>
      </c>
      <c r="S177" s="1">
        <v>3299</v>
      </c>
      <c r="T177" s="9" t="s">
        <v>46</v>
      </c>
    </row>
    <row r="178" spans="1:20" x14ac:dyDescent="0.25">
      <c r="A178" s="10" t="s">
        <v>0</v>
      </c>
      <c r="B178" t="b">
        <v>0</v>
      </c>
      <c r="C178" t="b">
        <v>0</v>
      </c>
      <c r="D178" s="1">
        <v>1882</v>
      </c>
      <c r="E178" s="1">
        <v>0</v>
      </c>
      <c r="F178" s="1">
        <v>0</v>
      </c>
      <c r="G178" s="1">
        <v>453</v>
      </c>
      <c r="H178" s="1">
        <v>0</v>
      </c>
      <c r="I178" s="1">
        <v>0</v>
      </c>
      <c r="J178" s="1">
        <f t="shared" si="6"/>
        <v>2335</v>
      </c>
      <c r="K178" s="1">
        <v>907</v>
      </c>
      <c r="L178" s="1">
        <v>0</v>
      </c>
      <c r="M178" s="1">
        <v>0</v>
      </c>
      <c r="N178" s="1">
        <f t="shared" si="7"/>
        <v>907</v>
      </c>
      <c r="O178" s="9">
        <v>479</v>
      </c>
      <c r="P178" s="1">
        <v>0</v>
      </c>
      <c r="Q178" s="1">
        <v>0</v>
      </c>
      <c r="R178" s="12">
        <v>42430</v>
      </c>
      <c r="S178" s="1">
        <v>3721</v>
      </c>
      <c r="T178" s="9" t="s">
        <v>46</v>
      </c>
    </row>
    <row r="179" spans="1:20" x14ac:dyDescent="0.25">
      <c r="A179" s="10" t="s">
        <v>0</v>
      </c>
      <c r="B179" t="b">
        <v>0</v>
      </c>
      <c r="C179" t="b">
        <v>0</v>
      </c>
      <c r="D179" s="1">
        <v>4444</v>
      </c>
      <c r="E179" s="1">
        <v>0</v>
      </c>
      <c r="F179" s="1">
        <v>0</v>
      </c>
      <c r="G179" s="1">
        <v>984</v>
      </c>
      <c r="H179" s="1">
        <v>0</v>
      </c>
      <c r="I179" s="1">
        <v>0</v>
      </c>
      <c r="J179" s="1">
        <f t="shared" si="6"/>
        <v>5428</v>
      </c>
      <c r="K179" s="1">
        <v>2290</v>
      </c>
      <c r="L179" s="1">
        <v>0</v>
      </c>
      <c r="M179" s="1">
        <v>0</v>
      </c>
      <c r="N179" s="1">
        <f t="shared" si="7"/>
        <v>2290</v>
      </c>
      <c r="O179" s="9">
        <v>899</v>
      </c>
      <c r="P179" s="1">
        <v>0</v>
      </c>
      <c r="Q179" s="1">
        <v>0</v>
      </c>
      <c r="R179" s="12">
        <v>42461</v>
      </c>
      <c r="S179" s="1">
        <v>8617</v>
      </c>
      <c r="T179" s="9" t="s">
        <v>46</v>
      </c>
    </row>
    <row r="180" spans="1:20" x14ac:dyDescent="0.25">
      <c r="A180" s="10" t="s">
        <v>0</v>
      </c>
      <c r="B180" t="b">
        <v>0</v>
      </c>
      <c r="C180" t="b">
        <v>0</v>
      </c>
      <c r="D180" s="1">
        <v>3564</v>
      </c>
      <c r="E180" s="1">
        <v>0</v>
      </c>
      <c r="F180" s="1">
        <v>0</v>
      </c>
      <c r="G180" s="1">
        <v>691</v>
      </c>
      <c r="H180" s="1">
        <v>0</v>
      </c>
      <c r="I180" s="1">
        <v>0</v>
      </c>
      <c r="J180" s="1">
        <f t="shared" si="6"/>
        <v>4255</v>
      </c>
      <c r="K180" s="1">
        <v>2587</v>
      </c>
      <c r="L180" s="1">
        <v>0</v>
      </c>
      <c r="M180" s="1">
        <v>0</v>
      </c>
      <c r="N180" s="1">
        <f t="shared" si="7"/>
        <v>2587</v>
      </c>
      <c r="O180" s="9">
        <v>539</v>
      </c>
      <c r="P180" s="1">
        <v>0</v>
      </c>
      <c r="Q180" s="1">
        <v>0</v>
      </c>
      <c r="R180" s="12">
        <v>42491</v>
      </c>
      <c r="S180" s="1">
        <v>7381</v>
      </c>
      <c r="T180" s="9" t="s">
        <v>46</v>
      </c>
    </row>
    <row r="181" spans="1:20" x14ac:dyDescent="0.25">
      <c r="A181" s="10" t="s">
        <v>0</v>
      </c>
      <c r="B181" t="b">
        <v>0</v>
      </c>
      <c r="C181" t="b">
        <v>0</v>
      </c>
      <c r="D181" s="1">
        <v>4082</v>
      </c>
      <c r="E181" s="1">
        <v>0</v>
      </c>
      <c r="F181" s="1">
        <v>0</v>
      </c>
      <c r="G181" s="1">
        <v>439</v>
      </c>
      <c r="H181" s="1">
        <v>0</v>
      </c>
      <c r="I181" s="1">
        <v>0</v>
      </c>
      <c r="J181" s="1">
        <f t="shared" si="6"/>
        <v>4521</v>
      </c>
      <c r="K181" s="1">
        <v>3410</v>
      </c>
      <c r="L181" s="1">
        <v>0</v>
      </c>
      <c r="M181" s="1">
        <v>0</v>
      </c>
      <c r="N181" s="1">
        <f t="shared" si="7"/>
        <v>3410</v>
      </c>
      <c r="O181" s="9">
        <v>493</v>
      </c>
      <c r="P181" s="1">
        <v>0</v>
      </c>
      <c r="Q181" s="1">
        <v>0</v>
      </c>
      <c r="R181" s="12">
        <v>42522</v>
      </c>
      <c r="S181" s="1">
        <v>8424</v>
      </c>
      <c r="T181" s="9" t="s">
        <v>46</v>
      </c>
    </row>
    <row r="182" spans="1:20" x14ac:dyDescent="0.25">
      <c r="A182" s="10" t="s">
        <v>0</v>
      </c>
      <c r="B182" t="b">
        <v>0</v>
      </c>
      <c r="C182" t="b">
        <v>0</v>
      </c>
      <c r="D182" s="1">
        <v>5864</v>
      </c>
      <c r="E182" s="1">
        <v>0</v>
      </c>
      <c r="F182" s="1">
        <v>0</v>
      </c>
      <c r="G182" s="1">
        <v>590</v>
      </c>
      <c r="H182" s="1">
        <v>0</v>
      </c>
      <c r="I182" s="1">
        <v>0</v>
      </c>
      <c r="J182" s="1">
        <f t="shared" si="6"/>
        <v>6454</v>
      </c>
      <c r="K182" s="1">
        <v>4964</v>
      </c>
      <c r="L182" s="1">
        <v>0</v>
      </c>
      <c r="M182" s="1">
        <v>0</v>
      </c>
      <c r="N182" s="1">
        <f t="shared" si="7"/>
        <v>4964</v>
      </c>
      <c r="O182" s="9">
        <v>504</v>
      </c>
      <c r="P182" s="1">
        <v>0</v>
      </c>
      <c r="Q182" s="1">
        <v>0</v>
      </c>
      <c r="R182" s="12">
        <v>42552</v>
      </c>
      <c r="S182" s="1">
        <v>11922</v>
      </c>
      <c r="T182" s="9" t="s">
        <v>46</v>
      </c>
    </row>
    <row r="183" spans="1:20" x14ac:dyDescent="0.25">
      <c r="A183" s="10" t="s">
        <v>0</v>
      </c>
      <c r="B183" t="b">
        <v>0</v>
      </c>
      <c r="C183" t="b">
        <v>0</v>
      </c>
      <c r="D183" s="1">
        <v>4306</v>
      </c>
      <c r="E183" s="1">
        <v>0</v>
      </c>
      <c r="F183" s="1">
        <v>0</v>
      </c>
      <c r="G183" s="1">
        <v>559</v>
      </c>
      <c r="H183" s="1">
        <v>0</v>
      </c>
      <c r="I183" s="1">
        <v>0</v>
      </c>
      <c r="J183" s="1">
        <f t="shared" si="6"/>
        <v>4865</v>
      </c>
      <c r="K183" s="1">
        <v>3562</v>
      </c>
      <c r="L183" s="1">
        <v>0</v>
      </c>
      <c r="M183" s="1">
        <v>0</v>
      </c>
      <c r="N183" s="1">
        <f t="shared" si="7"/>
        <v>3562</v>
      </c>
      <c r="O183" s="9">
        <v>544</v>
      </c>
      <c r="P183" s="1">
        <v>0</v>
      </c>
      <c r="Q183" s="1">
        <v>0</v>
      </c>
      <c r="R183" s="12">
        <v>42583</v>
      </c>
      <c r="S183" s="1">
        <v>8971</v>
      </c>
      <c r="T183" s="9" t="s">
        <v>46</v>
      </c>
    </row>
    <row r="184" spans="1:20" x14ac:dyDescent="0.25">
      <c r="A184" s="10" t="s">
        <v>0</v>
      </c>
      <c r="B184" t="b">
        <v>0</v>
      </c>
      <c r="C184" t="b">
        <v>0</v>
      </c>
      <c r="D184" s="1">
        <v>4172</v>
      </c>
      <c r="E184" s="1">
        <v>0</v>
      </c>
      <c r="F184" s="1">
        <v>0</v>
      </c>
      <c r="G184" s="1">
        <v>617</v>
      </c>
      <c r="H184" s="1">
        <v>0</v>
      </c>
      <c r="I184" s="1">
        <v>0</v>
      </c>
      <c r="J184" s="1">
        <f t="shared" si="6"/>
        <v>4789</v>
      </c>
      <c r="K184" s="1">
        <v>3158</v>
      </c>
      <c r="L184" s="1">
        <v>0</v>
      </c>
      <c r="M184" s="1">
        <v>0</v>
      </c>
      <c r="N184" s="1">
        <f t="shared" si="7"/>
        <v>3158</v>
      </c>
      <c r="O184" s="9">
        <v>808</v>
      </c>
      <c r="P184" s="1">
        <v>0</v>
      </c>
      <c r="Q184" s="1">
        <v>0</v>
      </c>
      <c r="R184" s="12">
        <v>42614</v>
      </c>
      <c r="S184" s="1">
        <v>8755</v>
      </c>
      <c r="T184" s="9" t="s">
        <v>46</v>
      </c>
    </row>
    <row r="185" spans="1:20" x14ac:dyDescent="0.25">
      <c r="A185" s="10" t="s">
        <v>0</v>
      </c>
      <c r="B185" t="b">
        <v>0</v>
      </c>
      <c r="C185" t="b">
        <v>0</v>
      </c>
      <c r="D185" s="1">
        <v>3377</v>
      </c>
      <c r="E185" s="1">
        <v>0</v>
      </c>
      <c r="F185" s="1">
        <v>0</v>
      </c>
      <c r="G185" s="1">
        <v>706</v>
      </c>
      <c r="H185" s="1">
        <v>0</v>
      </c>
      <c r="I185" s="1">
        <v>0</v>
      </c>
      <c r="J185" s="1">
        <f t="shared" si="6"/>
        <v>4083</v>
      </c>
      <c r="K185" s="1">
        <v>2145</v>
      </c>
      <c r="L185" s="1">
        <v>0</v>
      </c>
      <c r="M185" s="1">
        <v>0</v>
      </c>
      <c r="N185" s="1">
        <f t="shared" si="7"/>
        <v>2145</v>
      </c>
      <c r="O185" s="9">
        <v>914</v>
      </c>
      <c r="P185" s="1">
        <v>0</v>
      </c>
      <c r="Q185" s="1">
        <v>0</v>
      </c>
      <c r="R185" s="12">
        <v>42644</v>
      </c>
      <c r="S185" s="1">
        <v>7142</v>
      </c>
      <c r="T185" s="9" t="s">
        <v>46</v>
      </c>
    </row>
    <row r="186" spans="1:20" x14ac:dyDescent="0.25">
      <c r="A186" s="10" t="s">
        <v>0</v>
      </c>
      <c r="B186" t="b">
        <v>0</v>
      </c>
      <c r="C186" t="b">
        <v>0</v>
      </c>
      <c r="D186" s="1">
        <v>3299</v>
      </c>
      <c r="E186" s="1">
        <v>0</v>
      </c>
      <c r="F186" s="1">
        <v>0</v>
      </c>
      <c r="G186" s="1">
        <v>615</v>
      </c>
      <c r="H186" s="1">
        <v>0</v>
      </c>
      <c r="I186" s="1">
        <v>0</v>
      </c>
      <c r="J186" s="1">
        <f t="shared" si="6"/>
        <v>3914</v>
      </c>
      <c r="K186" s="1">
        <v>1632</v>
      </c>
      <c r="L186" s="1">
        <v>0</v>
      </c>
      <c r="M186" s="1">
        <v>0</v>
      </c>
      <c r="N186" s="1">
        <f t="shared" si="7"/>
        <v>1632</v>
      </c>
      <c r="O186" s="9">
        <v>1179</v>
      </c>
      <c r="P186" s="1">
        <v>0</v>
      </c>
      <c r="Q186" s="1">
        <v>0</v>
      </c>
      <c r="R186" s="12">
        <v>42675</v>
      </c>
      <c r="S186" s="1">
        <v>6725</v>
      </c>
      <c r="T186" s="9" t="s">
        <v>46</v>
      </c>
    </row>
    <row r="187" spans="1:20" x14ac:dyDescent="0.25">
      <c r="A187" s="10" t="s">
        <v>0</v>
      </c>
      <c r="B187" t="b">
        <v>0</v>
      </c>
      <c r="C187" t="b">
        <v>0</v>
      </c>
      <c r="D187" s="1">
        <v>1607</v>
      </c>
      <c r="E187" s="1">
        <v>0</v>
      </c>
      <c r="F187" s="1">
        <v>0</v>
      </c>
      <c r="G187" s="1">
        <v>325</v>
      </c>
      <c r="H187" s="1">
        <v>0</v>
      </c>
      <c r="I187" s="1">
        <v>0</v>
      </c>
      <c r="J187" s="1">
        <f t="shared" si="6"/>
        <v>1932</v>
      </c>
      <c r="K187" s="1">
        <v>426</v>
      </c>
      <c r="L187" s="1">
        <v>0</v>
      </c>
      <c r="M187" s="1">
        <v>0</v>
      </c>
      <c r="N187" s="1">
        <f t="shared" si="7"/>
        <v>426</v>
      </c>
      <c r="O187" s="9">
        <v>523</v>
      </c>
      <c r="P187" s="1">
        <v>0</v>
      </c>
      <c r="Q187" s="1">
        <v>0</v>
      </c>
      <c r="R187" s="12">
        <v>42705</v>
      </c>
      <c r="S187" s="1">
        <v>2881</v>
      </c>
      <c r="T187" s="9" t="s">
        <v>46</v>
      </c>
    </row>
    <row r="188" spans="1:20" x14ac:dyDescent="0.25">
      <c r="A188" s="10" t="s">
        <v>0</v>
      </c>
      <c r="B188" t="b">
        <v>0</v>
      </c>
      <c r="C188" t="b">
        <v>0</v>
      </c>
      <c r="D188" s="1">
        <v>446</v>
      </c>
      <c r="E188" s="1">
        <v>0</v>
      </c>
      <c r="F188" s="1">
        <v>0</v>
      </c>
      <c r="G188" s="1">
        <v>145</v>
      </c>
      <c r="H188" s="1">
        <v>0</v>
      </c>
      <c r="I188" s="1">
        <v>0</v>
      </c>
      <c r="J188" s="1">
        <f t="shared" si="6"/>
        <v>591</v>
      </c>
      <c r="K188" s="1">
        <v>414</v>
      </c>
      <c r="L188" s="1">
        <v>0</v>
      </c>
      <c r="M188" s="1">
        <v>0</v>
      </c>
      <c r="N188" s="1">
        <f t="shared" si="7"/>
        <v>414</v>
      </c>
      <c r="O188" s="9">
        <v>114</v>
      </c>
      <c r="P188" s="1">
        <v>0</v>
      </c>
      <c r="Q188" s="1">
        <v>0</v>
      </c>
      <c r="R188" s="12">
        <v>42736</v>
      </c>
      <c r="S188" s="1">
        <v>1119</v>
      </c>
      <c r="T188" s="9" t="s">
        <v>21</v>
      </c>
    </row>
    <row r="189" spans="1:20" x14ac:dyDescent="0.25">
      <c r="A189" s="10" t="s">
        <v>0</v>
      </c>
      <c r="B189" t="b">
        <v>0</v>
      </c>
      <c r="C189" t="b">
        <v>0</v>
      </c>
      <c r="D189" s="1">
        <v>557</v>
      </c>
      <c r="E189" s="1">
        <v>0</v>
      </c>
      <c r="F189" s="1">
        <v>0</v>
      </c>
      <c r="G189" s="1">
        <v>140</v>
      </c>
      <c r="H189" s="1">
        <v>0</v>
      </c>
      <c r="I189" s="1">
        <v>0</v>
      </c>
      <c r="J189" s="1">
        <f t="shared" si="6"/>
        <v>697</v>
      </c>
      <c r="K189" s="1">
        <v>588</v>
      </c>
      <c r="L189" s="1">
        <v>0</v>
      </c>
      <c r="M189" s="1">
        <v>0</v>
      </c>
      <c r="N189" s="1">
        <f t="shared" si="7"/>
        <v>588</v>
      </c>
      <c r="O189" s="9">
        <v>107</v>
      </c>
      <c r="P189" s="1">
        <v>0</v>
      </c>
      <c r="Q189" s="1">
        <v>0</v>
      </c>
      <c r="R189" s="12">
        <v>42767</v>
      </c>
      <c r="S189" s="1">
        <v>1392</v>
      </c>
      <c r="T189" s="9" t="s">
        <v>21</v>
      </c>
    </row>
    <row r="190" spans="1:20" x14ac:dyDescent="0.25">
      <c r="A190" s="10" t="s">
        <v>0</v>
      </c>
      <c r="B190" t="b">
        <v>0</v>
      </c>
      <c r="C190" t="b">
        <v>0</v>
      </c>
      <c r="D190" s="1">
        <v>1861</v>
      </c>
      <c r="E190" s="1">
        <v>0</v>
      </c>
      <c r="F190" s="1">
        <v>0</v>
      </c>
      <c r="G190" s="1">
        <v>4530</v>
      </c>
      <c r="H190" s="1">
        <v>0</v>
      </c>
      <c r="I190" s="1">
        <v>0</v>
      </c>
      <c r="J190" s="1">
        <f t="shared" si="6"/>
        <v>6391</v>
      </c>
      <c r="K190" s="1">
        <v>907</v>
      </c>
      <c r="L190" s="1">
        <v>0</v>
      </c>
      <c r="M190" s="1">
        <v>0</v>
      </c>
      <c r="N190" s="1">
        <f t="shared" si="7"/>
        <v>907</v>
      </c>
      <c r="O190" s="9">
        <v>479</v>
      </c>
      <c r="P190" s="1">
        <v>0</v>
      </c>
      <c r="Q190" s="1">
        <v>0</v>
      </c>
      <c r="R190" s="12">
        <v>42795</v>
      </c>
      <c r="S190" s="1">
        <v>7777</v>
      </c>
      <c r="T190" s="9" t="s">
        <v>21</v>
      </c>
    </row>
    <row r="191" spans="1:20" x14ac:dyDescent="0.25">
      <c r="A191" s="10" t="s">
        <v>0</v>
      </c>
      <c r="B191" t="b">
        <v>0</v>
      </c>
      <c r="C191" t="b">
        <v>0</v>
      </c>
      <c r="D191" s="1">
        <v>4811</v>
      </c>
      <c r="E191" s="1">
        <v>0</v>
      </c>
      <c r="F191" s="1">
        <v>0</v>
      </c>
      <c r="G191" s="1">
        <v>1251</v>
      </c>
      <c r="H191" s="1">
        <v>0</v>
      </c>
      <c r="I191" s="1">
        <v>0</v>
      </c>
      <c r="J191" s="1">
        <f t="shared" si="6"/>
        <v>6062</v>
      </c>
      <c r="K191" s="1">
        <v>2520</v>
      </c>
      <c r="L191" s="1">
        <v>0</v>
      </c>
      <c r="M191" s="1">
        <v>0</v>
      </c>
      <c r="N191" s="1">
        <f t="shared" si="7"/>
        <v>2520</v>
      </c>
      <c r="O191" s="9">
        <v>1342</v>
      </c>
      <c r="P191" s="1">
        <v>0</v>
      </c>
      <c r="Q191" s="1">
        <v>0</v>
      </c>
      <c r="R191" s="12">
        <v>42826</v>
      </c>
      <c r="S191" s="1">
        <v>9924</v>
      </c>
      <c r="T191" s="9" t="s">
        <v>21</v>
      </c>
    </row>
    <row r="192" spans="1:20" x14ac:dyDescent="0.25">
      <c r="A192" s="10" t="s">
        <v>0</v>
      </c>
      <c r="B192" t="b">
        <v>0</v>
      </c>
      <c r="C192" t="b">
        <v>0</v>
      </c>
      <c r="D192" s="1">
        <v>5806</v>
      </c>
      <c r="E192" s="1">
        <v>0</v>
      </c>
      <c r="F192" s="1">
        <v>0</v>
      </c>
      <c r="G192" s="1">
        <v>1873</v>
      </c>
      <c r="H192" s="1">
        <v>0</v>
      </c>
      <c r="I192" s="1">
        <v>0</v>
      </c>
      <c r="J192" s="1">
        <f t="shared" si="6"/>
        <v>7679</v>
      </c>
      <c r="K192" s="1">
        <v>3310</v>
      </c>
      <c r="L192" s="1">
        <v>0</v>
      </c>
      <c r="M192" s="1">
        <v>0</v>
      </c>
      <c r="N192" s="1">
        <f t="shared" si="7"/>
        <v>3310</v>
      </c>
      <c r="O192" s="9">
        <v>691</v>
      </c>
      <c r="P192" s="1">
        <v>0</v>
      </c>
      <c r="Q192" s="1">
        <v>0</v>
      </c>
      <c r="R192" s="12">
        <v>42856</v>
      </c>
      <c r="S192" s="1">
        <v>11680</v>
      </c>
      <c r="T192" s="9" t="s">
        <v>21</v>
      </c>
    </row>
    <row r="193" spans="1:20" x14ac:dyDescent="0.25">
      <c r="A193" s="10" t="s">
        <v>0</v>
      </c>
      <c r="B193" t="b">
        <v>0</v>
      </c>
      <c r="C193" t="b">
        <v>0</v>
      </c>
      <c r="D193" s="1">
        <v>4435</v>
      </c>
      <c r="E193" s="1">
        <v>0</v>
      </c>
      <c r="F193" s="1">
        <v>0</v>
      </c>
      <c r="G193" s="1">
        <v>1007</v>
      </c>
      <c r="H193" s="1">
        <v>0</v>
      </c>
      <c r="I193" s="1">
        <v>0</v>
      </c>
      <c r="J193" s="1">
        <f t="shared" si="6"/>
        <v>5442</v>
      </c>
      <c r="K193" s="1">
        <v>3618</v>
      </c>
      <c r="L193" s="1">
        <v>0</v>
      </c>
      <c r="M193" s="1">
        <v>0</v>
      </c>
      <c r="N193" s="1">
        <f t="shared" si="7"/>
        <v>3618</v>
      </c>
      <c r="O193" s="9">
        <v>403</v>
      </c>
      <c r="P193" s="1">
        <v>610</v>
      </c>
      <c r="Q193" s="1">
        <v>0</v>
      </c>
      <c r="R193" s="12">
        <v>42887</v>
      </c>
      <c r="S193" s="1">
        <v>10073</v>
      </c>
      <c r="T193" s="9" t="s">
        <v>21</v>
      </c>
    </row>
    <row r="194" spans="1:20" x14ac:dyDescent="0.25">
      <c r="A194" s="10" t="s">
        <v>0</v>
      </c>
      <c r="B194" t="b">
        <v>0</v>
      </c>
      <c r="C194" t="b">
        <v>0</v>
      </c>
      <c r="D194" s="1">
        <v>5859</v>
      </c>
      <c r="E194" s="1">
        <v>0</v>
      </c>
      <c r="F194" s="1">
        <v>0</v>
      </c>
      <c r="G194" s="1">
        <v>544</v>
      </c>
      <c r="H194" s="1">
        <v>0</v>
      </c>
      <c r="I194" s="1">
        <v>0</v>
      </c>
      <c r="J194" s="1">
        <f t="shared" si="6"/>
        <v>6403</v>
      </c>
      <c r="K194" s="1">
        <v>4945</v>
      </c>
      <c r="L194" s="1">
        <v>0</v>
      </c>
      <c r="M194" s="1">
        <v>0</v>
      </c>
      <c r="N194" s="1">
        <f t="shared" si="7"/>
        <v>4945</v>
      </c>
      <c r="O194" s="9">
        <v>566</v>
      </c>
      <c r="P194" s="1">
        <v>0</v>
      </c>
      <c r="Q194" s="1">
        <v>0</v>
      </c>
      <c r="R194" s="12">
        <v>42917</v>
      </c>
      <c r="S194" s="1">
        <v>11914</v>
      </c>
      <c r="T194" s="9" t="s">
        <v>21</v>
      </c>
    </row>
    <row r="195" spans="1:20" x14ac:dyDescent="0.25">
      <c r="A195" s="10" t="s">
        <v>0</v>
      </c>
      <c r="B195" t="b">
        <v>0</v>
      </c>
      <c r="C195" t="b">
        <v>0</v>
      </c>
      <c r="D195" s="1">
        <v>4324</v>
      </c>
      <c r="E195" s="1">
        <v>0</v>
      </c>
      <c r="F195" s="1">
        <v>0</v>
      </c>
      <c r="G195" s="1">
        <v>564</v>
      </c>
      <c r="H195" s="1">
        <v>0</v>
      </c>
      <c r="I195" s="1">
        <v>0</v>
      </c>
      <c r="J195" s="1">
        <f t="shared" ref="J195:J237" si="8">D195+E195+F195+G195+H195+I195</f>
        <v>4888</v>
      </c>
      <c r="K195" s="1">
        <v>3576</v>
      </c>
      <c r="L195" s="1">
        <v>0</v>
      </c>
      <c r="M195" s="1">
        <v>0</v>
      </c>
      <c r="N195" s="1">
        <f t="shared" si="7"/>
        <v>3576</v>
      </c>
      <c r="O195" s="9">
        <v>604</v>
      </c>
      <c r="P195" s="1">
        <v>0</v>
      </c>
      <c r="Q195" s="1">
        <v>0</v>
      </c>
      <c r="R195" s="12">
        <v>42948</v>
      </c>
      <c r="S195" s="1">
        <v>9068</v>
      </c>
      <c r="T195" s="9" t="s">
        <v>21</v>
      </c>
    </row>
    <row r="196" spans="1:20" x14ac:dyDescent="0.25">
      <c r="A196" s="10" t="s">
        <v>0</v>
      </c>
      <c r="B196" t="b">
        <v>0</v>
      </c>
      <c r="C196" t="b">
        <v>0</v>
      </c>
      <c r="D196" s="1">
        <v>4181</v>
      </c>
      <c r="E196" s="1">
        <v>0</v>
      </c>
      <c r="F196" s="1">
        <v>0</v>
      </c>
      <c r="G196" s="1">
        <v>666</v>
      </c>
      <c r="H196" s="1">
        <v>0</v>
      </c>
      <c r="I196" s="1">
        <v>0</v>
      </c>
      <c r="J196" s="1">
        <f t="shared" si="8"/>
        <v>4847</v>
      </c>
      <c r="K196" s="1">
        <v>2344</v>
      </c>
      <c r="L196" s="1">
        <v>0</v>
      </c>
      <c r="M196" s="1">
        <v>0</v>
      </c>
      <c r="N196" s="1">
        <f t="shared" si="7"/>
        <v>2344</v>
      </c>
      <c r="O196" s="9">
        <v>644</v>
      </c>
      <c r="P196" s="1">
        <v>0</v>
      </c>
      <c r="Q196" s="1">
        <v>0</v>
      </c>
      <c r="R196" s="12">
        <v>42979</v>
      </c>
      <c r="S196" s="1">
        <v>7835</v>
      </c>
      <c r="T196" s="9" t="s">
        <v>21</v>
      </c>
    </row>
    <row r="197" spans="1:20" x14ac:dyDescent="0.25">
      <c r="A197" s="10" t="s">
        <v>0</v>
      </c>
      <c r="B197" t="b">
        <v>0</v>
      </c>
      <c r="C197" t="b">
        <v>0</v>
      </c>
      <c r="D197" s="1">
        <v>3464</v>
      </c>
      <c r="E197" s="1">
        <v>0</v>
      </c>
      <c r="F197" s="1">
        <v>0</v>
      </c>
      <c r="G197" s="1">
        <v>716</v>
      </c>
      <c r="H197" s="1">
        <v>0</v>
      </c>
      <c r="I197" s="1">
        <v>0</v>
      </c>
      <c r="J197" s="1">
        <f t="shared" si="8"/>
        <v>4180</v>
      </c>
      <c r="K197" s="1">
        <v>1876</v>
      </c>
      <c r="L197" s="1">
        <v>0</v>
      </c>
      <c r="M197" s="1">
        <v>0</v>
      </c>
      <c r="N197" s="1">
        <f t="shared" si="7"/>
        <v>1876</v>
      </c>
      <c r="O197" s="9">
        <v>924</v>
      </c>
      <c r="P197" s="1">
        <v>0</v>
      </c>
      <c r="Q197" s="1">
        <v>0</v>
      </c>
      <c r="R197" s="12">
        <v>43009</v>
      </c>
      <c r="S197" s="1">
        <v>6980</v>
      </c>
      <c r="T197" s="9" t="s">
        <v>21</v>
      </c>
    </row>
    <row r="198" spans="1:20" x14ac:dyDescent="0.25">
      <c r="A198" s="10" t="s">
        <v>0</v>
      </c>
      <c r="B198" t="b">
        <v>0</v>
      </c>
      <c r="C198" t="b">
        <v>0</v>
      </c>
      <c r="D198" s="1">
        <v>3324</v>
      </c>
      <c r="E198" s="1">
        <v>0</v>
      </c>
      <c r="F198" s="1">
        <v>0</v>
      </c>
      <c r="G198" s="1">
        <v>636</v>
      </c>
      <c r="H198" s="1">
        <v>0</v>
      </c>
      <c r="I198" s="1">
        <v>0</v>
      </c>
      <c r="J198" s="1">
        <f t="shared" si="8"/>
        <v>3960</v>
      </c>
      <c r="K198" s="1">
        <v>1036</v>
      </c>
      <c r="L198" s="1">
        <v>0</v>
      </c>
      <c r="M198" s="1">
        <v>0</v>
      </c>
      <c r="N198" s="1">
        <f t="shared" si="7"/>
        <v>1036</v>
      </c>
      <c r="O198" s="9">
        <v>1271</v>
      </c>
      <c r="P198" s="1">
        <v>0</v>
      </c>
      <c r="Q198" s="1">
        <v>0</v>
      </c>
      <c r="R198" s="12">
        <v>43040</v>
      </c>
      <c r="S198" s="1">
        <v>6267</v>
      </c>
      <c r="T198" s="9" t="s">
        <v>21</v>
      </c>
    </row>
    <row r="199" spans="1:20" x14ac:dyDescent="0.25">
      <c r="A199" s="10" t="s">
        <v>0</v>
      </c>
      <c r="B199" t="b">
        <v>0</v>
      </c>
      <c r="C199" t="b">
        <v>0</v>
      </c>
      <c r="D199" s="1">
        <v>1624</v>
      </c>
      <c r="E199" s="1">
        <v>0</v>
      </c>
      <c r="F199" s="1">
        <v>0</v>
      </c>
      <c r="G199" s="1">
        <v>369</v>
      </c>
      <c r="H199" s="1">
        <v>0</v>
      </c>
      <c r="I199" s="1">
        <v>0</v>
      </c>
      <c r="J199" s="1">
        <f t="shared" si="8"/>
        <v>1993</v>
      </c>
      <c r="K199" s="1">
        <v>366</v>
      </c>
      <c r="L199" s="1">
        <v>0</v>
      </c>
      <c r="M199" s="1">
        <v>0</v>
      </c>
      <c r="N199" s="1">
        <f t="shared" si="7"/>
        <v>366</v>
      </c>
      <c r="O199" s="9">
        <v>544</v>
      </c>
      <c r="P199" s="1">
        <v>0</v>
      </c>
      <c r="Q199" s="1">
        <v>0</v>
      </c>
      <c r="R199" s="12">
        <v>43070</v>
      </c>
      <c r="S199" s="1">
        <v>2903</v>
      </c>
      <c r="T199" s="9" t="s">
        <v>21</v>
      </c>
    </row>
    <row r="200" spans="1:20" x14ac:dyDescent="0.25">
      <c r="A200" s="10" t="s">
        <v>0</v>
      </c>
      <c r="B200" t="b">
        <v>0</v>
      </c>
      <c r="C200" t="b">
        <v>0</v>
      </c>
      <c r="D200" s="1">
        <v>1144</v>
      </c>
      <c r="E200" s="1">
        <v>0</v>
      </c>
      <c r="F200" s="1">
        <v>0</v>
      </c>
      <c r="G200" s="1">
        <v>424</v>
      </c>
      <c r="H200" s="1">
        <v>0</v>
      </c>
      <c r="I200" s="1">
        <v>0</v>
      </c>
      <c r="J200" s="1">
        <f t="shared" si="8"/>
        <v>1568</v>
      </c>
      <c r="K200" s="1">
        <v>652</v>
      </c>
      <c r="L200" s="1">
        <v>0</v>
      </c>
      <c r="M200" s="1">
        <v>0</v>
      </c>
      <c r="N200" s="1">
        <f t="shared" si="7"/>
        <v>652</v>
      </c>
      <c r="O200" s="9">
        <v>261</v>
      </c>
      <c r="P200" s="1">
        <v>203</v>
      </c>
      <c r="Q200" s="1">
        <v>27</v>
      </c>
      <c r="R200" s="12">
        <v>43101</v>
      </c>
      <c r="S200" s="1">
        <v>2711</v>
      </c>
      <c r="T200" s="9" t="s">
        <v>21</v>
      </c>
    </row>
    <row r="201" spans="1:20" x14ac:dyDescent="0.25">
      <c r="A201" s="10" t="s">
        <v>0</v>
      </c>
      <c r="B201" t="b">
        <v>0</v>
      </c>
      <c r="C201" t="b">
        <v>0</v>
      </c>
      <c r="D201" s="1">
        <v>1316</v>
      </c>
      <c r="E201" s="1">
        <v>0</v>
      </c>
      <c r="F201" s="1">
        <v>0</v>
      </c>
      <c r="G201" s="1">
        <v>321</v>
      </c>
      <c r="H201" s="1">
        <v>0</v>
      </c>
      <c r="I201" s="1">
        <v>0</v>
      </c>
      <c r="J201" s="1">
        <f t="shared" si="8"/>
        <v>1637</v>
      </c>
      <c r="K201" s="1">
        <v>750</v>
      </c>
      <c r="L201" s="1">
        <v>0</v>
      </c>
      <c r="M201" s="1">
        <v>0</v>
      </c>
      <c r="N201" s="1">
        <f t="shared" si="7"/>
        <v>750</v>
      </c>
      <c r="O201" s="9">
        <v>398</v>
      </c>
      <c r="P201" s="1">
        <v>76</v>
      </c>
      <c r="Q201" s="1">
        <v>0</v>
      </c>
      <c r="R201" s="12">
        <v>43132</v>
      </c>
      <c r="S201" s="1">
        <v>2861</v>
      </c>
      <c r="T201" s="9" t="s">
        <v>21</v>
      </c>
    </row>
    <row r="202" spans="1:20" x14ac:dyDescent="0.25">
      <c r="A202" s="10" t="s">
        <v>0</v>
      </c>
      <c r="B202" t="b">
        <v>0</v>
      </c>
      <c r="C202" t="b">
        <v>0</v>
      </c>
      <c r="D202" s="1">
        <v>1392</v>
      </c>
      <c r="E202" s="1">
        <v>0</v>
      </c>
      <c r="F202" s="1">
        <v>0</v>
      </c>
      <c r="G202" s="1">
        <v>178</v>
      </c>
      <c r="H202" s="1">
        <v>0</v>
      </c>
      <c r="I202" s="1">
        <v>0</v>
      </c>
      <c r="J202" s="1">
        <f t="shared" si="8"/>
        <v>1570</v>
      </c>
      <c r="K202" s="1">
        <v>846</v>
      </c>
      <c r="L202" s="1">
        <v>0</v>
      </c>
      <c r="M202" s="1">
        <v>0</v>
      </c>
      <c r="N202" s="1">
        <f t="shared" si="7"/>
        <v>846</v>
      </c>
      <c r="O202" s="9">
        <v>402</v>
      </c>
      <c r="P202" s="1">
        <v>0</v>
      </c>
      <c r="Q202" s="1">
        <v>0</v>
      </c>
      <c r="R202" s="12">
        <v>43160</v>
      </c>
      <c r="S202" s="1">
        <v>2818</v>
      </c>
      <c r="T202" s="9" t="s">
        <v>21</v>
      </c>
    </row>
    <row r="203" spans="1:20" x14ac:dyDescent="0.25">
      <c r="A203" s="10" t="s">
        <v>0</v>
      </c>
      <c r="B203" t="b">
        <v>0</v>
      </c>
      <c r="C203" t="b">
        <v>0</v>
      </c>
      <c r="D203" s="1">
        <v>2881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f t="shared" si="8"/>
        <v>2881</v>
      </c>
      <c r="K203" s="1">
        <v>1246</v>
      </c>
      <c r="L203" s="1">
        <v>0</v>
      </c>
      <c r="M203" s="1">
        <v>0</v>
      </c>
      <c r="N203" s="1">
        <f t="shared" si="7"/>
        <v>1246</v>
      </c>
      <c r="O203" s="9">
        <v>609</v>
      </c>
      <c r="P203" s="1">
        <v>0</v>
      </c>
      <c r="Q203" s="1">
        <v>0</v>
      </c>
      <c r="R203" s="12">
        <v>43191</v>
      </c>
      <c r="S203" s="1">
        <v>4736</v>
      </c>
      <c r="T203" s="9" t="s">
        <v>21</v>
      </c>
    </row>
    <row r="204" spans="1:20" x14ac:dyDescent="0.25">
      <c r="A204" s="10" t="s">
        <v>0</v>
      </c>
      <c r="B204" t="b">
        <v>0</v>
      </c>
      <c r="C204" t="b">
        <v>0</v>
      </c>
      <c r="D204" s="1">
        <v>4053</v>
      </c>
      <c r="E204" s="1">
        <v>0</v>
      </c>
      <c r="F204" s="1">
        <v>0</v>
      </c>
      <c r="G204" s="1">
        <v>660</v>
      </c>
      <c r="H204" s="1">
        <v>0</v>
      </c>
      <c r="I204" s="1">
        <v>0</v>
      </c>
      <c r="J204" s="1">
        <f t="shared" si="8"/>
        <v>4713</v>
      </c>
      <c r="K204" s="1">
        <v>2262</v>
      </c>
      <c r="L204" s="1">
        <v>0</v>
      </c>
      <c r="M204" s="1">
        <v>0</v>
      </c>
      <c r="N204" s="1">
        <f t="shared" si="7"/>
        <v>2262</v>
      </c>
      <c r="O204" s="9">
        <v>437</v>
      </c>
      <c r="P204" s="1">
        <v>0</v>
      </c>
      <c r="Q204" s="1">
        <v>0</v>
      </c>
      <c r="R204" s="12">
        <v>43221</v>
      </c>
      <c r="S204" s="1">
        <v>7412</v>
      </c>
      <c r="T204" s="9" t="s">
        <v>21</v>
      </c>
    </row>
    <row r="205" spans="1:20" x14ac:dyDescent="0.25">
      <c r="A205" s="10" t="s">
        <v>0</v>
      </c>
      <c r="B205" t="b">
        <v>0</v>
      </c>
      <c r="C205" t="b">
        <v>0</v>
      </c>
      <c r="D205" s="1">
        <v>4856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f t="shared" si="8"/>
        <v>4856</v>
      </c>
      <c r="K205" s="1">
        <v>2652</v>
      </c>
      <c r="L205" s="1">
        <v>0</v>
      </c>
      <c r="M205" s="1">
        <v>0</v>
      </c>
      <c r="N205" s="1">
        <f t="shared" si="7"/>
        <v>2652</v>
      </c>
      <c r="O205" s="9">
        <v>298</v>
      </c>
      <c r="P205" s="1">
        <v>0</v>
      </c>
      <c r="Q205" s="1">
        <v>0</v>
      </c>
      <c r="R205" s="12">
        <v>43252</v>
      </c>
      <c r="S205" s="1">
        <v>7806</v>
      </c>
      <c r="T205" s="9" t="s">
        <v>21</v>
      </c>
    </row>
    <row r="206" spans="1:20" x14ac:dyDescent="0.25">
      <c r="A206" s="10" t="s">
        <v>0</v>
      </c>
      <c r="B206" t="b">
        <v>0</v>
      </c>
      <c r="C206" t="b">
        <v>0</v>
      </c>
      <c r="D206" s="1">
        <v>4240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f t="shared" si="8"/>
        <v>4240</v>
      </c>
      <c r="K206" s="1">
        <v>2368</v>
      </c>
      <c r="L206" s="1">
        <v>0</v>
      </c>
      <c r="M206" s="1">
        <v>0</v>
      </c>
      <c r="N206" s="1">
        <f t="shared" si="7"/>
        <v>2368</v>
      </c>
      <c r="O206" s="9">
        <v>524</v>
      </c>
      <c r="P206" s="1">
        <v>0</v>
      </c>
      <c r="Q206" s="1">
        <v>0</v>
      </c>
      <c r="R206" s="12">
        <v>43282</v>
      </c>
      <c r="S206" s="1">
        <v>7132</v>
      </c>
      <c r="T206" s="9" t="s">
        <v>21</v>
      </c>
    </row>
    <row r="207" spans="1:20" x14ac:dyDescent="0.25">
      <c r="A207" s="10" t="s">
        <v>0</v>
      </c>
      <c r="B207" t="b">
        <v>0</v>
      </c>
      <c r="C207" t="b">
        <v>0</v>
      </c>
      <c r="D207" s="1">
        <v>4153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f t="shared" si="8"/>
        <v>4153</v>
      </c>
      <c r="K207" s="1">
        <v>2873</v>
      </c>
      <c r="L207" s="1">
        <v>0</v>
      </c>
      <c r="M207" s="1">
        <v>0</v>
      </c>
      <c r="N207" s="1">
        <f t="shared" si="7"/>
        <v>2873</v>
      </c>
      <c r="O207" s="9">
        <v>482</v>
      </c>
      <c r="P207" s="1">
        <v>0</v>
      </c>
      <c r="Q207" s="1">
        <v>0</v>
      </c>
      <c r="R207" s="12">
        <v>43313</v>
      </c>
      <c r="S207" s="1">
        <v>7508</v>
      </c>
      <c r="T207" s="9" t="s">
        <v>21</v>
      </c>
    </row>
    <row r="208" spans="1:20" x14ac:dyDescent="0.25">
      <c r="A208" s="10" t="s">
        <v>0</v>
      </c>
      <c r="B208" t="b">
        <v>0</v>
      </c>
      <c r="C208" t="b">
        <v>0</v>
      </c>
      <c r="D208" s="1">
        <v>4045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f t="shared" si="8"/>
        <v>4045</v>
      </c>
      <c r="K208" s="1">
        <v>1570</v>
      </c>
      <c r="L208" s="1">
        <v>0</v>
      </c>
      <c r="M208" s="1">
        <v>1157</v>
      </c>
      <c r="N208" s="1">
        <f t="shared" si="7"/>
        <v>2727</v>
      </c>
      <c r="O208" s="9">
        <v>581</v>
      </c>
      <c r="P208" s="1">
        <v>0</v>
      </c>
      <c r="Q208" s="1">
        <v>0</v>
      </c>
      <c r="R208" s="12">
        <v>43344</v>
      </c>
      <c r="S208" s="1">
        <v>7353</v>
      </c>
      <c r="T208" s="9" t="s">
        <v>21</v>
      </c>
    </row>
    <row r="209" spans="1:20" x14ac:dyDescent="0.25">
      <c r="A209" s="10" t="s">
        <v>0</v>
      </c>
      <c r="B209" t="b">
        <v>0</v>
      </c>
      <c r="C209" t="b">
        <v>0</v>
      </c>
      <c r="D209" s="1">
        <v>3040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f t="shared" si="8"/>
        <v>3040</v>
      </c>
      <c r="K209" s="1">
        <v>1245</v>
      </c>
      <c r="L209" s="1">
        <v>0</v>
      </c>
      <c r="M209" s="1">
        <v>770</v>
      </c>
      <c r="N209" s="1">
        <f t="shared" si="7"/>
        <v>2015</v>
      </c>
      <c r="O209" s="9">
        <v>706</v>
      </c>
      <c r="P209" s="1">
        <v>0</v>
      </c>
      <c r="Q209" s="1">
        <v>0</v>
      </c>
      <c r="R209" s="12">
        <v>43374</v>
      </c>
      <c r="S209" s="1">
        <v>5761</v>
      </c>
      <c r="T209" s="9" t="s">
        <v>21</v>
      </c>
    </row>
    <row r="210" spans="1:20" x14ac:dyDescent="0.25">
      <c r="A210" s="10" t="s">
        <v>0</v>
      </c>
      <c r="B210" t="b">
        <v>0</v>
      </c>
      <c r="C210" t="b">
        <v>0</v>
      </c>
      <c r="D210" s="1">
        <v>3025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f t="shared" si="8"/>
        <v>3025</v>
      </c>
      <c r="K210" s="1">
        <v>910</v>
      </c>
      <c r="L210" s="1">
        <v>0</v>
      </c>
      <c r="M210" s="1">
        <v>199</v>
      </c>
      <c r="N210" s="1">
        <f t="shared" si="7"/>
        <v>1109</v>
      </c>
      <c r="O210" s="9">
        <v>892</v>
      </c>
      <c r="P210" s="1">
        <v>0</v>
      </c>
      <c r="Q210" s="1">
        <v>0</v>
      </c>
      <c r="R210" s="12">
        <v>43405</v>
      </c>
      <c r="S210" s="1">
        <v>5026</v>
      </c>
      <c r="T210" s="9" t="s">
        <v>21</v>
      </c>
    </row>
    <row r="211" spans="1:20" x14ac:dyDescent="0.25">
      <c r="A211" s="10" t="s">
        <v>0</v>
      </c>
      <c r="B211" t="b">
        <v>0</v>
      </c>
      <c r="C211" t="b">
        <v>0</v>
      </c>
      <c r="D211" s="1">
        <v>1578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f t="shared" si="8"/>
        <v>1578</v>
      </c>
      <c r="K211" s="1">
        <v>471</v>
      </c>
      <c r="L211" s="1">
        <v>0</v>
      </c>
      <c r="M211" s="1">
        <v>198</v>
      </c>
      <c r="N211" s="1">
        <f t="shared" si="7"/>
        <v>669</v>
      </c>
      <c r="O211" s="9">
        <v>444</v>
      </c>
      <c r="P211" s="1">
        <v>0</v>
      </c>
      <c r="Q211" s="1">
        <v>0</v>
      </c>
      <c r="R211" s="12">
        <v>43435</v>
      </c>
      <c r="S211" s="1">
        <v>2691</v>
      </c>
      <c r="T211" s="9" t="s">
        <v>21</v>
      </c>
    </row>
    <row r="212" spans="1:20" x14ac:dyDescent="0.25">
      <c r="A212" s="10" t="s">
        <v>0</v>
      </c>
      <c r="B212" t="b">
        <v>0</v>
      </c>
      <c r="C212" t="b">
        <v>0</v>
      </c>
      <c r="D212" s="1">
        <v>305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f t="shared" si="8"/>
        <v>305</v>
      </c>
      <c r="K212" s="1">
        <v>197</v>
      </c>
      <c r="L212" s="1">
        <v>0</v>
      </c>
      <c r="M212" s="1">
        <v>89</v>
      </c>
      <c r="N212" s="1">
        <f t="shared" si="7"/>
        <v>286</v>
      </c>
      <c r="O212" s="9">
        <v>238</v>
      </c>
      <c r="P212" s="1">
        <v>0</v>
      </c>
      <c r="Q212" s="1">
        <v>0</v>
      </c>
      <c r="R212" s="12">
        <v>43466</v>
      </c>
      <c r="S212" s="1">
        <v>829</v>
      </c>
      <c r="T212" s="9" t="s">
        <v>21</v>
      </c>
    </row>
    <row r="213" spans="1:20" x14ac:dyDescent="0.25">
      <c r="A213" s="10" t="s">
        <v>0</v>
      </c>
      <c r="B213" t="b">
        <v>0</v>
      </c>
      <c r="C213" t="b">
        <v>0</v>
      </c>
      <c r="D213" s="1">
        <v>148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f t="shared" si="8"/>
        <v>148</v>
      </c>
      <c r="K213" s="1">
        <v>202</v>
      </c>
      <c r="L213" s="1">
        <v>0</v>
      </c>
      <c r="M213" s="1">
        <v>90</v>
      </c>
      <c r="N213" s="1">
        <f t="shared" si="7"/>
        <v>292</v>
      </c>
      <c r="O213" s="9">
        <v>56</v>
      </c>
      <c r="P213" s="1">
        <v>0</v>
      </c>
      <c r="Q213" s="1">
        <v>0</v>
      </c>
      <c r="R213" s="12">
        <v>43497</v>
      </c>
      <c r="S213" s="1">
        <v>496</v>
      </c>
      <c r="T213" s="9" t="s">
        <v>21</v>
      </c>
    </row>
    <row r="214" spans="1:20" x14ac:dyDescent="0.25">
      <c r="A214" s="10" t="s">
        <v>0</v>
      </c>
      <c r="B214" t="b">
        <v>0</v>
      </c>
      <c r="C214" t="b">
        <v>0</v>
      </c>
      <c r="D214" s="1">
        <v>1089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f t="shared" si="8"/>
        <v>1089</v>
      </c>
      <c r="K214" s="1">
        <v>690</v>
      </c>
      <c r="L214" s="1">
        <v>0</v>
      </c>
      <c r="M214" s="1">
        <v>531</v>
      </c>
      <c r="N214" s="1">
        <f t="shared" si="7"/>
        <v>1221</v>
      </c>
      <c r="O214" s="9">
        <v>289</v>
      </c>
      <c r="P214" s="1">
        <v>0</v>
      </c>
      <c r="Q214" s="1">
        <v>0</v>
      </c>
      <c r="R214" s="12">
        <v>43525</v>
      </c>
      <c r="S214" s="1">
        <v>2599</v>
      </c>
      <c r="T214" s="9" t="s">
        <v>21</v>
      </c>
    </row>
    <row r="215" spans="1:20" x14ac:dyDescent="0.25">
      <c r="A215" s="10" t="s">
        <v>0</v>
      </c>
      <c r="B215" t="b">
        <v>0</v>
      </c>
      <c r="C215" t="b">
        <v>0</v>
      </c>
      <c r="D215" s="1">
        <v>3070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f t="shared" si="8"/>
        <v>3070</v>
      </c>
      <c r="K215" s="1">
        <v>715</v>
      </c>
      <c r="L215" s="1">
        <v>0</v>
      </c>
      <c r="M215" s="1">
        <v>143</v>
      </c>
      <c r="N215" s="1">
        <f t="shared" si="7"/>
        <v>858</v>
      </c>
      <c r="O215" s="9">
        <v>499</v>
      </c>
      <c r="P215" s="1">
        <v>0</v>
      </c>
      <c r="Q215" s="1">
        <v>0</v>
      </c>
      <c r="R215" s="12">
        <v>43556</v>
      </c>
      <c r="S215" s="1">
        <v>4427</v>
      </c>
      <c r="T215" s="9" t="s">
        <v>21</v>
      </c>
    </row>
    <row r="216" spans="1:20" x14ac:dyDescent="0.25">
      <c r="A216" s="10" t="s">
        <v>0</v>
      </c>
      <c r="B216" t="b">
        <v>0</v>
      </c>
      <c r="C216" t="b">
        <v>0</v>
      </c>
      <c r="D216" s="1">
        <v>2133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f t="shared" si="8"/>
        <v>2133</v>
      </c>
      <c r="K216" s="1">
        <v>948</v>
      </c>
      <c r="L216" s="1">
        <v>0</v>
      </c>
      <c r="M216" s="1">
        <v>86</v>
      </c>
      <c r="N216" s="1">
        <f t="shared" si="7"/>
        <v>1034</v>
      </c>
      <c r="O216" s="9">
        <v>319</v>
      </c>
      <c r="P216" s="1">
        <v>0</v>
      </c>
      <c r="Q216" s="1">
        <v>0</v>
      </c>
      <c r="R216" s="12">
        <v>43586</v>
      </c>
      <c r="S216" s="1">
        <v>3486</v>
      </c>
      <c r="T216" s="9" t="s">
        <v>21</v>
      </c>
    </row>
    <row r="217" spans="1:20" x14ac:dyDescent="0.25">
      <c r="A217" s="10" t="s">
        <v>0</v>
      </c>
      <c r="B217" t="b">
        <v>0</v>
      </c>
      <c r="C217" t="b">
        <v>0</v>
      </c>
      <c r="D217" s="1">
        <v>3160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f t="shared" si="8"/>
        <v>3160</v>
      </c>
      <c r="K217" s="1">
        <v>1775</v>
      </c>
      <c r="L217" s="1">
        <v>0</v>
      </c>
      <c r="M217" s="1">
        <v>358</v>
      </c>
      <c r="N217" s="1">
        <f t="shared" si="7"/>
        <v>2133</v>
      </c>
      <c r="O217" s="9">
        <v>265</v>
      </c>
      <c r="P217" s="1">
        <v>0</v>
      </c>
      <c r="Q217" s="1">
        <v>0</v>
      </c>
      <c r="R217" s="12">
        <v>43617</v>
      </c>
      <c r="S217" s="1">
        <v>5558</v>
      </c>
      <c r="T217" s="9" t="s">
        <v>21</v>
      </c>
    </row>
    <row r="218" spans="1:20" x14ac:dyDescent="0.25">
      <c r="A218" s="10" t="s">
        <v>0</v>
      </c>
      <c r="B218" t="b">
        <v>0</v>
      </c>
      <c r="C218" t="b">
        <v>0</v>
      </c>
      <c r="D218" s="1">
        <v>3863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f t="shared" si="8"/>
        <v>3863</v>
      </c>
      <c r="K218" s="1">
        <v>950</v>
      </c>
      <c r="L218" s="1">
        <v>0</v>
      </c>
      <c r="M218" s="1">
        <v>187</v>
      </c>
      <c r="N218" s="1">
        <f t="shared" si="7"/>
        <v>1137</v>
      </c>
      <c r="O218" s="9">
        <v>313</v>
      </c>
      <c r="P218" s="1">
        <v>0</v>
      </c>
      <c r="Q218" s="1">
        <v>0</v>
      </c>
      <c r="R218" s="12">
        <v>43647</v>
      </c>
      <c r="S218" s="1">
        <v>5313</v>
      </c>
      <c r="T218" s="9" t="s">
        <v>21</v>
      </c>
    </row>
    <row r="219" spans="1:20" x14ac:dyDescent="0.25">
      <c r="A219" s="10" t="s">
        <v>0</v>
      </c>
      <c r="B219" t="b">
        <v>0</v>
      </c>
      <c r="C219" t="b">
        <v>0</v>
      </c>
      <c r="D219" s="1">
        <v>4202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f t="shared" si="8"/>
        <v>4202</v>
      </c>
      <c r="K219" s="1">
        <v>1546</v>
      </c>
      <c r="L219" s="1">
        <v>0</v>
      </c>
      <c r="M219" s="1">
        <v>172</v>
      </c>
      <c r="N219" s="1">
        <f t="shared" si="7"/>
        <v>1718</v>
      </c>
      <c r="O219" s="9">
        <v>426</v>
      </c>
      <c r="P219" s="1">
        <v>0</v>
      </c>
      <c r="Q219" s="1">
        <v>0</v>
      </c>
      <c r="R219" s="12">
        <v>43678</v>
      </c>
      <c r="S219" s="1">
        <v>6346</v>
      </c>
      <c r="T219" s="9" t="s">
        <v>21</v>
      </c>
    </row>
    <row r="220" spans="1:20" x14ac:dyDescent="0.25">
      <c r="A220" s="10" t="s">
        <v>0</v>
      </c>
      <c r="B220" t="b">
        <v>0</v>
      </c>
      <c r="C220" t="b">
        <v>0</v>
      </c>
      <c r="D220" s="1">
        <v>4138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f t="shared" si="8"/>
        <v>4138</v>
      </c>
      <c r="K220" s="1">
        <v>1159</v>
      </c>
      <c r="L220" s="1">
        <v>0</v>
      </c>
      <c r="M220" s="1">
        <v>229</v>
      </c>
      <c r="N220" s="1">
        <f t="shared" si="7"/>
        <v>1388</v>
      </c>
      <c r="O220" s="9">
        <v>582</v>
      </c>
      <c r="P220" s="1">
        <v>0</v>
      </c>
      <c r="Q220" s="1">
        <v>0</v>
      </c>
      <c r="R220" s="12">
        <v>43709</v>
      </c>
      <c r="S220" s="1">
        <v>6108</v>
      </c>
      <c r="T220" s="9" t="s">
        <v>21</v>
      </c>
    </row>
    <row r="221" spans="1:20" x14ac:dyDescent="0.25">
      <c r="A221" s="10" t="s">
        <v>0</v>
      </c>
      <c r="B221" t="b">
        <v>0</v>
      </c>
      <c r="C221" t="b">
        <v>0</v>
      </c>
      <c r="D221" s="1">
        <v>2648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f t="shared" si="8"/>
        <v>2648</v>
      </c>
      <c r="K221" s="1">
        <v>660</v>
      </c>
      <c r="L221" s="1">
        <v>0</v>
      </c>
      <c r="M221" s="1">
        <v>30</v>
      </c>
      <c r="N221" s="1">
        <f t="shared" si="7"/>
        <v>690</v>
      </c>
      <c r="O221" s="9">
        <v>691</v>
      </c>
      <c r="P221" s="1">
        <v>0</v>
      </c>
      <c r="Q221" s="1">
        <v>0</v>
      </c>
      <c r="R221" s="12">
        <v>43739</v>
      </c>
      <c r="S221" s="1">
        <v>4029</v>
      </c>
      <c r="T221" s="9" t="s">
        <v>21</v>
      </c>
    </row>
    <row r="222" spans="1:20" x14ac:dyDescent="0.25">
      <c r="A222" s="10" t="s">
        <v>0</v>
      </c>
      <c r="B222" t="b">
        <v>0</v>
      </c>
      <c r="C222" t="b">
        <v>0</v>
      </c>
      <c r="D222" s="1">
        <v>2140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f t="shared" si="8"/>
        <v>2140</v>
      </c>
      <c r="K222" s="1">
        <v>405</v>
      </c>
      <c r="L222" s="1">
        <v>0</v>
      </c>
      <c r="M222" s="1">
        <v>105</v>
      </c>
      <c r="N222" s="1">
        <f t="shared" ref="N222:N264" si="9">K222+L222+M222</f>
        <v>510</v>
      </c>
      <c r="O222" s="9">
        <v>686</v>
      </c>
      <c r="P222" s="1">
        <v>0</v>
      </c>
      <c r="Q222" s="1">
        <v>0</v>
      </c>
      <c r="R222" s="12">
        <v>43770</v>
      </c>
      <c r="S222" s="1">
        <v>3336</v>
      </c>
      <c r="T222" s="9" t="s">
        <v>21</v>
      </c>
    </row>
    <row r="223" spans="1:20" x14ac:dyDescent="0.25">
      <c r="A223" s="10" t="s">
        <v>0</v>
      </c>
      <c r="B223" t="b">
        <v>0</v>
      </c>
      <c r="C223" t="b">
        <v>0</v>
      </c>
      <c r="D223" s="1">
        <v>792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f t="shared" si="8"/>
        <v>792</v>
      </c>
      <c r="K223" s="1">
        <v>327</v>
      </c>
      <c r="L223" s="1">
        <v>0</v>
      </c>
      <c r="M223" s="1">
        <v>0</v>
      </c>
      <c r="N223" s="1">
        <f t="shared" si="9"/>
        <v>327</v>
      </c>
      <c r="O223" s="9">
        <v>281</v>
      </c>
      <c r="P223" s="1">
        <v>0</v>
      </c>
      <c r="Q223" s="1">
        <v>0</v>
      </c>
      <c r="R223" s="12">
        <v>43800</v>
      </c>
      <c r="S223" s="1">
        <v>1400</v>
      </c>
      <c r="T223" s="9" t="s">
        <v>21</v>
      </c>
    </row>
    <row r="224" spans="1:20" x14ac:dyDescent="0.25">
      <c r="A224" s="10" t="s">
        <v>0</v>
      </c>
      <c r="B224" t="b">
        <v>0</v>
      </c>
      <c r="C224" t="b">
        <v>0</v>
      </c>
      <c r="D224" s="1">
        <v>1186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f t="shared" si="8"/>
        <v>1186</v>
      </c>
      <c r="K224" s="1">
        <v>325</v>
      </c>
      <c r="L224" s="1">
        <v>0</v>
      </c>
      <c r="M224" s="1">
        <v>0</v>
      </c>
      <c r="N224" s="1">
        <f t="shared" si="9"/>
        <v>325</v>
      </c>
      <c r="O224" s="9">
        <v>229</v>
      </c>
      <c r="P224" s="1">
        <v>0</v>
      </c>
      <c r="Q224" s="1">
        <v>0</v>
      </c>
      <c r="R224" s="12">
        <v>43831</v>
      </c>
      <c r="S224" s="1">
        <v>1740</v>
      </c>
      <c r="T224" s="9" t="s">
        <v>21</v>
      </c>
    </row>
    <row r="225" spans="1:20" x14ac:dyDescent="0.25">
      <c r="A225" s="10" t="s">
        <v>0</v>
      </c>
      <c r="B225" t="b">
        <v>0</v>
      </c>
      <c r="C225" t="b">
        <v>0</v>
      </c>
      <c r="D225" s="1">
        <v>1338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f t="shared" si="8"/>
        <v>1338</v>
      </c>
      <c r="K225" s="1">
        <v>286</v>
      </c>
      <c r="L225" s="1">
        <v>0</v>
      </c>
      <c r="M225" s="1">
        <v>30</v>
      </c>
      <c r="N225" s="1">
        <f t="shared" si="9"/>
        <v>316</v>
      </c>
      <c r="O225" s="9">
        <v>359</v>
      </c>
      <c r="P225" s="1">
        <v>0</v>
      </c>
      <c r="Q225" s="1">
        <v>0</v>
      </c>
      <c r="R225" s="12">
        <v>43862</v>
      </c>
      <c r="S225" s="1">
        <v>2013</v>
      </c>
      <c r="T225" s="9" t="s">
        <v>21</v>
      </c>
    </row>
    <row r="226" spans="1:20" x14ac:dyDescent="0.25">
      <c r="A226" s="10" t="s">
        <v>0</v>
      </c>
      <c r="B226" t="b">
        <v>0</v>
      </c>
      <c r="C226" t="b">
        <v>0</v>
      </c>
      <c r="D226" s="1">
        <v>1964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f t="shared" si="8"/>
        <v>1964</v>
      </c>
      <c r="K226" s="1">
        <v>339</v>
      </c>
      <c r="L226" s="1">
        <v>0</v>
      </c>
      <c r="M226" s="1">
        <v>0</v>
      </c>
      <c r="N226" s="1">
        <f t="shared" si="9"/>
        <v>339</v>
      </c>
      <c r="O226" s="9">
        <v>490</v>
      </c>
      <c r="P226" s="1">
        <v>0</v>
      </c>
      <c r="Q226" s="1">
        <v>0</v>
      </c>
      <c r="R226" s="12">
        <v>43891</v>
      </c>
      <c r="S226" s="1">
        <v>2793</v>
      </c>
      <c r="T226" s="9" t="s">
        <v>21</v>
      </c>
    </row>
    <row r="227" spans="1:20" x14ac:dyDescent="0.25">
      <c r="A227" s="10" t="s">
        <v>0</v>
      </c>
      <c r="B227" t="b">
        <v>0</v>
      </c>
      <c r="C227" t="b">
        <v>0</v>
      </c>
      <c r="D227" s="1">
        <v>11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f t="shared" si="8"/>
        <v>11</v>
      </c>
      <c r="K227" s="1">
        <v>0</v>
      </c>
      <c r="L227" s="1">
        <v>0</v>
      </c>
      <c r="M227" s="1">
        <v>0</v>
      </c>
      <c r="N227" s="1">
        <f t="shared" si="9"/>
        <v>0</v>
      </c>
      <c r="O227" s="9">
        <v>2</v>
      </c>
      <c r="P227" s="1">
        <v>0</v>
      </c>
      <c r="Q227" s="1">
        <v>0</v>
      </c>
      <c r="R227" s="12">
        <v>43922</v>
      </c>
      <c r="S227" s="1">
        <v>13</v>
      </c>
      <c r="T227" s="9" t="s">
        <v>21</v>
      </c>
    </row>
    <row r="228" spans="1:20" x14ac:dyDescent="0.25">
      <c r="A228" s="10" t="s">
        <v>0</v>
      </c>
      <c r="B228" t="b">
        <v>0</v>
      </c>
      <c r="C228" t="b">
        <v>0</v>
      </c>
      <c r="D228" s="1">
        <v>288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f t="shared" si="8"/>
        <v>288</v>
      </c>
      <c r="K228" s="1">
        <v>0</v>
      </c>
      <c r="L228" s="1">
        <v>0</v>
      </c>
      <c r="M228" s="1">
        <v>0</v>
      </c>
      <c r="N228" s="1">
        <f t="shared" si="9"/>
        <v>0</v>
      </c>
      <c r="O228" s="9">
        <v>12</v>
      </c>
      <c r="P228" s="1">
        <v>0</v>
      </c>
      <c r="Q228" s="1">
        <v>0</v>
      </c>
      <c r="R228" s="12">
        <v>43952</v>
      </c>
      <c r="S228" s="1">
        <v>300</v>
      </c>
      <c r="T228" s="9" t="s">
        <v>21</v>
      </c>
    </row>
    <row r="229" spans="1:20" x14ac:dyDescent="0.25">
      <c r="A229" s="10" t="s">
        <v>0</v>
      </c>
      <c r="B229" t="b">
        <v>0</v>
      </c>
      <c r="C229" t="b">
        <v>0</v>
      </c>
      <c r="D229" s="1">
        <v>5690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f t="shared" si="8"/>
        <v>5690</v>
      </c>
      <c r="K229" s="1">
        <v>70</v>
      </c>
      <c r="L229" s="1">
        <v>0</v>
      </c>
      <c r="M229" s="1">
        <v>0</v>
      </c>
      <c r="N229" s="1">
        <f t="shared" si="9"/>
        <v>70</v>
      </c>
      <c r="O229" s="9">
        <v>285</v>
      </c>
      <c r="P229" s="1">
        <v>0</v>
      </c>
      <c r="Q229" s="1">
        <v>0</v>
      </c>
      <c r="R229" s="12">
        <v>43983</v>
      </c>
      <c r="S229" s="1">
        <v>6045</v>
      </c>
      <c r="T229" s="9" t="s">
        <v>21</v>
      </c>
    </row>
    <row r="230" spans="1:20" x14ac:dyDescent="0.25">
      <c r="A230" s="10" t="s">
        <v>0</v>
      </c>
      <c r="B230" t="b">
        <v>0</v>
      </c>
      <c r="C230" t="b">
        <v>0</v>
      </c>
      <c r="D230" s="1">
        <v>5836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f t="shared" si="8"/>
        <v>5836</v>
      </c>
      <c r="K230" s="1">
        <v>526</v>
      </c>
      <c r="L230" s="1">
        <v>0</v>
      </c>
      <c r="M230" s="1">
        <v>0</v>
      </c>
      <c r="N230" s="1">
        <f t="shared" si="9"/>
        <v>526</v>
      </c>
      <c r="O230" s="9">
        <v>508</v>
      </c>
      <c r="P230" s="1">
        <v>0</v>
      </c>
      <c r="Q230" s="1">
        <v>0</v>
      </c>
      <c r="R230" s="12">
        <v>44013</v>
      </c>
      <c r="S230" s="1">
        <v>6870</v>
      </c>
      <c r="T230" s="9" t="s">
        <v>21</v>
      </c>
    </row>
    <row r="231" spans="1:20" x14ac:dyDescent="0.25">
      <c r="A231" s="10" t="s">
        <v>0</v>
      </c>
      <c r="B231" t="b">
        <v>0</v>
      </c>
      <c r="C231" t="b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f t="shared" si="8"/>
        <v>0</v>
      </c>
      <c r="K231" s="1">
        <v>0</v>
      </c>
      <c r="L231" s="1">
        <v>0</v>
      </c>
      <c r="M231" s="1">
        <v>0</v>
      </c>
      <c r="N231" s="1">
        <f t="shared" si="9"/>
        <v>0</v>
      </c>
      <c r="O231" s="9">
        <v>0</v>
      </c>
      <c r="P231" s="1">
        <v>0</v>
      </c>
      <c r="Q231" s="1">
        <v>0</v>
      </c>
      <c r="R231" s="12">
        <v>44013</v>
      </c>
      <c r="S231" s="1">
        <v>0</v>
      </c>
      <c r="T231" s="9" t="s">
        <v>21</v>
      </c>
    </row>
    <row r="232" spans="1:20" x14ac:dyDescent="0.25">
      <c r="A232" s="10" t="s">
        <v>0</v>
      </c>
      <c r="B232" t="b">
        <v>0</v>
      </c>
      <c r="C232" t="b">
        <v>0</v>
      </c>
      <c r="D232" s="1">
        <v>6595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f t="shared" si="8"/>
        <v>6595</v>
      </c>
      <c r="K232" s="1">
        <v>535</v>
      </c>
      <c r="L232" s="1">
        <v>0</v>
      </c>
      <c r="M232" s="1">
        <v>0</v>
      </c>
      <c r="N232" s="1">
        <f t="shared" si="9"/>
        <v>535</v>
      </c>
      <c r="O232" s="9">
        <v>751</v>
      </c>
      <c r="P232" s="1">
        <v>0</v>
      </c>
      <c r="Q232" s="1">
        <v>0</v>
      </c>
      <c r="R232" s="12">
        <v>44044</v>
      </c>
      <c r="S232" s="1">
        <v>7881</v>
      </c>
      <c r="T232" s="9" t="s">
        <v>21</v>
      </c>
    </row>
    <row r="233" spans="1:20" x14ac:dyDescent="0.25">
      <c r="A233" s="10" t="s">
        <v>0</v>
      </c>
      <c r="B233" t="b">
        <v>0</v>
      </c>
      <c r="C233" t="b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f t="shared" si="8"/>
        <v>0</v>
      </c>
      <c r="K233" s="1">
        <v>0</v>
      </c>
      <c r="L233" s="1">
        <v>0</v>
      </c>
      <c r="M233" s="1">
        <v>0</v>
      </c>
      <c r="N233" s="1">
        <f t="shared" si="9"/>
        <v>0</v>
      </c>
      <c r="O233" s="9">
        <v>0</v>
      </c>
      <c r="P233" s="1">
        <v>0</v>
      </c>
      <c r="Q233" s="1">
        <v>0</v>
      </c>
      <c r="R233" s="12">
        <v>44044</v>
      </c>
      <c r="S233" s="1">
        <v>0</v>
      </c>
      <c r="T233" s="9" t="s">
        <v>21</v>
      </c>
    </row>
    <row r="234" spans="1:20" x14ac:dyDescent="0.25">
      <c r="A234" s="10" t="s">
        <v>0</v>
      </c>
      <c r="B234" t="b">
        <v>0</v>
      </c>
      <c r="C234" t="b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f t="shared" si="8"/>
        <v>0</v>
      </c>
      <c r="K234" s="1">
        <v>0</v>
      </c>
      <c r="L234" s="1">
        <v>0</v>
      </c>
      <c r="M234" s="1">
        <v>0</v>
      </c>
      <c r="N234" s="1">
        <f t="shared" si="9"/>
        <v>0</v>
      </c>
      <c r="O234" s="9">
        <v>0</v>
      </c>
      <c r="P234" s="1">
        <v>0</v>
      </c>
      <c r="Q234" s="1">
        <v>0</v>
      </c>
      <c r="R234" s="12">
        <v>44075</v>
      </c>
      <c r="S234" s="1">
        <v>0</v>
      </c>
      <c r="T234" s="9" t="s">
        <v>21</v>
      </c>
    </row>
    <row r="235" spans="1:20" x14ac:dyDescent="0.25">
      <c r="A235" s="10" t="s">
        <v>0</v>
      </c>
      <c r="B235" t="b">
        <v>0</v>
      </c>
      <c r="C235" t="b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f t="shared" si="8"/>
        <v>0</v>
      </c>
      <c r="K235" s="1">
        <v>0</v>
      </c>
      <c r="L235" s="1">
        <v>0</v>
      </c>
      <c r="M235" s="1">
        <v>0</v>
      </c>
      <c r="N235" s="1">
        <f t="shared" si="9"/>
        <v>0</v>
      </c>
      <c r="O235" s="9">
        <v>0</v>
      </c>
      <c r="P235" s="1">
        <v>0</v>
      </c>
      <c r="Q235" s="1">
        <v>0</v>
      </c>
      <c r="R235" s="12">
        <v>44105</v>
      </c>
      <c r="S235" s="1">
        <v>0</v>
      </c>
      <c r="T235" s="9" t="s">
        <v>21</v>
      </c>
    </row>
    <row r="236" spans="1:20" x14ac:dyDescent="0.25">
      <c r="A236" s="10" t="s">
        <v>0</v>
      </c>
      <c r="B236" t="b">
        <v>0</v>
      </c>
      <c r="C236" t="b">
        <v>0</v>
      </c>
      <c r="D236" s="1">
        <v>4753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f t="shared" si="8"/>
        <v>4753</v>
      </c>
      <c r="K236" s="1">
        <v>594</v>
      </c>
      <c r="L236" s="1">
        <v>0</v>
      </c>
      <c r="M236" s="1">
        <v>0</v>
      </c>
      <c r="N236" s="1">
        <f t="shared" si="9"/>
        <v>594</v>
      </c>
      <c r="O236" s="9">
        <v>1502</v>
      </c>
      <c r="P236" s="1">
        <v>0</v>
      </c>
      <c r="Q236" s="1">
        <v>0</v>
      </c>
      <c r="R236" s="12">
        <v>44136</v>
      </c>
      <c r="S236" s="1">
        <v>6849</v>
      </c>
      <c r="T236" s="9" t="s">
        <v>21</v>
      </c>
    </row>
    <row r="237" spans="1:20" x14ac:dyDescent="0.25">
      <c r="A237" s="10" t="s">
        <v>0</v>
      </c>
      <c r="B237" t="b">
        <v>0</v>
      </c>
      <c r="C237" t="b">
        <v>0</v>
      </c>
      <c r="D237" s="1">
        <v>2346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f t="shared" si="8"/>
        <v>2346</v>
      </c>
      <c r="K237" s="1">
        <v>78</v>
      </c>
      <c r="L237" s="1">
        <v>0</v>
      </c>
      <c r="M237" s="1">
        <v>0</v>
      </c>
      <c r="N237" s="1">
        <f t="shared" si="9"/>
        <v>78</v>
      </c>
      <c r="O237" s="9">
        <v>592</v>
      </c>
      <c r="P237" s="1">
        <v>0</v>
      </c>
      <c r="Q237" s="1">
        <v>0</v>
      </c>
      <c r="R237" s="12">
        <v>44166</v>
      </c>
      <c r="S237" s="1">
        <v>3016</v>
      </c>
      <c r="T237" s="9" t="s">
        <v>21</v>
      </c>
    </row>
    <row r="238" spans="1:20" x14ac:dyDescent="0.25">
      <c r="A238" s="10" t="s">
        <v>18</v>
      </c>
      <c r="B238" t="b">
        <v>0</v>
      </c>
      <c r="C238" t="b">
        <v>0</v>
      </c>
      <c r="D238" s="1">
        <v>0</v>
      </c>
      <c r="E238" s="1">
        <v>0</v>
      </c>
      <c r="F238" s="1">
        <v>0</v>
      </c>
      <c r="G238" s="1">
        <v>964</v>
      </c>
      <c r="H238" s="1">
        <v>0</v>
      </c>
      <c r="I238" s="1">
        <v>0</v>
      </c>
      <c r="J238" s="1">
        <f>D238+E238+F238+G238+H238+I238</f>
        <v>964</v>
      </c>
      <c r="K238" s="1">
        <v>0</v>
      </c>
      <c r="L238" s="1">
        <v>0</v>
      </c>
      <c r="M238" s="1">
        <v>0</v>
      </c>
      <c r="N238" s="1">
        <f t="shared" si="9"/>
        <v>0</v>
      </c>
      <c r="O238" s="9">
        <f>J238</f>
        <v>964</v>
      </c>
      <c r="P238" s="1">
        <v>0</v>
      </c>
      <c r="Q238" s="1">
        <v>0</v>
      </c>
      <c r="R238" s="12">
        <v>37073</v>
      </c>
      <c r="S238" s="1">
        <v>964</v>
      </c>
      <c r="T238" s="9" t="s">
        <v>46</v>
      </c>
    </row>
    <row r="239" spans="1:20" x14ac:dyDescent="0.25">
      <c r="A239" s="10" t="s">
        <v>18</v>
      </c>
      <c r="B239" t="b">
        <v>0</v>
      </c>
      <c r="C239" t="b">
        <v>0</v>
      </c>
      <c r="D239" s="1">
        <v>0</v>
      </c>
      <c r="E239" s="1">
        <v>0</v>
      </c>
      <c r="F239" s="1">
        <v>0</v>
      </c>
      <c r="G239" s="1">
        <v>1067</v>
      </c>
      <c r="H239" s="1">
        <v>0</v>
      </c>
      <c r="I239" s="1">
        <v>0</v>
      </c>
      <c r="J239" s="1">
        <f t="shared" ref="J239:J302" si="10">D239+E239+F239+G239+H239+I239</f>
        <v>1067</v>
      </c>
      <c r="K239" s="1">
        <v>0</v>
      </c>
      <c r="L239" s="1">
        <v>0</v>
      </c>
      <c r="M239" s="1">
        <v>0</v>
      </c>
      <c r="N239" s="1">
        <f t="shared" si="9"/>
        <v>0</v>
      </c>
      <c r="O239" s="9">
        <f t="shared" ref="O239:O302" si="11">J239</f>
        <v>1067</v>
      </c>
      <c r="P239" s="1">
        <v>0</v>
      </c>
      <c r="Q239" s="1">
        <v>0</v>
      </c>
      <c r="R239" s="12">
        <v>37104</v>
      </c>
      <c r="S239" s="1">
        <v>1067</v>
      </c>
      <c r="T239" s="9" t="s">
        <v>46</v>
      </c>
    </row>
    <row r="240" spans="1:20" x14ac:dyDescent="0.25">
      <c r="A240" s="10" t="s">
        <v>18</v>
      </c>
      <c r="B240" t="b">
        <v>0</v>
      </c>
      <c r="C240" t="b">
        <v>0</v>
      </c>
      <c r="D240" s="1">
        <v>0</v>
      </c>
      <c r="E240" s="1">
        <v>0</v>
      </c>
      <c r="F240" s="1">
        <v>0</v>
      </c>
      <c r="G240" s="1">
        <v>1127</v>
      </c>
      <c r="H240" s="1">
        <v>0</v>
      </c>
      <c r="I240" s="1">
        <v>0</v>
      </c>
      <c r="J240" s="1">
        <f t="shared" si="10"/>
        <v>1127</v>
      </c>
      <c r="K240" s="1">
        <v>0</v>
      </c>
      <c r="L240" s="1">
        <v>0</v>
      </c>
      <c r="M240" s="1">
        <v>0</v>
      </c>
      <c r="N240" s="1">
        <f t="shared" si="9"/>
        <v>0</v>
      </c>
      <c r="O240" s="9">
        <f t="shared" si="11"/>
        <v>1127</v>
      </c>
      <c r="P240" s="1">
        <v>0</v>
      </c>
      <c r="Q240" s="1">
        <v>0</v>
      </c>
      <c r="R240" s="12">
        <v>37135</v>
      </c>
      <c r="S240" s="1">
        <v>1127</v>
      </c>
      <c r="T240" s="9" t="s">
        <v>46</v>
      </c>
    </row>
    <row r="241" spans="1:20" x14ac:dyDescent="0.25">
      <c r="A241" s="10" t="s">
        <v>18</v>
      </c>
      <c r="B241" t="b">
        <v>0</v>
      </c>
      <c r="C241" t="b">
        <v>0</v>
      </c>
      <c r="D241" s="1">
        <v>0</v>
      </c>
      <c r="E241" s="1">
        <v>0</v>
      </c>
      <c r="F241" s="1">
        <v>0</v>
      </c>
      <c r="G241" s="1">
        <v>864</v>
      </c>
      <c r="H241" s="1">
        <v>0</v>
      </c>
      <c r="I241" s="1">
        <v>0</v>
      </c>
      <c r="J241" s="1">
        <f t="shared" si="10"/>
        <v>864</v>
      </c>
      <c r="K241" s="1">
        <v>0</v>
      </c>
      <c r="L241" s="1">
        <v>0</v>
      </c>
      <c r="M241" s="1">
        <v>0</v>
      </c>
      <c r="N241" s="1">
        <f t="shared" si="9"/>
        <v>0</v>
      </c>
      <c r="O241" s="9">
        <f t="shared" si="11"/>
        <v>864</v>
      </c>
      <c r="P241" s="1">
        <v>0</v>
      </c>
      <c r="Q241" s="1">
        <v>0</v>
      </c>
      <c r="R241" s="12">
        <v>37165</v>
      </c>
      <c r="S241" s="1">
        <v>864</v>
      </c>
      <c r="T241" s="9" t="s">
        <v>46</v>
      </c>
    </row>
    <row r="242" spans="1:20" x14ac:dyDescent="0.25">
      <c r="A242" s="10" t="s">
        <v>18</v>
      </c>
      <c r="B242" t="b">
        <v>0</v>
      </c>
      <c r="C242" t="b">
        <v>0</v>
      </c>
      <c r="D242" s="1">
        <v>0</v>
      </c>
      <c r="E242" s="1">
        <v>0</v>
      </c>
      <c r="F242" s="1">
        <v>0</v>
      </c>
      <c r="G242" s="1">
        <v>1265</v>
      </c>
      <c r="H242" s="1">
        <v>0</v>
      </c>
      <c r="I242" s="1">
        <v>0</v>
      </c>
      <c r="J242" s="1">
        <f t="shared" si="10"/>
        <v>1265</v>
      </c>
      <c r="K242" s="1">
        <v>0</v>
      </c>
      <c r="L242" s="1">
        <v>0</v>
      </c>
      <c r="M242" s="1">
        <v>0</v>
      </c>
      <c r="N242" s="1">
        <f t="shared" si="9"/>
        <v>0</v>
      </c>
      <c r="O242" s="9">
        <f t="shared" si="11"/>
        <v>1265</v>
      </c>
      <c r="P242" s="1">
        <v>0</v>
      </c>
      <c r="Q242" s="1">
        <v>0</v>
      </c>
      <c r="R242" s="12">
        <v>37196</v>
      </c>
      <c r="S242" s="1">
        <v>1265</v>
      </c>
      <c r="T242" s="9" t="s">
        <v>46</v>
      </c>
    </row>
    <row r="243" spans="1:20" x14ac:dyDescent="0.25">
      <c r="A243" s="10" t="s">
        <v>18</v>
      </c>
      <c r="B243" t="b">
        <v>0</v>
      </c>
      <c r="C243" t="b">
        <v>0</v>
      </c>
      <c r="D243" s="1">
        <v>0</v>
      </c>
      <c r="E243" s="1">
        <v>0</v>
      </c>
      <c r="F243" s="1">
        <v>0</v>
      </c>
      <c r="G243" s="1">
        <v>477</v>
      </c>
      <c r="H243" s="1">
        <v>0</v>
      </c>
      <c r="I243" s="1">
        <v>0</v>
      </c>
      <c r="J243" s="1">
        <f t="shared" si="10"/>
        <v>477</v>
      </c>
      <c r="K243" s="1">
        <v>0</v>
      </c>
      <c r="L243" s="1">
        <v>0</v>
      </c>
      <c r="M243" s="1">
        <v>0</v>
      </c>
      <c r="N243" s="1">
        <f t="shared" si="9"/>
        <v>0</v>
      </c>
      <c r="O243" s="9">
        <f t="shared" si="11"/>
        <v>477</v>
      </c>
      <c r="P243" s="1">
        <v>0</v>
      </c>
      <c r="Q243" s="1">
        <v>0</v>
      </c>
      <c r="R243" s="12">
        <v>37226</v>
      </c>
      <c r="S243" s="1">
        <v>477</v>
      </c>
      <c r="T243" s="9" t="s">
        <v>46</v>
      </c>
    </row>
    <row r="244" spans="1:20" x14ac:dyDescent="0.25">
      <c r="A244" s="10" t="s">
        <v>18</v>
      </c>
      <c r="B244" t="b">
        <v>0</v>
      </c>
      <c r="C244" t="b">
        <v>0</v>
      </c>
      <c r="D244" s="1">
        <v>0</v>
      </c>
      <c r="E244" s="1">
        <v>0</v>
      </c>
      <c r="F244" s="1">
        <v>0</v>
      </c>
      <c r="G244" s="1">
        <v>612</v>
      </c>
      <c r="H244" s="1">
        <v>0</v>
      </c>
      <c r="I244" s="1">
        <v>0</v>
      </c>
      <c r="J244" s="1">
        <f t="shared" si="10"/>
        <v>612</v>
      </c>
      <c r="K244" s="1">
        <v>0</v>
      </c>
      <c r="L244" s="1">
        <v>0</v>
      </c>
      <c r="M244" s="1">
        <v>0</v>
      </c>
      <c r="N244" s="1">
        <f t="shared" si="9"/>
        <v>0</v>
      </c>
      <c r="O244" s="9">
        <f t="shared" si="11"/>
        <v>612</v>
      </c>
      <c r="P244" s="1">
        <v>0</v>
      </c>
      <c r="Q244" s="1">
        <v>0</v>
      </c>
      <c r="R244" s="12">
        <v>37257</v>
      </c>
      <c r="S244" s="1">
        <v>612</v>
      </c>
      <c r="T244" s="9" t="s">
        <v>46</v>
      </c>
    </row>
    <row r="245" spans="1:20" x14ac:dyDescent="0.25">
      <c r="A245" s="10" t="s">
        <v>18</v>
      </c>
      <c r="B245" t="b">
        <v>0</v>
      </c>
      <c r="C245" t="b">
        <v>0</v>
      </c>
      <c r="D245" s="1">
        <v>0</v>
      </c>
      <c r="E245" s="1">
        <v>0</v>
      </c>
      <c r="F245" s="1">
        <v>0</v>
      </c>
      <c r="G245" s="1">
        <v>767</v>
      </c>
      <c r="H245" s="1">
        <v>0</v>
      </c>
      <c r="I245" s="1">
        <v>0</v>
      </c>
      <c r="J245" s="1">
        <f t="shared" si="10"/>
        <v>767</v>
      </c>
      <c r="K245" s="1">
        <v>0</v>
      </c>
      <c r="L245" s="1">
        <v>0</v>
      </c>
      <c r="M245" s="1">
        <v>0</v>
      </c>
      <c r="N245" s="1">
        <f t="shared" si="9"/>
        <v>0</v>
      </c>
      <c r="O245" s="9">
        <f t="shared" si="11"/>
        <v>767</v>
      </c>
      <c r="P245" s="1">
        <v>0</v>
      </c>
      <c r="Q245" s="1">
        <v>0</v>
      </c>
      <c r="R245" s="12">
        <v>37288</v>
      </c>
      <c r="S245" s="1">
        <v>767</v>
      </c>
      <c r="T245" s="9" t="s">
        <v>46</v>
      </c>
    </row>
    <row r="246" spans="1:20" x14ac:dyDescent="0.25">
      <c r="A246" s="10" t="s">
        <v>18</v>
      </c>
      <c r="B246" t="b">
        <v>0</v>
      </c>
      <c r="C246" t="b">
        <v>0</v>
      </c>
      <c r="D246" s="1">
        <v>0</v>
      </c>
      <c r="E246" s="1">
        <v>0</v>
      </c>
      <c r="F246" s="1">
        <v>0</v>
      </c>
      <c r="G246" s="1">
        <v>1013</v>
      </c>
      <c r="H246" s="1">
        <v>0</v>
      </c>
      <c r="I246" s="1">
        <v>0</v>
      </c>
      <c r="J246" s="1">
        <f t="shared" si="10"/>
        <v>1013</v>
      </c>
      <c r="K246" s="1">
        <v>0</v>
      </c>
      <c r="L246" s="1">
        <v>0</v>
      </c>
      <c r="M246" s="1">
        <v>0</v>
      </c>
      <c r="N246" s="1">
        <f t="shared" si="9"/>
        <v>0</v>
      </c>
      <c r="O246" s="9">
        <f t="shared" si="11"/>
        <v>1013</v>
      </c>
      <c r="P246" s="1">
        <v>0</v>
      </c>
      <c r="Q246" s="1">
        <v>0</v>
      </c>
      <c r="R246" s="12">
        <v>37316</v>
      </c>
      <c r="S246" s="1">
        <v>1013</v>
      </c>
      <c r="T246" s="9" t="s">
        <v>46</v>
      </c>
    </row>
    <row r="247" spans="1:20" x14ac:dyDescent="0.25">
      <c r="A247" s="10" t="s">
        <v>18</v>
      </c>
      <c r="B247" t="b">
        <v>0</v>
      </c>
      <c r="C247" t="b">
        <v>0</v>
      </c>
      <c r="D247" s="1">
        <v>0</v>
      </c>
      <c r="E247" s="1">
        <v>0</v>
      </c>
      <c r="F247" s="1">
        <v>0</v>
      </c>
      <c r="G247" s="1">
        <v>0</v>
      </c>
      <c r="H247" s="1">
        <v>972</v>
      </c>
      <c r="I247" s="1">
        <v>0</v>
      </c>
      <c r="J247" s="1">
        <f t="shared" si="10"/>
        <v>972</v>
      </c>
      <c r="K247" s="1">
        <v>0</v>
      </c>
      <c r="L247" s="1">
        <v>0</v>
      </c>
      <c r="M247" s="1">
        <v>0</v>
      </c>
      <c r="N247" s="1">
        <f t="shared" si="9"/>
        <v>0</v>
      </c>
      <c r="O247" s="9">
        <f t="shared" si="11"/>
        <v>972</v>
      </c>
      <c r="P247" s="1">
        <v>0</v>
      </c>
      <c r="Q247" s="1">
        <v>0</v>
      </c>
      <c r="R247" s="12">
        <v>37347</v>
      </c>
      <c r="S247" s="1">
        <v>972</v>
      </c>
      <c r="T247" s="9" t="s">
        <v>46</v>
      </c>
    </row>
    <row r="248" spans="1:20" x14ac:dyDescent="0.25">
      <c r="A248" s="10" t="s">
        <v>18</v>
      </c>
      <c r="B248" t="b">
        <v>0</v>
      </c>
      <c r="C248" t="b">
        <v>0</v>
      </c>
      <c r="D248" s="1">
        <v>0</v>
      </c>
      <c r="E248" s="1">
        <v>0</v>
      </c>
      <c r="F248" s="1">
        <v>0</v>
      </c>
      <c r="G248" s="1">
        <v>1829</v>
      </c>
      <c r="H248" s="1">
        <v>0</v>
      </c>
      <c r="I248" s="1">
        <v>0</v>
      </c>
      <c r="J248" s="1">
        <f t="shared" si="10"/>
        <v>1829</v>
      </c>
      <c r="K248" s="1">
        <v>0</v>
      </c>
      <c r="L248" s="1">
        <v>0</v>
      </c>
      <c r="M248" s="1">
        <v>0</v>
      </c>
      <c r="N248" s="1">
        <f t="shared" si="9"/>
        <v>0</v>
      </c>
      <c r="O248" s="9">
        <f t="shared" si="11"/>
        <v>1829</v>
      </c>
      <c r="P248" s="1">
        <v>0</v>
      </c>
      <c r="Q248" s="1">
        <v>0</v>
      </c>
      <c r="R248" s="12">
        <v>37377</v>
      </c>
      <c r="S248" s="1">
        <v>1829</v>
      </c>
      <c r="T248" s="9" t="s">
        <v>46</v>
      </c>
    </row>
    <row r="249" spans="1:20" x14ac:dyDescent="0.25">
      <c r="A249" s="10" t="s">
        <v>18</v>
      </c>
      <c r="B249" t="b">
        <v>0</v>
      </c>
      <c r="C249" t="b">
        <v>0</v>
      </c>
      <c r="D249" s="1">
        <v>0</v>
      </c>
      <c r="E249" s="1">
        <v>0</v>
      </c>
      <c r="F249" s="1">
        <v>0</v>
      </c>
      <c r="G249" s="1">
        <v>2241</v>
      </c>
      <c r="H249" s="1">
        <v>0</v>
      </c>
      <c r="I249" s="1">
        <v>0</v>
      </c>
      <c r="J249" s="1">
        <f t="shared" si="10"/>
        <v>2241</v>
      </c>
      <c r="K249" s="1">
        <v>0</v>
      </c>
      <c r="L249" s="1">
        <v>0</v>
      </c>
      <c r="M249" s="1">
        <v>0</v>
      </c>
      <c r="N249" s="1">
        <f t="shared" si="9"/>
        <v>0</v>
      </c>
      <c r="O249" s="9">
        <f t="shared" si="11"/>
        <v>2241</v>
      </c>
      <c r="P249" s="1">
        <v>0</v>
      </c>
      <c r="Q249" s="1">
        <v>0</v>
      </c>
      <c r="R249" s="12">
        <v>37408</v>
      </c>
      <c r="S249" s="1">
        <v>2241</v>
      </c>
      <c r="T249" s="9" t="s">
        <v>46</v>
      </c>
    </row>
    <row r="250" spans="1:20" x14ac:dyDescent="0.25">
      <c r="A250" s="10" t="s">
        <v>18</v>
      </c>
      <c r="B250" t="b">
        <v>0</v>
      </c>
      <c r="C250" t="b">
        <v>0</v>
      </c>
      <c r="D250" s="1">
        <v>0</v>
      </c>
      <c r="E250" s="1">
        <v>0</v>
      </c>
      <c r="F250" s="1">
        <v>0</v>
      </c>
      <c r="G250" s="1">
        <v>1098</v>
      </c>
      <c r="H250" s="1">
        <v>0</v>
      </c>
      <c r="I250" s="1">
        <v>0</v>
      </c>
      <c r="J250" s="1">
        <f t="shared" si="10"/>
        <v>1098</v>
      </c>
      <c r="K250" s="1">
        <v>0</v>
      </c>
      <c r="L250" s="1">
        <v>0</v>
      </c>
      <c r="M250" s="1">
        <v>0</v>
      </c>
      <c r="N250" s="1">
        <f t="shared" si="9"/>
        <v>0</v>
      </c>
      <c r="O250" s="9">
        <f t="shared" si="11"/>
        <v>1098</v>
      </c>
      <c r="P250" s="1">
        <v>0</v>
      </c>
      <c r="Q250" s="1">
        <v>0</v>
      </c>
      <c r="R250" s="12">
        <v>37438</v>
      </c>
      <c r="S250" s="1">
        <v>1098</v>
      </c>
      <c r="T250" s="9" t="s">
        <v>46</v>
      </c>
    </row>
    <row r="251" spans="1:20" x14ac:dyDescent="0.25">
      <c r="A251" s="10" t="s">
        <v>18</v>
      </c>
      <c r="B251" t="b">
        <v>0</v>
      </c>
      <c r="C251" t="b">
        <v>0</v>
      </c>
      <c r="D251" s="1">
        <v>0</v>
      </c>
      <c r="E251" s="1">
        <v>0</v>
      </c>
      <c r="F251" s="1">
        <v>0</v>
      </c>
      <c r="G251" s="1">
        <v>1230</v>
      </c>
      <c r="H251" s="1">
        <v>0</v>
      </c>
      <c r="I251" s="1">
        <v>0</v>
      </c>
      <c r="J251" s="1">
        <f t="shared" si="10"/>
        <v>1230</v>
      </c>
      <c r="K251" s="1">
        <v>0</v>
      </c>
      <c r="L251" s="1">
        <v>0</v>
      </c>
      <c r="M251" s="1">
        <v>0</v>
      </c>
      <c r="N251" s="1">
        <f t="shared" si="9"/>
        <v>0</v>
      </c>
      <c r="O251" s="9">
        <f t="shared" si="11"/>
        <v>1230</v>
      </c>
      <c r="P251" s="1">
        <v>0</v>
      </c>
      <c r="Q251" s="1">
        <v>0</v>
      </c>
      <c r="R251" s="12">
        <v>37469</v>
      </c>
      <c r="S251" s="1">
        <v>1230</v>
      </c>
      <c r="T251" s="9" t="s">
        <v>46</v>
      </c>
    </row>
    <row r="252" spans="1:20" x14ac:dyDescent="0.25">
      <c r="A252" s="10" t="s">
        <v>18</v>
      </c>
      <c r="B252" t="b">
        <v>0</v>
      </c>
      <c r="C252" t="b">
        <v>0</v>
      </c>
      <c r="D252" s="1">
        <v>0</v>
      </c>
      <c r="E252" s="1">
        <v>0</v>
      </c>
      <c r="F252" s="1">
        <v>0</v>
      </c>
      <c r="G252" s="1">
        <v>1325</v>
      </c>
      <c r="H252" s="1">
        <v>0</v>
      </c>
      <c r="I252" s="1">
        <v>0</v>
      </c>
      <c r="J252" s="1">
        <f t="shared" si="10"/>
        <v>1325</v>
      </c>
      <c r="K252" s="1">
        <v>0</v>
      </c>
      <c r="L252" s="1">
        <v>0</v>
      </c>
      <c r="M252" s="1">
        <v>0</v>
      </c>
      <c r="N252" s="1">
        <f t="shared" si="9"/>
        <v>0</v>
      </c>
      <c r="O252" s="9">
        <f t="shared" si="11"/>
        <v>1325</v>
      </c>
      <c r="P252" s="1">
        <v>0</v>
      </c>
      <c r="Q252" s="1">
        <v>0</v>
      </c>
      <c r="R252" s="12">
        <v>37500</v>
      </c>
      <c r="S252" s="1">
        <v>1325</v>
      </c>
      <c r="T252" s="9" t="s">
        <v>46</v>
      </c>
    </row>
    <row r="253" spans="1:20" x14ac:dyDescent="0.25">
      <c r="A253" s="10" t="s">
        <v>18</v>
      </c>
      <c r="B253" t="b">
        <v>0</v>
      </c>
      <c r="C253" t="b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f t="shared" si="10"/>
        <v>0</v>
      </c>
      <c r="K253" s="1">
        <v>0</v>
      </c>
      <c r="L253" s="1">
        <v>0</v>
      </c>
      <c r="M253" s="1">
        <v>0</v>
      </c>
      <c r="N253" s="1">
        <f t="shared" si="9"/>
        <v>0</v>
      </c>
      <c r="O253" s="9">
        <f t="shared" si="11"/>
        <v>0</v>
      </c>
      <c r="P253" s="1">
        <v>0</v>
      </c>
      <c r="Q253" s="1">
        <v>0</v>
      </c>
      <c r="R253" s="12">
        <v>37530</v>
      </c>
      <c r="S253" s="1">
        <v>0</v>
      </c>
      <c r="T253" s="9" t="s">
        <v>46</v>
      </c>
    </row>
    <row r="254" spans="1:20" x14ac:dyDescent="0.25">
      <c r="A254" s="10" t="s">
        <v>18</v>
      </c>
      <c r="B254" t="b">
        <v>0</v>
      </c>
      <c r="C254" t="b">
        <v>0</v>
      </c>
      <c r="D254" s="1">
        <v>0</v>
      </c>
      <c r="E254" s="1">
        <v>0</v>
      </c>
      <c r="F254" s="1">
        <v>0</v>
      </c>
      <c r="G254" s="1">
        <v>1272</v>
      </c>
      <c r="H254" s="1">
        <v>0</v>
      </c>
      <c r="I254" s="1">
        <v>0</v>
      </c>
      <c r="J254" s="1">
        <f t="shared" si="10"/>
        <v>1272</v>
      </c>
      <c r="K254" s="1">
        <v>0</v>
      </c>
      <c r="L254" s="1">
        <v>0</v>
      </c>
      <c r="M254" s="1">
        <v>0</v>
      </c>
      <c r="N254" s="1">
        <f t="shared" si="9"/>
        <v>0</v>
      </c>
      <c r="O254" s="9">
        <f t="shared" si="11"/>
        <v>1272</v>
      </c>
      <c r="P254" s="1">
        <v>0</v>
      </c>
      <c r="Q254" s="1">
        <v>0</v>
      </c>
      <c r="R254" s="12">
        <v>37561</v>
      </c>
      <c r="S254" s="1">
        <v>1272</v>
      </c>
      <c r="T254" s="9" t="s">
        <v>46</v>
      </c>
    </row>
    <row r="255" spans="1:20" x14ac:dyDescent="0.25">
      <c r="A255" s="10" t="s">
        <v>18</v>
      </c>
      <c r="B255" t="b">
        <v>0</v>
      </c>
      <c r="C255" t="b">
        <v>0</v>
      </c>
      <c r="D255" s="1">
        <v>0</v>
      </c>
      <c r="E255" s="1">
        <v>0</v>
      </c>
      <c r="F255" s="1">
        <v>0</v>
      </c>
      <c r="G255" s="1">
        <v>525</v>
      </c>
      <c r="H255" s="1">
        <v>0</v>
      </c>
      <c r="I255" s="1">
        <v>0</v>
      </c>
      <c r="J255" s="1">
        <f t="shared" si="10"/>
        <v>525</v>
      </c>
      <c r="K255" s="1">
        <v>0</v>
      </c>
      <c r="L255" s="1">
        <v>0</v>
      </c>
      <c r="M255" s="1">
        <v>0</v>
      </c>
      <c r="N255" s="1">
        <f t="shared" si="9"/>
        <v>0</v>
      </c>
      <c r="O255" s="9">
        <f t="shared" si="11"/>
        <v>525</v>
      </c>
      <c r="P255" s="1">
        <v>0</v>
      </c>
      <c r="Q255" s="1">
        <v>0</v>
      </c>
      <c r="R255" s="12">
        <v>37591</v>
      </c>
      <c r="S255" s="1">
        <v>525</v>
      </c>
      <c r="T255" s="9" t="s">
        <v>46</v>
      </c>
    </row>
    <row r="256" spans="1:20" x14ac:dyDescent="0.25">
      <c r="A256" s="10" t="s">
        <v>18</v>
      </c>
      <c r="B256" t="b">
        <v>0</v>
      </c>
      <c r="C256" t="b">
        <v>0</v>
      </c>
      <c r="D256" s="1">
        <v>0</v>
      </c>
      <c r="E256" s="1">
        <v>0</v>
      </c>
      <c r="F256" s="1">
        <v>0</v>
      </c>
      <c r="G256" s="1">
        <v>2872</v>
      </c>
      <c r="H256" s="1">
        <v>0</v>
      </c>
      <c r="I256" s="1">
        <v>0</v>
      </c>
      <c r="J256" s="1">
        <f t="shared" si="10"/>
        <v>2872</v>
      </c>
      <c r="K256" s="1">
        <v>0</v>
      </c>
      <c r="L256" s="1">
        <v>0</v>
      </c>
      <c r="M256" s="1">
        <v>0</v>
      </c>
      <c r="N256" s="1">
        <f t="shared" si="9"/>
        <v>0</v>
      </c>
      <c r="O256" s="9">
        <f t="shared" si="11"/>
        <v>2872</v>
      </c>
      <c r="P256" s="1">
        <v>0</v>
      </c>
      <c r="Q256" s="1">
        <v>0</v>
      </c>
      <c r="R256" s="12">
        <v>37622</v>
      </c>
      <c r="S256" s="1">
        <v>2872</v>
      </c>
      <c r="T256" s="9" t="s">
        <v>21</v>
      </c>
    </row>
    <row r="257" spans="1:20" x14ac:dyDescent="0.25">
      <c r="A257" s="10" t="s">
        <v>18</v>
      </c>
      <c r="B257" t="b">
        <v>0</v>
      </c>
      <c r="C257" t="b">
        <v>0</v>
      </c>
      <c r="D257" s="1">
        <v>0</v>
      </c>
      <c r="E257" s="1">
        <v>0</v>
      </c>
      <c r="F257" s="1">
        <v>0</v>
      </c>
      <c r="G257" s="1">
        <v>1930</v>
      </c>
      <c r="H257" s="1">
        <v>0</v>
      </c>
      <c r="I257" s="1">
        <v>0</v>
      </c>
      <c r="J257" s="1">
        <f t="shared" si="10"/>
        <v>1930</v>
      </c>
      <c r="K257" s="1">
        <v>0</v>
      </c>
      <c r="L257" s="1">
        <v>0</v>
      </c>
      <c r="M257" s="1">
        <v>0</v>
      </c>
      <c r="N257" s="1">
        <f t="shared" si="9"/>
        <v>0</v>
      </c>
      <c r="O257" s="9">
        <f t="shared" si="11"/>
        <v>1930</v>
      </c>
      <c r="P257" s="1">
        <v>0</v>
      </c>
      <c r="Q257" s="1">
        <v>0</v>
      </c>
      <c r="R257" s="12">
        <v>37653</v>
      </c>
      <c r="S257" s="1">
        <v>1930</v>
      </c>
      <c r="T257" s="9" t="s">
        <v>21</v>
      </c>
    </row>
    <row r="258" spans="1:20" x14ac:dyDescent="0.25">
      <c r="A258" s="10" t="s">
        <v>18</v>
      </c>
      <c r="B258" t="b">
        <v>0</v>
      </c>
      <c r="C258" t="b">
        <v>0</v>
      </c>
      <c r="D258" s="1">
        <v>0</v>
      </c>
      <c r="E258" s="1">
        <v>0</v>
      </c>
      <c r="F258" s="1">
        <v>0</v>
      </c>
      <c r="G258" s="1">
        <v>1149</v>
      </c>
      <c r="H258" s="1">
        <v>0</v>
      </c>
      <c r="I258" s="1">
        <v>0</v>
      </c>
      <c r="J258" s="1">
        <f t="shared" si="10"/>
        <v>1149</v>
      </c>
      <c r="K258" s="1">
        <v>0</v>
      </c>
      <c r="L258" s="1">
        <v>0</v>
      </c>
      <c r="M258" s="1">
        <v>0</v>
      </c>
      <c r="N258" s="1">
        <f t="shared" si="9"/>
        <v>0</v>
      </c>
      <c r="O258" s="9">
        <f t="shared" si="11"/>
        <v>1149</v>
      </c>
      <c r="P258" s="1">
        <v>0</v>
      </c>
      <c r="Q258" s="1">
        <v>0</v>
      </c>
      <c r="R258" s="12">
        <v>37681</v>
      </c>
      <c r="S258" s="1">
        <v>1149</v>
      </c>
      <c r="T258" s="9" t="s">
        <v>21</v>
      </c>
    </row>
    <row r="259" spans="1:20" x14ac:dyDescent="0.25">
      <c r="A259" s="10" t="s">
        <v>18</v>
      </c>
      <c r="B259" t="b">
        <v>0</v>
      </c>
      <c r="C259" t="b">
        <v>0</v>
      </c>
      <c r="D259" s="1">
        <v>0</v>
      </c>
      <c r="E259" s="1">
        <v>0</v>
      </c>
      <c r="F259" s="1">
        <v>0</v>
      </c>
      <c r="G259" s="1">
        <v>1003</v>
      </c>
      <c r="H259" s="1">
        <v>0</v>
      </c>
      <c r="I259" s="1">
        <v>0</v>
      </c>
      <c r="J259" s="1">
        <f t="shared" si="10"/>
        <v>1003</v>
      </c>
      <c r="K259" s="1">
        <v>0</v>
      </c>
      <c r="L259" s="1">
        <v>0</v>
      </c>
      <c r="M259" s="1">
        <v>0</v>
      </c>
      <c r="N259" s="1">
        <f t="shared" si="9"/>
        <v>0</v>
      </c>
      <c r="O259" s="9">
        <f t="shared" si="11"/>
        <v>1003</v>
      </c>
      <c r="P259" s="1">
        <v>0</v>
      </c>
      <c r="Q259" s="1">
        <v>0</v>
      </c>
      <c r="R259" s="12">
        <v>37712</v>
      </c>
      <c r="S259" s="1">
        <v>1003</v>
      </c>
      <c r="T259" s="9" t="s">
        <v>21</v>
      </c>
    </row>
    <row r="260" spans="1:20" x14ac:dyDescent="0.25">
      <c r="A260" s="10" t="s">
        <v>18</v>
      </c>
      <c r="B260" t="b">
        <v>0</v>
      </c>
      <c r="C260" t="b">
        <v>0</v>
      </c>
      <c r="D260" s="1">
        <v>0</v>
      </c>
      <c r="E260" s="1">
        <v>0</v>
      </c>
      <c r="F260" s="1">
        <v>0</v>
      </c>
      <c r="G260" s="1">
        <v>1812</v>
      </c>
      <c r="H260" s="1">
        <v>0</v>
      </c>
      <c r="I260" s="1">
        <v>0</v>
      </c>
      <c r="J260" s="1">
        <f t="shared" si="10"/>
        <v>1812</v>
      </c>
      <c r="K260" s="1">
        <v>0</v>
      </c>
      <c r="L260" s="1">
        <v>0</v>
      </c>
      <c r="M260" s="1">
        <v>0</v>
      </c>
      <c r="N260" s="1">
        <f t="shared" si="9"/>
        <v>0</v>
      </c>
      <c r="O260" s="9">
        <f t="shared" si="11"/>
        <v>1812</v>
      </c>
      <c r="P260" s="1">
        <v>0</v>
      </c>
      <c r="Q260" s="1">
        <v>0</v>
      </c>
      <c r="R260" s="12">
        <v>37742</v>
      </c>
      <c r="S260" s="1">
        <v>1812</v>
      </c>
      <c r="T260" s="9" t="s">
        <v>21</v>
      </c>
    </row>
    <row r="261" spans="1:20" x14ac:dyDescent="0.25">
      <c r="A261" s="10" t="s">
        <v>18</v>
      </c>
      <c r="B261" t="b">
        <v>0</v>
      </c>
      <c r="C261" t="b">
        <v>0</v>
      </c>
      <c r="D261" s="1">
        <v>0</v>
      </c>
      <c r="E261" s="1">
        <v>0</v>
      </c>
      <c r="F261" s="1">
        <v>0</v>
      </c>
      <c r="G261" s="1">
        <v>2092</v>
      </c>
      <c r="H261" s="1">
        <v>0</v>
      </c>
      <c r="I261" s="1">
        <v>0</v>
      </c>
      <c r="J261" s="1">
        <f t="shared" si="10"/>
        <v>2092</v>
      </c>
      <c r="K261" s="1">
        <v>0</v>
      </c>
      <c r="L261" s="1">
        <v>0</v>
      </c>
      <c r="M261" s="1">
        <v>0</v>
      </c>
      <c r="N261" s="1">
        <f t="shared" si="9"/>
        <v>0</v>
      </c>
      <c r="O261" s="9">
        <f t="shared" si="11"/>
        <v>2092</v>
      </c>
      <c r="P261" s="1">
        <v>0</v>
      </c>
      <c r="Q261" s="1">
        <v>0</v>
      </c>
      <c r="R261" s="12">
        <v>37773</v>
      </c>
      <c r="S261" s="1">
        <v>2092</v>
      </c>
      <c r="T261" s="9" t="s">
        <v>21</v>
      </c>
    </row>
    <row r="262" spans="1:20" x14ac:dyDescent="0.25">
      <c r="A262" s="10" t="s">
        <v>18</v>
      </c>
      <c r="B262" t="b">
        <v>0</v>
      </c>
      <c r="C262" t="b">
        <v>0</v>
      </c>
      <c r="D262" s="1">
        <v>0</v>
      </c>
      <c r="E262" s="1">
        <v>0</v>
      </c>
      <c r="F262" s="1">
        <v>0</v>
      </c>
      <c r="G262" s="1">
        <v>1212</v>
      </c>
      <c r="H262" s="1">
        <v>0</v>
      </c>
      <c r="I262" s="1">
        <v>0</v>
      </c>
      <c r="J262" s="1">
        <f t="shared" si="10"/>
        <v>1212</v>
      </c>
      <c r="K262" s="1">
        <v>0</v>
      </c>
      <c r="L262" s="1">
        <v>0</v>
      </c>
      <c r="M262" s="1">
        <v>0</v>
      </c>
      <c r="N262" s="1">
        <f t="shared" si="9"/>
        <v>0</v>
      </c>
      <c r="O262" s="9">
        <f t="shared" si="11"/>
        <v>1212</v>
      </c>
      <c r="P262" s="1">
        <v>0</v>
      </c>
      <c r="Q262" s="1">
        <v>0</v>
      </c>
      <c r="R262" s="12">
        <v>37803</v>
      </c>
      <c r="S262" s="1">
        <v>1212</v>
      </c>
      <c r="T262" s="9" t="s">
        <v>21</v>
      </c>
    </row>
    <row r="263" spans="1:20" x14ac:dyDescent="0.25">
      <c r="A263" s="10" t="s">
        <v>18</v>
      </c>
      <c r="B263" t="b">
        <v>0</v>
      </c>
      <c r="C263" t="b">
        <v>0</v>
      </c>
      <c r="D263" s="1">
        <v>0</v>
      </c>
      <c r="E263" s="1">
        <v>0</v>
      </c>
      <c r="F263" s="1">
        <v>0</v>
      </c>
      <c r="G263" s="1">
        <v>1335</v>
      </c>
      <c r="H263" s="1">
        <v>0</v>
      </c>
      <c r="I263" s="1">
        <v>0</v>
      </c>
      <c r="J263" s="1">
        <f t="shared" si="10"/>
        <v>1335</v>
      </c>
      <c r="K263" s="1">
        <v>0</v>
      </c>
      <c r="L263" s="1">
        <v>0</v>
      </c>
      <c r="M263" s="1">
        <v>0</v>
      </c>
      <c r="N263" s="1">
        <f t="shared" si="9"/>
        <v>0</v>
      </c>
      <c r="O263" s="9">
        <f t="shared" si="11"/>
        <v>1335</v>
      </c>
      <c r="P263" s="1">
        <v>0</v>
      </c>
      <c r="Q263" s="1">
        <v>0</v>
      </c>
      <c r="R263" s="12">
        <v>37834</v>
      </c>
      <c r="S263" s="1">
        <v>1335</v>
      </c>
      <c r="T263" s="9" t="s">
        <v>21</v>
      </c>
    </row>
    <row r="264" spans="1:20" x14ac:dyDescent="0.25">
      <c r="A264" s="10" t="s">
        <v>18</v>
      </c>
      <c r="B264" t="b">
        <v>0</v>
      </c>
      <c r="C264" t="b">
        <v>0</v>
      </c>
      <c r="D264" s="1">
        <v>0</v>
      </c>
      <c r="E264" s="1">
        <v>0</v>
      </c>
      <c r="F264" s="1">
        <v>0</v>
      </c>
      <c r="G264" s="1">
        <v>1350</v>
      </c>
      <c r="H264" s="1">
        <v>0</v>
      </c>
      <c r="I264" s="1">
        <v>0</v>
      </c>
      <c r="J264" s="1">
        <f t="shared" si="10"/>
        <v>1350</v>
      </c>
      <c r="K264" s="1">
        <v>0</v>
      </c>
      <c r="L264" s="1">
        <v>0</v>
      </c>
      <c r="M264" s="1">
        <v>0</v>
      </c>
      <c r="N264" s="1">
        <f t="shared" si="9"/>
        <v>0</v>
      </c>
      <c r="O264" s="9">
        <f t="shared" si="11"/>
        <v>1350</v>
      </c>
      <c r="P264" s="1">
        <v>0</v>
      </c>
      <c r="Q264" s="1">
        <v>0</v>
      </c>
      <c r="R264" s="12">
        <v>37865</v>
      </c>
      <c r="S264" s="1">
        <v>1350</v>
      </c>
      <c r="T264" s="9" t="s">
        <v>21</v>
      </c>
    </row>
    <row r="265" spans="1:20" x14ac:dyDescent="0.25">
      <c r="A265" s="10" t="s">
        <v>18</v>
      </c>
      <c r="B265" t="b">
        <v>0</v>
      </c>
      <c r="C265" t="b">
        <v>0</v>
      </c>
      <c r="D265" s="1">
        <v>0</v>
      </c>
      <c r="E265" s="1">
        <v>0</v>
      </c>
      <c r="F265" s="1">
        <v>0</v>
      </c>
      <c r="G265" s="1">
        <v>1524</v>
      </c>
      <c r="H265" s="1">
        <v>0</v>
      </c>
      <c r="I265" s="1">
        <v>0</v>
      </c>
      <c r="J265" s="1">
        <f t="shared" si="10"/>
        <v>1524</v>
      </c>
      <c r="K265" s="1">
        <v>0</v>
      </c>
      <c r="L265" s="1">
        <v>0</v>
      </c>
      <c r="M265" s="1">
        <v>0</v>
      </c>
      <c r="N265" s="1">
        <f>K265+L265+M265</f>
        <v>0</v>
      </c>
      <c r="O265" s="9">
        <f t="shared" si="11"/>
        <v>1524</v>
      </c>
      <c r="P265" s="1">
        <v>0</v>
      </c>
      <c r="Q265" s="1">
        <v>0</v>
      </c>
      <c r="R265" s="12">
        <v>37895</v>
      </c>
      <c r="S265" s="1">
        <v>1524</v>
      </c>
      <c r="T265" s="9" t="s">
        <v>21</v>
      </c>
    </row>
    <row r="266" spans="1:20" x14ac:dyDescent="0.25">
      <c r="A266" s="10" t="s">
        <v>18</v>
      </c>
      <c r="B266" t="b">
        <v>0</v>
      </c>
      <c r="C266" t="b">
        <v>0</v>
      </c>
      <c r="D266" s="1">
        <v>0</v>
      </c>
      <c r="E266" s="1">
        <v>0</v>
      </c>
      <c r="F266" s="1">
        <v>0</v>
      </c>
      <c r="G266" s="1">
        <v>1272</v>
      </c>
      <c r="H266" s="1">
        <v>0</v>
      </c>
      <c r="I266" s="1">
        <v>0</v>
      </c>
      <c r="J266" s="1">
        <f t="shared" si="10"/>
        <v>1272</v>
      </c>
      <c r="K266" s="1">
        <v>0</v>
      </c>
      <c r="L266" s="1">
        <v>0</v>
      </c>
      <c r="M266" s="1">
        <v>0</v>
      </c>
      <c r="N266" s="1">
        <f t="shared" ref="N266:N329" si="12">K266+L266+M266</f>
        <v>0</v>
      </c>
      <c r="O266" s="9">
        <f t="shared" si="11"/>
        <v>1272</v>
      </c>
      <c r="P266" s="1">
        <v>0</v>
      </c>
      <c r="Q266" s="1">
        <v>0</v>
      </c>
      <c r="R266" s="12">
        <v>37926</v>
      </c>
      <c r="S266" s="1">
        <v>1272</v>
      </c>
      <c r="T266" s="9" t="s">
        <v>21</v>
      </c>
    </row>
    <row r="267" spans="1:20" x14ac:dyDescent="0.25">
      <c r="A267" s="10" t="s">
        <v>18</v>
      </c>
      <c r="B267" t="b">
        <v>0</v>
      </c>
      <c r="C267" t="b">
        <v>0</v>
      </c>
      <c r="D267" s="1">
        <v>0</v>
      </c>
      <c r="E267" s="1">
        <v>0</v>
      </c>
      <c r="F267" s="1">
        <v>0</v>
      </c>
      <c r="G267" s="1">
        <v>1106</v>
      </c>
      <c r="H267" s="1">
        <v>0</v>
      </c>
      <c r="I267" s="1">
        <v>0</v>
      </c>
      <c r="J267" s="1">
        <f t="shared" si="10"/>
        <v>1106</v>
      </c>
      <c r="K267" s="1">
        <v>0</v>
      </c>
      <c r="L267" s="1">
        <v>0</v>
      </c>
      <c r="M267" s="1">
        <v>0</v>
      </c>
      <c r="N267" s="1">
        <f t="shared" si="12"/>
        <v>0</v>
      </c>
      <c r="O267" s="9">
        <f t="shared" si="11"/>
        <v>1106</v>
      </c>
      <c r="P267" s="1">
        <v>0</v>
      </c>
      <c r="Q267" s="1">
        <v>0</v>
      </c>
      <c r="R267" s="12">
        <v>37956</v>
      </c>
      <c r="S267" s="1">
        <v>1106</v>
      </c>
      <c r="T267" s="9" t="s">
        <v>21</v>
      </c>
    </row>
    <row r="268" spans="1:20" x14ac:dyDescent="0.25">
      <c r="A268" s="10" t="s">
        <v>18</v>
      </c>
      <c r="B268" t="b">
        <v>0</v>
      </c>
      <c r="C268" t="b">
        <v>0</v>
      </c>
      <c r="D268" s="1">
        <v>0</v>
      </c>
      <c r="E268" s="1">
        <v>0</v>
      </c>
      <c r="F268" s="1">
        <v>0</v>
      </c>
      <c r="G268" s="1">
        <v>797</v>
      </c>
      <c r="H268" s="1">
        <v>0</v>
      </c>
      <c r="I268" s="1">
        <v>0</v>
      </c>
      <c r="J268" s="1">
        <f t="shared" si="10"/>
        <v>797</v>
      </c>
      <c r="K268" s="1">
        <v>0</v>
      </c>
      <c r="L268" s="1">
        <v>0</v>
      </c>
      <c r="M268" s="1">
        <v>0</v>
      </c>
      <c r="N268" s="1">
        <f t="shared" si="12"/>
        <v>0</v>
      </c>
      <c r="O268" s="9">
        <f t="shared" si="11"/>
        <v>797</v>
      </c>
      <c r="P268" s="1">
        <v>0</v>
      </c>
      <c r="Q268" s="1">
        <v>0</v>
      </c>
      <c r="R268" s="12">
        <v>37987</v>
      </c>
      <c r="S268" s="1">
        <v>797</v>
      </c>
      <c r="T268" s="9" t="s">
        <v>41</v>
      </c>
    </row>
    <row r="269" spans="1:20" x14ac:dyDescent="0.25">
      <c r="A269" s="10" t="s">
        <v>18</v>
      </c>
      <c r="B269" t="b">
        <v>0</v>
      </c>
      <c r="C269" t="b">
        <v>0</v>
      </c>
      <c r="D269" s="1">
        <v>0</v>
      </c>
      <c r="E269" s="1">
        <v>0</v>
      </c>
      <c r="F269" s="1">
        <v>0</v>
      </c>
      <c r="G269" s="1">
        <v>2473</v>
      </c>
      <c r="H269" s="1">
        <v>0</v>
      </c>
      <c r="I269" s="1">
        <v>0</v>
      </c>
      <c r="J269" s="1">
        <f t="shared" si="10"/>
        <v>2473</v>
      </c>
      <c r="K269" s="1">
        <v>0</v>
      </c>
      <c r="L269" s="1">
        <v>0</v>
      </c>
      <c r="M269" s="1">
        <v>0</v>
      </c>
      <c r="N269" s="1">
        <f t="shared" si="12"/>
        <v>0</v>
      </c>
      <c r="O269" s="9">
        <f t="shared" si="11"/>
        <v>2473</v>
      </c>
      <c r="P269" s="1">
        <v>0</v>
      </c>
      <c r="Q269" s="1">
        <v>0</v>
      </c>
      <c r="R269" s="12">
        <v>38018</v>
      </c>
      <c r="S269" s="1">
        <v>2473</v>
      </c>
      <c r="T269" s="9" t="s">
        <v>41</v>
      </c>
    </row>
    <row r="270" spans="1:20" x14ac:dyDescent="0.25">
      <c r="A270" s="10" t="s">
        <v>18</v>
      </c>
      <c r="B270" t="b">
        <v>0</v>
      </c>
      <c r="C270" t="b">
        <v>0</v>
      </c>
      <c r="D270" s="1">
        <v>0</v>
      </c>
      <c r="E270" s="1">
        <v>0</v>
      </c>
      <c r="F270" s="1">
        <v>0</v>
      </c>
      <c r="G270" s="1">
        <v>1256</v>
      </c>
      <c r="H270" s="1">
        <v>0</v>
      </c>
      <c r="I270" s="1">
        <v>0</v>
      </c>
      <c r="J270" s="1">
        <f t="shared" si="10"/>
        <v>1256</v>
      </c>
      <c r="K270" s="1">
        <v>0</v>
      </c>
      <c r="L270" s="1">
        <v>0</v>
      </c>
      <c r="M270" s="1">
        <v>0</v>
      </c>
      <c r="N270" s="1">
        <f t="shared" si="12"/>
        <v>0</v>
      </c>
      <c r="O270" s="9">
        <f t="shared" si="11"/>
        <v>1256</v>
      </c>
      <c r="P270" s="1">
        <v>0</v>
      </c>
      <c r="Q270" s="1">
        <v>0</v>
      </c>
      <c r="R270" s="12">
        <v>38047</v>
      </c>
      <c r="S270" s="1">
        <v>1256</v>
      </c>
      <c r="T270" s="9" t="s">
        <v>41</v>
      </c>
    </row>
    <row r="271" spans="1:20" x14ac:dyDescent="0.25">
      <c r="A271" s="10" t="s">
        <v>18</v>
      </c>
      <c r="B271" t="b">
        <v>0</v>
      </c>
      <c r="C271" t="b">
        <v>0</v>
      </c>
      <c r="D271" s="1">
        <v>0</v>
      </c>
      <c r="E271" s="1">
        <v>0</v>
      </c>
      <c r="F271" s="1">
        <v>0</v>
      </c>
      <c r="G271" s="1">
        <v>1343</v>
      </c>
      <c r="H271" s="1">
        <v>0</v>
      </c>
      <c r="I271" s="1">
        <v>0</v>
      </c>
      <c r="J271" s="1">
        <f t="shared" si="10"/>
        <v>1343</v>
      </c>
      <c r="K271" s="1">
        <v>0</v>
      </c>
      <c r="L271" s="1">
        <v>0</v>
      </c>
      <c r="M271" s="1">
        <v>0</v>
      </c>
      <c r="N271" s="1">
        <f t="shared" si="12"/>
        <v>0</v>
      </c>
      <c r="O271" s="9">
        <f t="shared" si="11"/>
        <v>1343</v>
      </c>
      <c r="P271" s="1">
        <v>0</v>
      </c>
      <c r="Q271" s="1">
        <v>0</v>
      </c>
      <c r="R271" s="12">
        <v>38078</v>
      </c>
      <c r="S271" s="1">
        <v>1343</v>
      </c>
      <c r="T271" s="9" t="s">
        <v>41</v>
      </c>
    </row>
    <row r="272" spans="1:20" x14ac:dyDescent="0.25">
      <c r="A272" s="10" t="s">
        <v>18</v>
      </c>
      <c r="B272" t="b">
        <v>0</v>
      </c>
      <c r="C272" t="b">
        <v>0</v>
      </c>
      <c r="D272" s="1">
        <v>0</v>
      </c>
      <c r="E272" s="1">
        <v>0</v>
      </c>
      <c r="F272" s="1">
        <v>0</v>
      </c>
      <c r="G272" s="1">
        <v>1832</v>
      </c>
      <c r="H272" s="1">
        <v>0</v>
      </c>
      <c r="I272" s="1">
        <v>0</v>
      </c>
      <c r="J272" s="1">
        <f t="shared" si="10"/>
        <v>1832</v>
      </c>
      <c r="K272" s="1">
        <v>0</v>
      </c>
      <c r="L272" s="1">
        <v>0</v>
      </c>
      <c r="M272" s="1">
        <v>0</v>
      </c>
      <c r="N272" s="1">
        <f t="shared" si="12"/>
        <v>0</v>
      </c>
      <c r="O272" s="9">
        <f t="shared" si="11"/>
        <v>1832</v>
      </c>
      <c r="P272" s="1">
        <v>0</v>
      </c>
      <c r="Q272" s="1">
        <v>0</v>
      </c>
      <c r="R272" s="12">
        <v>38108</v>
      </c>
      <c r="S272" s="1">
        <v>1832</v>
      </c>
      <c r="T272" s="9" t="s">
        <v>41</v>
      </c>
    </row>
    <row r="273" spans="1:20" x14ac:dyDescent="0.25">
      <c r="A273" s="10" t="s">
        <v>18</v>
      </c>
      <c r="B273" t="b">
        <v>0</v>
      </c>
      <c r="C273" t="b">
        <v>0</v>
      </c>
      <c r="D273" s="1">
        <v>0</v>
      </c>
      <c r="E273" s="1">
        <v>0</v>
      </c>
      <c r="F273" s="1">
        <v>0</v>
      </c>
      <c r="G273" s="1">
        <v>1892</v>
      </c>
      <c r="H273" s="1">
        <v>0</v>
      </c>
      <c r="I273" s="1">
        <v>0</v>
      </c>
      <c r="J273" s="1">
        <f t="shared" si="10"/>
        <v>1892</v>
      </c>
      <c r="K273" s="1">
        <v>0</v>
      </c>
      <c r="L273" s="1">
        <v>0</v>
      </c>
      <c r="M273" s="1">
        <v>0</v>
      </c>
      <c r="N273" s="1">
        <f t="shared" si="12"/>
        <v>0</v>
      </c>
      <c r="O273" s="9">
        <f t="shared" si="11"/>
        <v>1892</v>
      </c>
      <c r="P273" s="1">
        <v>0</v>
      </c>
      <c r="Q273" s="1">
        <v>0</v>
      </c>
      <c r="R273" s="12">
        <v>38139</v>
      </c>
      <c r="S273" s="1">
        <v>1892</v>
      </c>
      <c r="T273" s="9" t="s">
        <v>41</v>
      </c>
    </row>
    <row r="274" spans="1:20" x14ac:dyDescent="0.25">
      <c r="A274" s="10" t="s">
        <v>18</v>
      </c>
      <c r="B274" t="b">
        <v>0</v>
      </c>
      <c r="C274" t="b">
        <v>0</v>
      </c>
      <c r="D274" s="1">
        <v>0</v>
      </c>
      <c r="E274" s="1">
        <v>0</v>
      </c>
      <c r="F274" s="1">
        <v>0</v>
      </c>
      <c r="G274" s="1">
        <v>1215</v>
      </c>
      <c r="H274" s="1">
        <v>0</v>
      </c>
      <c r="I274" s="1">
        <v>0</v>
      </c>
      <c r="J274" s="1">
        <f t="shared" si="10"/>
        <v>1215</v>
      </c>
      <c r="K274" s="1">
        <v>0</v>
      </c>
      <c r="L274" s="1">
        <v>0</v>
      </c>
      <c r="M274" s="1">
        <v>0</v>
      </c>
      <c r="N274" s="1">
        <f t="shared" si="12"/>
        <v>0</v>
      </c>
      <c r="O274" s="9">
        <f t="shared" si="11"/>
        <v>1215</v>
      </c>
      <c r="P274" s="1">
        <v>0</v>
      </c>
      <c r="Q274" s="1">
        <v>0</v>
      </c>
      <c r="R274" s="12">
        <v>38169</v>
      </c>
      <c r="S274" s="1">
        <v>1215</v>
      </c>
      <c r="T274" s="9" t="s">
        <v>41</v>
      </c>
    </row>
    <row r="275" spans="1:20" x14ac:dyDescent="0.25">
      <c r="A275" s="10" t="s">
        <v>18</v>
      </c>
      <c r="B275" t="b">
        <v>0</v>
      </c>
      <c r="C275" t="b">
        <v>0</v>
      </c>
      <c r="D275" s="1">
        <v>0</v>
      </c>
      <c r="E275" s="1">
        <v>0</v>
      </c>
      <c r="F275" s="1">
        <v>0</v>
      </c>
      <c r="G275" s="1">
        <v>1338</v>
      </c>
      <c r="H275" s="1">
        <v>0</v>
      </c>
      <c r="I275" s="1">
        <v>0</v>
      </c>
      <c r="J275" s="1">
        <f t="shared" si="10"/>
        <v>1338</v>
      </c>
      <c r="K275" s="1">
        <v>0</v>
      </c>
      <c r="L275" s="1">
        <v>0</v>
      </c>
      <c r="M275" s="1">
        <v>0</v>
      </c>
      <c r="N275" s="1">
        <f t="shared" si="12"/>
        <v>0</v>
      </c>
      <c r="O275" s="9">
        <f t="shared" si="11"/>
        <v>1338</v>
      </c>
      <c r="P275" s="1">
        <v>0</v>
      </c>
      <c r="Q275" s="1">
        <v>0</v>
      </c>
      <c r="R275" s="12">
        <v>38200</v>
      </c>
      <c r="S275" s="1">
        <v>1338</v>
      </c>
      <c r="T275" s="9" t="s">
        <v>41</v>
      </c>
    </row>
    <row r="276" spans="1:20" x14ac:dyDescent="0.25">
      <c r="A276" s="10" t="s">
        <v>18</v>
      </c>
      <c r="B276" t="b">
        <v>0</v>
      </c>
      <c r="C276" t="b">
        <v>0</v>
      </c>
      <c r="D276" s="1">
        <v>0</v>
      </c>
      <c r="E276" s="1">
        <v>0</v>
      </c>
      <c r="F276" s="1">
        <v>0</v>
      </c>
      <c r="G276" s="1">
        <v>1352</v>
      </c>
      <c r="H276" s="1">
        <v>0</v>
      </c>
      <c r="I276" s="1">
        <v>0</v>
      </c>
      <c r="J276" s="1">
        <f t="shared" si="10"/>
        <v>1352</v>
      </c>
      <c r="K276" s="1">
        <v>0</v>
      </c>
      <c r="L276" s="1">
        <v>0</v>
      </c>
      <c r="M276" s="1">
        <v>0</v>
      </c>
      <c r="N276" s="1">
        <f t="shared" si="12"/>
        <v>0</v>
      </c>
      <c r="O276" s="9">
        <f t="shared" si="11"/>
        <v>1352</v>
      </c>
      <c r="P276" s="1">
        <v>0</v>
      </c>
      <c r="Q276" s="1">
        <v>0</v>
      </c>
      <c r="R276" s="12">
        <v>38231</v>
      </c>
      <c r="S276" s="1">
        <v>1352</v>
      </c>
      <c r="T276" s="9" t="s">
        <v>41</v>
      </c>
    </row>
    <row r="277" spans="1:20" x14ac:dyDescent="0.25">
      <c r="A277" s="10" t="s">
        <v>18</v>
      </c>
      <c r="B277" t="b">
        <v>0</v>
      </c>
      <c r="C277" t="b">
        <v>0</v>
      </c>
      <c r="D277" s="1">
        <v>0</v>
      </c>
      <c r="E277" s="1">
        <v>0</v>
      </c>
      <c r="F277" s="1">
        <v>0</v>
      </c>
      <c r="G277" s="1">
        <v>1638</v>
      </c>
      <c r="H277" s="1">
        <v>0</v>
      </c>
      <c r="I277" s="1">
        <v>0</v>
      </c>
      <c r="J277" s="1">
        <f t="shared" si="10"/>
        <v>1638</v>
      </c>
      <c r="K277" s="1">
        <v>0</v>
      </c>
      <c r="L277" s="1">
        <v>0</v>
      </c>
      <c r="M277" s="1">
        <v>0</v>
      </c>
      <c r="N277" s="1">
        <f t="shared" si="12"/>
        <v>0</v>
      </c>
      <c r="O277" s="9">
        <f t="shared" si="11"/>
        <v>1638</v>
      </c>
      <c r="P277" s="1">
        <v>0</v>
      </c>
      <c r="Q277" s="1">
        <v>0</v>
      </c>
      <c r="R277" s="12">
        <v>38261</v>
      </c>
      <c r="S277" s="1">
        <v>1638</v>
      </c>
      <c r="T277" s="9" t="s">
        <v>41</v>
      </c>
    </row>
    <row r="278" spans="1:20" x14ac:dyDescent="0.25">
      <c r="A278" s="10" t="s">
        <v>18</v>
      </c>
      <c r="B278" t="b">
        <v>0</v>
      </c>
      <c r="C278" t="b">
        <v>0</v>
      </c>
      <c r="D278" s="1">
        <v>0</v>
      </c>
      <c r="E278" s="1">
        <v>0</v>
      </c>
      <c r="F278" s="1">
        <v>0</v>
      </c>
      <c r="G278" s="1">
        <v>1372</v>
      </c>
      <c r="H278" s="1">
        <v>0</v>
      </c>
      <c r="I278" s="1">
        <v>0</v>
      </c>
      <c r="J278" s="1">
        <f t="shared" si="10"/>
        <v>1372</v>
      </c>
      <c r="K278" s="1">
        <v>0</v>
      </c>
      <c r="L278" s="1">
        <v>0</v>
      </c>
      <c r="M278" s="1">
        <v>0</v>
      </c>
      <c r="N278" s="1">
        <f t="shared" si="12"/>
        <v>0</v>
      </c>
      <c r="O278" s="9">
        <f t="shared" si="11"/>
        <v>1372</v>
      </c>
      <c r="P278" s="1">
        <v>0</v>
      </c>
      <c r="Q278" s="1">
        <v>0</v>
      </c>
      <c r="R278" s="12">
        <v>38292</v>
      </c>
      <c r="S278" s="1">
        <v>1372</v>
      </c>
      <c r="T278" s="9" t="s">
        <v>41</v>
      </c>
    </row>
    <row r="279" spans="1:20" x14ac:dyDescent="0.25">
      <c r="A279" s="10" t="s">
        <v>18</v>
      </c>
      <c r="B279" t="b">
        <v>0</v>
      </c>
      <c r="C279" t="b">
        <v>0</v>
      </c>
      <c r="D279" s="1">
        <v>0</v>
      </c>
      <c r="E279" s="1">
        <v>0</v>
      </c>
      <c r="F279" s="1">
        <v>0</v>
      </c>
      <c r="G279" s="1">
        <v>1081</v>
      </c>
      <c r="H279" s="1">
        <v>0</v>
      </c>
      <c r="I279" s="1">
        <v>0</v>
      </c>
      <c r="J279" s="1">
        <f t="shared" si="10"/>
        <v>1081</v>
      </c>
      <c r="K279" s="1">
        <v>0</v>
      </c>
      <c r="L279" s="1">
        <v>0</v>
      </c>
      <c r="M279" s="1">
        <v>0</v>
      </c>
      <c r="N279" s="1">
        <f t="shared" si="12"/>
        <v>0</v>
      </c>
      <c r="O279" s="9">
        <f t="shared" si="11"/>
        <v>1081</v>
      </c>
      <c r="P279" s="1">
        <v>0</v>
      </c>
      <c r="Q279" s="1">
        <v>0</v>
      </c>
      <c r="R279" s="12">
        <v>38322</v>
      </c>
      <c r="S279" s="1">
        <v>1081</v>
      </c>
      <c r="T279" s="9" t="s">
        <v>41</v>
      </c>
    </row>
    <row r="280" spans="1:20" x14ac:dyDescent="0.25">
      <c r="A280" s="10" t="s">
        <v>18</v>
      </c>
      <c r="B280" t="b">
        <v>0</v>
      </c>
      <c r="C280" t="b">
        <v>0</v>
      </c>
      <c r="D280" s="1">
        <v>0</v>
      </c>
      <c r="E280" s="1">
        <v>0</v>
      </c>
      <c r="F280" s="1">
        <v>0</v>
      </c>
      <c r="G280" s="1">
        <v>281</v>
      </c>
      <c r="H280" s="1">
        <v>0</v>
      </c>
      <c r="I280" s="1">
        <v>0</v>
      </c>
      <c r="J280" s="1">
        <f t="shared" si="10"/>
        <v>281</v>
      </c>
      <c r="K280" s="1">
        <v>0</v>
      </c>
      <c r="L280" s="1">
        <v>0</v>
      </c>
      <c r="M280" s="1">
        <v>0</v>
      </c>
      <c r="N280" s="1">
        <f t="shared" si="12"/>
        <v>0</v>
      </c>
      <c r="O280" s="9">
        <f t="shared" si="11"/>
        <v>281</v>
      </c>
      <c r="P280" s="1">
        <v>0</v>
      </c>
      <c r="Q280" s="1">
        <v>0</v>
      </c>
      <c r="R280" s="12">
        <v>38353</v>
      </c>
      <c r="S280" s="1">
        <v>281</v>
      </c>
      <c r="T280" s="9" t="s">
        <v>21</v>
      </c>
    </row>
    <row r="281" spans="1:20" x14ac:dyDescent="0.25">
      <c r="A281" s="10" t="s">
        <v>18</v>
      </c>
      <c r="B281" t="b">
        <v>0</v>
      </c>
      <c r="C281" t="b">
        <v>0</v>
      </c>
      <c r="D281" s="1">
        <v>0</v>
      </c>
      <c r="E281" s="1">
        <v>0</v>
      </c>
      <c r="F281" s="1">
        <v>0</v>
      </c>
      <c r="G281" s="1">
        <v>436</v>
      </c>
      <c r="H281" s="1">
        <v>0</v>
      </c>
      <c r="I281" s="1">
        <v>0</v>
      </c>
      <c r="J281" s="1">
        <f t="shared" si="10"/>
        <v>436</v>
      </c>
      <c r="K281" s="1">
        <v>0</v>
      </c>
      <c r="L281" s="1">
        <v>0</v>
      </c>
      <c r="M281" s="1">
        <v>0</v>
      </c>
      <c r="N281" s="1">
        <f t="shared" si="12"/>
        <v>0</v>
      </c>
      <c r="O281" s="9">
        <f t="shared" si="11"/>
        <v>436</v>
      </c>
      <c r="P281" s="1">
        <v>0</v>
      </c>
      <c r="Q281" s="1">
        <v>0</v>
      </c>
      <c r="R281" s="12">
        <v>38384</v>
      </c>
      <c r="S281" s="1">
        <v>436</v>
      </c>
      <c r="T281" s="9" t="s">
        <v>21</v>
      </c>
    </row>
    <row r="282" spans="1:20" x14ac:dyDescent="0.25">
      <c r="A282" s="10" t="s">
        <v>18</v>
      </c>
      <c r="B282" t="b">
        <v>0</v>
      </c>
      <c r="C282" t="b">
        <v>0</v>
      </c>
      <c r="D282" s="1">
        <v>0</v>
      </c>
      <c r="E282" s="1">
        <v>0</v>
      </c>
      <c r="F282" s="1">
        <v>0</v>
      </c>
      <c r="G282" s="1">
        <v>1223</v>
      </c>
      <c r="H282" s="1">
        <v>0</v>
      </c>
      <c r="I282" s="1">
        <v>0</v>
      </c>
      <c r="J282" s="1">
        <f t="shared" si="10"/>
        <v>1223</v>
      </c>
      <c r="K282" s="1">
        <v>0</v>
      </c>
      <c r="L282" s="1">
        <v>0</v>
      </c>
      <c r="M282" s="1">
        <v>0</v>
      </c>
      <c r="N282" s="1">
        <f t="shared" si="12"/>
        <v>0</v>
      </c>
      <c r="O282" s="9">
        <f t="shared" si="11"/>
        <v>1223</v>
      </c>
      <c r="P282" s="1">
        <v>0</v>
      </c>
      <c r="Q282" s="1">
        <v>0</v>
      </c>
      <c r="R282" s="12">
        <v>38412</v>
      </c>
      <c r="S282" s="1">
        <v>1223</v>
      </c>
      <c r="T282" s="9" t="s">
        <v>21</v>
      </c>
    </row>
    <row r="283" spans="1:20" x14ac:dyDescent="0.25">
      <c r="A283" s="10" t="s">
        <v>18</v>
      </c>
      <c r="B283" t="b">
        <v>0</v>
      </c>
      <c r="C283" t="b">
        <v>0</v>
      </c>
      <c r="D283" s="1">
        <v>0</v>
      </c>
      <c r="E283" s="1">
        <v>0</v>
      </c>
      <c r="F283" s="1">
        <v>0</v>
      </c>
      <c r="G283" s="1">
        <v>1422</v>
      </c>
      <c r="H283" s="1">
        <v>0</v>
      </c>
      <c r="I283" s="1">
        <v>0</v>
      </c>
      <c r="J283" s="1">
        <f t="shared" si="10"/>
        <v>1422</v>
      </c>
      <c r="K283" s="1">
        <v>0</v>
      </c>
      <c r="L283" s="1">
        <v>0</v>
      </c>
      <c r="M283" s="1">
        <v>0</v>
      </c>
      <c r="N283" s="1">
        <f t="shared" si="12"/>
        <v>0</v>
      </c>
      <c r="O283" s="9">
        <f t="shared" si="11"/>
        <v>1422</v>
      </c>
      <c r="P283" s="1">
        <v>0</v>
      </c>
      <c r="Q283" s="1">
        <v>0</v>
      </c>
      <c r="R283" s="12">
        <v>38443</v>
      </c>
      <c r="S283" s="1">
        <v>1422</v>
      </c>
      <c r="T283" s="9" t="s">
        <v>21</v>
      </c>
    </row>
    <row r="284" spans="1:20" x14ac:dyDescent="0.25">
      <c r="A284" s="10" t="s">
        <v>18</v>
      </c>
      <c r="B284" t="b">
        <v>0</v>
      </c>
      <c r="C284" t="b">
        <v>0</v>
      </c>
      <c r="D284" s="1">
        <v>0</v>
      </c>
      <c r="E284" s="1">
        <v>0</v>
      </c>
      <c r="F284" s="1">
        <v>0</v>
      </c>
      <c r="G284" s="1">
        <v>2008</v>
      </c>
      <c r="H284" s="1">
        <v>0</v>
      </c>
      <c r="I284" s="1">
        <v>0</v>
      </c>
      <c r="J284" s="1">
        <f t="shared" si="10"/>
        <v>2008</v>
      </c>
      <c r="K284" s="1">
        <v>0</v>
      </c>
      <c r="L284" s="1">
        <v>0</v>
      </c>
      <c r="M284" s="1">
        <v>0</v>
      </c>
      <c r="N284" s="1">
        <f t="shared" si="12"/>
        <v>0</v>
      </c>
      <c r="O284" s="9">
        <f t="shared" si="11"/>
        <v>2008</v>
      </c>
      <c r="P284" s="1">
        <v>0</v>
      </c>
      <c r="Q284" s="1">
        <v>0</v>
      </c>
      <c r="R284" s="12">
        <v>38473</v>
      </c>
      <c r="S284" s="1">
        <v>2008</v>
      </c>
      <c r="T284" s="9" t="s">
        <v>21</v>
      </c>
    </row>
    <row r="285" spans="1:20" x14ac:dyDescent="0.25">
      <c r="A285" s="10" t="s">
        <v>18</v>
      </c>
      <c r="B285" t="b">
        <v>0</v>
      </c>
      <c r="C285" t="b">
        <v>0</v>
      </c>
      <c r="D285" s="1">
        <v>0</v>
      </c>
      <c r="E285" s="1">
        <v>0</v>
      </c>
      <c r="F285" s="1">
        <v>0</v>
      </c>
      <c r="G285" s="1">
        <v>1422</v>
      </c>
      <c r="H285" s="1">
        <v>0</v>
      </c>
      <c r="I285" s="1">
        <v>0</v>
      </c>
      <c r="J285" s="1">
        <f t="shared" si="10"/>
        <v>1422</v>
      </c>
      <c r="K285" s="1">
        <v>0</v>
      </c>
      <c r="L285" s="1">
        <v>0</v>
      </c>
      <c r="M285" s="1">
        <v>0</v>
      </c>
      <c r="N285" s="1">
        <f t="shared" si="12"/>
        <v>0</v>
      </c>
      <c r="O285" s="9">
        <f t="shared" si="11"/>
        <v>1422</v>
      </c>
      <c r="P285" s="1">
        <v>0</v>
      </c>
      <c r="Q285" s="1">
        <v>0</v>
      </c>
      <c r="R285" s="12">
        <v>38504</v>
      </c>
      <c r="S285" s="1">
        <v>1422</v>
      </c>
      <c r="T285" s="9" t="s">
        <v>21</v>
      </c>
    </row>
    <row r="286" spans="1:20" x14ac:dyDescent="0.25">
      <c r="A286" s="10" t="s">
        <v>18</v>
      </c>
      <c r="B286" t="b">
        <v>0</v>
      </c>
      <c r="C286" t="b">
        <v>0</v>
      </c>
      <c r="D286" s="1">
        <v>0</v>
      </c>
      <c r="E286" s="1">
        <v>0</v>
      </c>
      <c r="F286" s="1">
        <v>0</v>
      </c>
      <c r="G286" s="1">
        <v>1403</v>
      </c>
      <c r="H286" s="1">
        <v>0</v>
      </c>
      <c r="I286" s="1">
        <v>0</v>
      </c>
      <c r="J286" s="1">
        <f t="shared" si="10"/>
        <v>1403</v>
      </c>
      <c r="K286" s="1">
        <v>0</v>
      </c>
      <c r="L286" s="1">
        <v>0</v>
      </c>
      <c r="M286" s="1">
        <v>0</v>
      </c>
      <c r="N286" s="1">
        <f t="shared" si="12"/>
        <v>0</v>
      </c>
      <c r="O286" s="9">
        <f t="shared" si="11"/>
        <v>1403</v>
      </c>
      <c r="P286" s="1">
        <v>0</v>
      </c>
      <c r="Q286" s="1">
        <v>0</v>
      </c>
      <c r="R286" s="12">
        <v>38534</v>
      </c>
      <c r="S286" s="1">
        <v>1403</v>
      </c>
      <c r="T286" s="9" t="s">
        <v>21</v>
      </c>
    </row>
    <row r="287" spans="1:20" x14ac:dyDescent="0.25">
      <c r="A287" s="10" t="s">
        <v>18</v>
      </c>
      <c r="B287" t="b">
        <v>0</v>
      </c>
      <c r="C287" t="b">
        <v>0</v>
      </c>
      <c r="D287" s="1">
        <v>0</v>
      </c>
      <c r="E287" s="1">
        <v>0</v>
      </c>
      <c r="F287" s="1">
        <v>0</v>
      </c>
      <c r="G287" s="1">
        <v>1506</v>
      </c>
      <c r="H287" s="1">
        <v>0</v>
      </c>
      <c r="I287" s="1">
        <v>0</v>
      </c>
      <c r="J287" s="1">
        <f t="shared" si="10"/>
        <v>1506</v>
      </c>
      <c r="K287" s="1">
        <v>0</v>
      </c>
      <c r="L287" s="1">
        <v>0</v>
      </c>
      <c r="M287" s="1">
        <v>0</v>
      </c>
      <c r="N287" s="1">
        <f t="shared" si="12"/>
        <v>0</v>
      </c>
      <c r="O287" s="9">
        <f t="shared" si="11"/>
        <v>1506</v>
      </c>
      <c r="P287" s="1">
        <v>0</v>
      </c>
      <c r="Q287" s="1">
        <v>0</v>
      </c>
      <c r="R287" s="12">
        <v>38565</v>
      </c>
      <c r="S287" s="1">
        <v>1506</v>
      </c>
      <c r="T287" s="9" t="s">
        <v>21</v>
      </c>
    </row>
    <row r="288" spans="1:20" x14ac:dyDescent="0.25">
      <c r="A288" s="10" t="s">
        <v>18</v>
      </c>
      <c r="B288" t="b">
        <v>0</v>
      </c>
      <c r="C288" t="b">
        <v>0</v>
      </c>
      <c r="D288" s="1">
        <v>0</v>
      </c>
      <c r="E288" s="1">
        <v>0</v>
      </c>
      <c r="F288" s="1">
        <v>0</v>
      </c>
      <c r="G288" s="1">
        <v>1499</v>
      </c>
      <c r="H288" s="1">
        <v>0</v>
      </c>
      <c r="I288" s="1">
        <v>0</v>
      </c>
      <c r="J288" s="1">
        <f t="shared" si="10"/>
        <v>1499</v>
      </c>
      <c r="K288" s="1">
        <v>0</v>
      </c>
      <c r="L288" s="1">
        <v>0</v>
      </c>
      <c r="M288" s="1">
        <v>0</v>
      </c>
      <c r="N288" s="1">
        <f t="shared" si="12"/>
        <v>0</v>
      </c>
      <c r="O288" s="9">
        <f t="shared" si="11"/>
        <v>1499</v>
      </c>
      <c r="P288" s="1">
        <v>0</v>
      </c>
      <c r="Q288" s="1">
        <v>0</v>
      </c>
      <c r="R288" s="12">
        <v>38596</v>
      </c>
      <c r="S288" s="1">
        <v>1499</v>
      </c>
      <c r="T288" s="9" t="s">
        <v>21</v>
      </c>
    </row>
    <row r="289" spans="1:20" x14ac:dyDescent="0.25">
      <c r="A289" s="10" t="s">
        <v>18</v>
      </c>
      <c r="B289" t="b">
        <v>0</v>
      </c>
      <c r="C289" t="b">
        <v>0</v>
      </c>
      <c r="D289" s="1">
        <v>0</v>
      </c>
      <c r="E289" s="1">
        <v>0</v>
      </c>
      <c r="F289" s="1">
        <v>0</v>
      </c>
      <c r="G289" s="1">
        <v>2136</v>
      </c>
      <c r="H289" s="1">
        <v>0</v>
      </c>
      <c r="I289" s="1">
        <v>0</v>
      </c>
      <c r="J289" s="1">
        <f t="shared" si="10"/>
        <v>2136</v>
      </c>
      <c r="K289" s="1">
        <v>0</v>
      </c>
      <c r="L289" s="1">
        <v>0</v>
      </c>
      <c r="M289" s="1">
        <v>0</v>
      </c>
      <c r="N289" s="1">
        <f t="shared" si="12"/>
        <v>0</v>
      </c>
      <c r="O289" s="9">
        <f t="shared" si="11"/>
        <v>2136</v>
      </c>
      <c r="P289" s="1">
        <v>0</v>
      </c>
      <c r="Q289" s="1">
        <v>0</v>
      </c>
      <c r="R289" s="12">
        <v>38626</v>
      </c>
      <c r="S289" s="1">
        <v>2136</v>
      </c>
      <c r="T289" s="9" t="s">
        <v>21</v>
      </c>
    </row>
    <row r="290" spans="1:20" x14ac:dyDescent="0.25">
      <c r="A290" s="10" t="s">
        <v>18</v>
      </c>
      <c r="B290" t="b">
        <v>0</v>
      </c>
      <c r="C290" t="b">
        <v>0</v>
      </c>
      <c r="D290" s="1">
        <v>0</v>
      </c>
      <c r="E290" s="1">
        <v>0</v>
      </c>
      <c r="F290" s="1">
        <v>0</v>
      </c>
      <c r="G290" s="1">
        <v>1081</v>
      </c>
      <c r="H290" s="1">
        <v>0</v>
      </c>
      <c r="I290" s="1">
        <v>0</v>
      </c>
      <c r="J290" s="1">
        <f t="shared" si="10"/>
        <v>1081</v>
      </c>
      <c r="K290" s="1">
        <v>0</v>
      </c>
      <c r="L290" s="1">
        <v>0</v>
      </c>
      <c r="M290" s="1">
        <v>0</v>
      </c>
      <c r="N290" s="1">
        <f t="shared" si="12"/>
        <v>0</v>
      </c>
      <c r="O290" s="9">
        <f t="shared" si="11"/>
        <v>1081</v>
      </c>
      <c r="P290" s="1">
        <v>0</v>
      </c>
      <c r="Q290" s="1">
        <v>0</v>
      </c>
      <c r="R290" s="12">
        <v>38657</v>
      </c>
      <c r="S290" s="1">
        <v>1081</v>
      </c>
      <c r="T290" s="9" t="s">
        <v>21</v>
      </c>
    </row>
    <row r="291" spans="1:20" x14ac:dyDescent="0.25">
      <c r="A291" s="10" t="s">
        <v>18</v>
      </c>
      <c r="B291" t="b">
        <v>0</v>
      </c>
      <c r="C291" t="b">
        <v>0</v>
      </c>
      <c r="D291" s="1">
        <v>0</v>
      </c>
      <c r="E291" s="1">
        <v>0</v>
      </c>
      <c r="F291" s="1">
        <v>0</v>
      </c>
      <c r="G291" s="1">
        <v>1081</v>
      </c>
      <c r="H291" s="1">
        <v>0</v>
      </c>
      <c r="I291" s="1">
        <v>0</v>
      </c>
      <c r="J291" s="1">
        <f t="shared" si="10"/>
        <v>1081</v>
      </c>
      <c r="K291" s="1">
        <v>0</v>
      </c>
      <c r="L291" s="1">
        <v>0</v>
      </c>
      <c r="M291" s="1">
        <v>0</v>
      </c>
      <c r="N291" s="1">
        <f t="shared" si="12"/>
        <v>0</v>
      </c>
      <c r="O291" s="9">
        <f t="shared" si="11"/>
        <v>1081</v>
      </c>
      <c r="P291" s="1">
        <v>0</v>
      </c>
      <c r="Q291" s="1">
        <v>0</v>
      </c>
      <c r="R291" s="12">
        <v>38687</v>
      </c>
      <c r="S291" s="1">
        <v>1081</v>
      </c>
      <c r="T291" s="9" t="s">
        <v>21</v>
      </c>
    </row>
    <row r="292" spans="1:20" x14ac:dyDescent="0.25">
      <c r="A292" s="10" t="s">
        <v>18</v>
      </c>
      <c r="B292" t="b">
        <v>0</v>
      </c>
      <c r="C292" t="b">
        <v>0</v>
      </c>
      <c r="D292" s="1">
        <v>0</v>
      </c>
      <c r="E292" s="1">
        <v>0</v>
      </c>
      <c r="F292" s="1">
        <v>0</v>
      </c>
      <c r="G292" s="1">
        <v>1081</v>
      </c>
      <c r="H292" s="1">
        <v>0</v>
      </c>
      <c r="I292" s="1">
        <v>0</v>
      </c>
      <c r="J292" s="1">
        <f t="shared" si="10"/>
        <v>1081</v>
      </c>
      <c r="K292" s="1">
        <v>0</v>
      </c>
      <c r="L292" s="1">
        <v>0</v>
      </c>
      <c r="M292" s="1">
        <v>0</v>
      </c>
      <c r="N292" s="1">
        <f t="shared" si="12"/>
        <v>0</v>
      </c>
      <c r="O292" s="9">
        <f t="shared" si="11"/>
        <v>1081</v>
      </c>
      <c r="P292" s="1">
        <v>0</v>
      </c>
      <c r="Q292" s="1">
        <v>0</v>
      </c>
      <c r="R292" s="12">
        <v>38718</v>
      </c>
      <c r="S292" s="1">
        <v>1081</v>
      </c>
      <c r="T292" s="9" t="s">
        <v>21</v>
      </c>
    </row>
    <row r="293" spans="1:20" x14ac:dyDescent="0.25">
      <c r="A293" s="10" t="s">
        <v>18</v>
      </c>
      <c r="B293" t="b">
        <v>0</v>
      </c>
      <c r="C293" t="b">
        <v>0</v>
      </c>
      <c r="D293" s="1">
        <v>0</v>
      </c>
      <c r="E293" s="1">
        <v>0</v>
      </c>
      <c r="F293" s="1">
        <v>0</v>
      </c>
      <c r="G293" s="1">
        <v>1081</v>
      </c>
      <c r="H293" s="1">
        <v>0</v>
      </c>
      <c r="I293" s="1">
        <v>0</v>
      </c>
      <c r="J293" s="1">
        <f t="shared" si="10"/>
        <v>1081</v>
      </c>
      <c r="K293" s="1">
        <v>0</v>
      </c>
      <c r="L293" s="1">
        <v>0</v>
      </c>
      <c r="M293" s="1">
        <v>0</v>
      </c>
      <c r="N293" s="1">
        <f t="shared" si="12"/>
        <v>0</v>
      </c>
      <c r="O293" s="9">
        <f t="shared" si="11"/>
        <v>1081</v>
      </c>
      <c r="P293" s="1">
        <v>0</v>
      </c>
      <c r="Q293" s="1">
        <v>0</v>
      </c>
      <c r="R293" s="12">
        <v>38749</v>
      </c>
      <c r="S293" s="1">
        <v>1081</v>
      </c>
      <c r="T293" s="9" t="s">
        <v>21</v>
      </c>
    </row>
    <row r="294" spans="1:20" x14ac:dyDescent="0.25">
      <c r="A294" s="10" t="s">
        <v>18</v>
      </c>
      <c r="B294" t="b">
        <v>0</v>
      </c>
      <c r="C294" t="b">
        <v>0</v>
      </c>
      <c r="D294" s="1">
        <v>0</v>
      </c>
      <c r="E294" s="1">
        <v>0</v>
      </c>
      <c r="F294" s="1">
        <v>0</v>
      </c>
      <c r="G294" s="1">
        <v>1081</v>
      </c>
      <c r="H294" s="1">
        <v>0</v>
      </c>
      <c r="I294" s="1">
        <v>0</v>
      </c>
      <c r="J294" s="1">
        <f t="shared" si="10"/>
        <v>1081</v>
      </c>
      <c r="K294" s="1">
        <v>0</v>
      </c>
      <c r="L294" s="1">
        <v>0</v>
      </c>
      <c r="M294" s="1">
        <v>0</v>
      </c>
      <c r="N294" s="1">
        <f t="shared" si="12"/>
        <v>0</v>
      </c>
      <c r="O294" s="9">
        <f t="shared" si="11"/>
        <v>1081</v>
      </c>
      <c r="P294" s="1">
        <v>0</v>
      </c>
      <c r="Q294" s="1">
        <v>0</v>
      </c>
      <c r="R294" s="12">
        <v>38777</v>
      </c>
      <c r="S294" s="1">
        <v>1081</v>
      </c>
      <c r="T294" s="9" t="s">
        <v>21</v>
      </c>
    </row>
    <row r="295" spans="1:20" x14ac:dyDescent="0.25">
      <c r="A295" s="10" t="s">
        <v>18</v>
      </c>
      <c r="B295" t="b">
        <v>0</v>
      </c>
      <c r="C295" t="b">
        <v>0</v>
      </c>
      <c r="D295" s="1">
        <v>0</v>
      </c>
      <c r="E295" s="1">
        <v>0</v>
      </c>
      <c r="F295" s="1">
        <v>0</v>
      </c>
      <c r="G295" s="1">
        <v>1081</v>
      </c>
      <c r="H295" s="1">
        <v>0</v>
      </c>
      <c r="I295" s="1">
        <v>0</v>
      </c>
      <c r="J295" s="1">
        <f t="shared" si="10"/>
        <v>1081</v>
      </c>
      <c r="K295" s="1">
        <v>0</v>
      </c>
      <c r="L295" s="1">
        <v>0</v>
      </c>
      <c r="M295" s="1">
        <v>0</v>
      </c>
      <c r="N295" s="1">
        <f t="shared" si="12"/>
        <v>0</v>
      </c>
      <c r="O295" s="9">
        <f t="shared" si="11"/>
        <v>1081</v>
      </c>
      <c r="P295" s="1">
        <v>0</v>
      </c>
      <c r="Q295" s="1">
        <v>0</v>
      </c>
      <c r="R295" s="12">
        <v>38808</v>
      </c>
      <c r="S295" s="1">
        <v>1081</v>
      </c>
      <c r="T295" s="9" t="s">
        <v>21</v>
      </c>
    </row>
    <row r="296" spans="1:20" x14ac:dyDescent="0.25">
      <c r="A296" s="10" t="s">
        <v>18</v>
      </c>
      <c r="B296" t="b">
        <v>0</v>
      </c>
      <c r="C296" t="b">
        <v>0</v>
      </c>
      <c r="D296" s="1">
        <v>0</v>
      </c>
      <c r="E296" s="1">
        <v>0</v>
      </c>
      <c r="F296" s="1">
        <v>0</v>
      </c>
      <c r="G296" s="1">
        <v>2068</v>
      </c>
      <c r="H296" s="1">
        <v>0</v>
      </c>
      <c r="I296" s="1">
        <v>0</v>
      </c>
      <c r="J296" s="1">
        <f t="shared" si="10"/>
        <v>2068</v>
      </c>
      <c r="K296" s="1">
        <v>0</v>
      </c>
      <c r="L296" s="1">
        <v>0</v>
      </c>
      <c r="M296" s="1">
        <v>0</v>
      </c>
      <c r="N296" s="1">
        <f t="shared" si="12"/>
        <v>0</v>
      </c>
      <c r="O296" s="9">
        <f t="shared" si="11"/>
        <v>2068</v>
      </c>
      <c r="P296" s="1">
        <v>0</v>
      </c>
      <c r="Q296" s="1">
        <v>0</v>
      </c>
      <c r="R296" s="12">
        <v>38838</v>
      </c>
      <c r="S296" s="1">
        <v>2068</v>
      </c>
      <c r="T296" s="9" t="s">
        <v>21</v>
      </c>
    </row>
    <row r="297" spans="1:20" x14ac:dyDescent="0.25">
      <c r="A297" s="10" t="s">
        <v>18</v>
      </c>
      <c r="B297" t="b">
        <v>0</v>
      </c>
      <c r="C297" t="b">
        <v>0</v>
      </c>
      <c r="D297" s="1">
        <v>0</v>
      </c>
      <c r="E297" s="1">
        <v>0</v>
      </c>
      <c r="F297" s="1">
        <v>0</v>
      </c>
      <c r="G297" s="1">
        <v>1573</v>
      </c>
      <c r="H297" s="1">
        <v>0</v>
      </c>
      <c r="I297" s="1">
        <v>0</v>
      </c>
      <c r="J297" s="1">
        <f t="shared" si="10"/>
        <v>1573</v>
      </c>
      <c r="K297" s="1">
        <v>0</v>
      </c>
      <c r="L297" s="1">
        <v>0</v>
      </c>
      <c r="M297" s="1">
        <v>0</v>
      </c>
      <c r="N297" s="1">
        <f t="shared" si="12"/>
        <v>0</v>
      </c>
      <c r="O297" s="9">
        <f t="shared" si="11"/>
        <v>1573</v>
      </c>
      <c r="P297" s="1">
        <v>0</v>
      </c>
      <c r="Q297" s="1">
        <v>0</v>
      </c>
      <c r="R297" s="12">
        <v>38869</v>
      </c>
      <c r="S297" s="1">
        <v>1573</v>
      </c>
      <c r="T297" s="9" t="s">
        <v>21</v>
      </c>
    </row>
    <row r="298" spans="1:20" x14ac:dyDescent="0.25">
      <c r="A298" s="10" t="s">
        <v>18</v>
      </c>
      <c r="B298" t="b">
        <v>0</v>
      </c>
      <c r="C298" t="b">
        <v>0</v>
      </c>
      <c r="D298" s="1">
        <v>0</v>
      </c>
      <c r="E298" s="1">
        <v>0</v>
      </c>
      <c r="F298" s="1">
        <v>0</v>
      </c>
      <c r="G298" s="1">
        <v>1468</v>
      </c>
      <c r="H298" s="1">
        <v>0</v>
      </c>
      <c r="I298" s="1">
        <v>0</v>
      </c>
      <c r="J298" s="1">
        <f t="shared" si="10"/>
        <v>1468</v>
      </c>
      <c r="K298" s="1">
        <v>0</v>
      </c>
      <c r="L298" s="1">
        <v>0</v>
      </c>
      <c r="M298" s="1">
        <v>0</v>
      </c>
      <c r="N298" s="1">
        <f t="shared" si="12"/>
        <v>0</v>
      </c>
      <c r="O298" s="9">
        <f t="shared" si="11"/>
        <v>1468</v>
      </c>
      <c r="P298" s="1">
        <v>0</v>
      </c>
      <c r="Q298" s="1">
        <v>0</v>
      </c>
      <c r="R298" s="12">
        <v>38899</v>
      </c>
      <c r="S298" s="1">
        <v>1468</v>
      </c>
      <c r="T298" s="9" t="s">
        <v>21</v>
      </c>
    </row>
    <row r="299" spans="1:20" x14ac:dyDescent="0.25">
      <c r="A299" s="10" t="s">
        <v>18</v>
      </c>
      <c r="B299" t="b">
        <v>0</v>
      </c>
      <c r="C299" t="b">
        <v>0</v>
      </c>
      <c r="D299" s="1">
        <v>0</v>
      </c>
      <c r="E299" s="1">
        <v>0</v>
      </c>
      <c r="F299" s="1">
        <v>0</v>
      </c>
      <c r="G299" s="1">
        <v>1581</v>
      </c>
      <c r="H299" s="1">
        <v>0</v>
      </c>
      <c r="I299" s="1">
        <v>0</v>
      </c>
      <c r="J299" s="1">
        <f t="shared" si="10"/>
        <v>1581</v>
      </c>
      <c r="K299" s="1">
        <v>0</v>
      </c>
      <c r="L299" s="1">
        <v>0</v>
      </c>
      <c r="M299" s="1">
        <v>0</v>
      </c>
      <c r="N299" s="1">
        <f t="shared" si="12"/>
        <v>0</v>
      </c>
      <c r="O299" s="9">
        <f t="shared" si="11"/>
        <v>1581</v>
      </c>
      <c r="P299" s="1">
        <v>0</v>
      </c>
      <c r="Q299" s="1">
        <v>0</v>
      </c>
      <c r="R299" s="12">
        <v>38930</v>
      </c>
      <c r="S299" s="1">
        <v>1581</v>
      </c>
      <c r="T299" s="9" t="s">
        <v>21</v>
      </c>
    </row>
    <row r="300" spans="1:20" x14ac:dyDescent="0.25">
      <c r="A300" s="10" t="s">
        <v>18</v>
      </c>
      <c r="B300" t="b">
        <v>0</v>
      </c>
      <c r="C300" t="b">
        <v>0</v>
      </c>
      <c r="D300" s="1">
        <v>0</v>
      </c>
      <c r="E300" s="1">
        <v>0</v>
      </c>
      <c r="F300" s="1">
        <v>0</v>
      </c>
      <c r="G300" s="1">
        <v>1641</v>
      </c>
      <c r="H300" s="1">
        <v>0</v>
      </c>
      <c r="I300" s="1">
        <v>0</v>
      </c>
      <c r="J300" s="1">
        <f t="shared" si="10"/>
        <v>1641</v>
      </c>
      <c r="K300" s="1">
        <v>0</v>
      </c>
      <c r="L300" s="1">
        <v>0</v>
      </c>
      <c r="M300" s="1">
        <v>0</v>
      </c>
      <c r="N300" s="1">
        <f t="shared" si="12"/>
        <v>0</v>
      </c>
      <c r="O300" s="9">
        <f t="shared" si="11"/>
        <v>1641</v>
      </c>
      <c r="P300" s="1">
        <v>0</v>
      </c>
      <c r="Q300" s="1">
        <v>0</v>
      </c>
      <c r="R300" s="12">
        <v>38961</v>
      </c>
      <c r="S300" s="1">
        <v>1641</v>
      </c>
      <c r="T300" s="9" t="s">
        <v>21</v>
      </c>
    </row>
    <row r="301" spans="1:20" x14ac:dyDescent="0.25">
      <c r="A301" s="10" t="s">
        <v>18</v>
      </c>
      <c r="B301" t="b">
        <v>0</v>
      </c>
      <c r="C301" t="b">
        <v>0</v>
      </c>
      <c r="D301" s="1">
        <v>0</v>
      </c>
      <c r="E301" s="1">
        <v>0</v>
      </c>
      <c r="F301" s="1">
        <v>0</v>
      </c>
      <c r="G301" s="1">
        <v>1081</v>
      </c>
      <c r="H301" s="1">
        <v>0</v>
      </c>
      <c r="I301" s="1">
        <v>0</v>
      </c>
      <c r="J301" s="1">
        <f t="shared" si="10"/>
        <v>1081</v>
      </c>
      <c r="K301" s="1">
        <v>0</v>
      </c>
      <c r="L301" s="1">
        <v>0</v>
      </c>
      <c r="M301" s="1">
        <v>0</v>
      </c>
      <c r="N301" s="1">
        <f t="shared" si="12"/>
        <v>0</v>
      </c>
      <c r="O301" s="9">
        <f t="shared" si="11"/>
        <v>1081</v>
      </c>
      <c r="P301" s="1">
        <v>0</v>
      </c>
      <c r="Q301" s="1">
        <v>0</v>
      </c>
      <c r="R301" s="12">
        <v>38991</v>
      </c>
      <c r="S301" s="1">
        <v>1081</v>
      </c>
      <c r="T301" s="9" t="s">
        <v>21</v>
      </c>
    </row>
    <row r="302" spans="1:20" x14ac:dyDescent="0.25">
      <c r="A302" s="10" t="s">
        <v>18</v>
      </c>
      <c r="B302" t="b">
        <v>0</v>
      </c>
      <c r="C302" t="b">
        <v>0</v>
      </c>
      <c r="D302" s="1">
        <v>0</v>
      </c>
      <c r="E302" s="1">
        <v>0</v>
      </c>
      <c r="F302" s="1">
        <v>0</v>
      </c>
      <c r="G302" s="1">
        <v>1081</v>
      </c>
      <c r="H302" s="1">
        <v>0</v>
      </c>
      <c r="I302" s="1">
        <v>0</v>
      </c>
      <c r="J302" s="1">
        <f t="shared" si="10"/>
        <v>1081</v>
      </c>
      <c r="K302" s="1">
        <v>0</v>
      </c>
      <c r="L302" s="1">
        <v>0</v>
      </c>
      <c r="M302" s="1">
        <v>0</v>
      </c>
      <c r="N302" s="1">
        <f t="shared" si="12"/>
        <v>0</v>
      </c>
      <c r="O302" s="9">
        <f t="shared" si="11"/>
        <v>1081</v>
      </c>
      <c r="P302" s="1">
        <v>0</v>
      </c>
      <c r="Q302" s="1">
        <v>0</v>
      </c>
      <c r="R302" s="12">
        <v>39022</v>
      </c>
      <c r="S302" s="1">
        <v>1081</v>
      </c>
      <c r="T302" s="9" t="s">
        <v>21</v>
      </c>
    </row>
    <row r="303" spans="1:20" x14ac:dyDescent="0.25">
      <c r="A303" s="10" t="s">
        <v>18</v>
      </c>
      <c r="B303" t="b">
        <v>0</v>
      </c>
      <c r="C303" t="b">
        <v>0</v>
      </c>
      <c r="D303" s="1">
        <v>0</v>
      </c>
      <c r="E303" s="1">
        <v>0</v>
      </c>
      <c r="F303" s="1">
        <v>0</v>
      </c>
      <c r="G303" s="1">
        <v>1081</v>
      </c>
      <c r="H303" s="1">
        <v>0</v>
      </c>
      <c r="I303" s="1">
        <v>0</v>
      </c>
      <c r="J303" s="1">
        <f t="shared" ref="J303:J366" si="13">D303+E303+F303+G303+H303+I303</f>
        <v>1081</v>
      </c>
      <c r="K303" s="1">
        <v>0</v>
      </c>
      <c r="L303" s="1">
        <v>0</v>
      </c>
      <c r="M303" s="1">
        <v>0</v>
      </c>
      <c r="N303" s="1">
        <f t="shared" si="12"/>
        <v>0</v>
      </c>
      <c r="O303" s="9">
        <f t="shared" ref="O303:O366" si="14">J303</f>
        <v>1081</v>
      </c>
      <c r="P303" s="1">
        <v>0</v>
      </c>
      <c r="Q303" s="1">
        <v>0</v>
      </c>
      <c r="R303" s="12">
        <v>39052</v>
      </c>
      <c r="S303" s="1">
        <v>1081</v>
      </c>
      <c r="T303" s="9" t="s">
        <v>21</v>
      </c>
    </row>
    <row r="304" spans="1:20" x14ac:dyDescent="0.25">
      <c r="A304" s="10" t="s">
        <v>18</v>
      </c>
      <c r="B304" t="b">
        <v>0</v>
      </c>
      <c r="C304" t="b">
        <v>0</v>
      </c>
      <c r="D304" s="1">
        <v>0</v>
      </c>
      <c r="E304" s="1">
        <v>0</v>
      </c>
      <c r="F304" s="1">
        <v>0</v>
      </c>
      <c r="G304" s="1">
        <v>1081</v>
      </c>
      <c r="H304" s="1">
        <v>0</v>
      </c>
      <c r="I304" s="1">
        <v>0</v>
      </c>
      <c r="J304" s="1">
        <f t="shared" si="13"/>
        <v>1081</v>
      </c>
      <c r="K304" s="1">
        <v>0</v>
      </c>
      <c r="L304" s="1">
        <v>0</v>
      </c>
      <c r="M304" s="1">
        <v>0</v>
      </c>
      <c r="N304" s="1">
        <f t="shared" si="12"/>
        <v>0</v>
      </c>
      <c r="O304" s="9">
        <f t="shared" si="14"/>
        <v>1081</v>
      </c>
      <c r="P304" s="1">
        <v>0</v>
      </c>
      <c r="Q304" s="1">
        <v>0</v>
      </c>
      <c r="R304" s="12">
        <v>39083</v>
      </c>
      <c r="S304" s="1">
        <v>1081</v>
      </c>
      <c r="T304" s="9" t="s">
        <v>41</v>
      </c>
    </row>
    <row r="305" spans="1:20" x14ac:dyDescent="0.25">
      <c r="A305" s="10" t="s">
        <v>18</v>
      </c>
      <c r="B305" t="b">
        <v>0</v>
      </c>
      <c r="C305" t="b">
        <v>0</v>
      </c>
      <c r="D305" s="1">
        <v>0</v>
      </c>
      <c r="E305" s="1">
        <v>0</v>
      </c>
      <c r="F305" s="1">
        <v>0</v>
      </c>
      <c r="G305" s="1">
        <v>1081</v>
      </c>
      <c r="H305" s="1">
        <v>0</v>
      </c>
      <c r="I305" s="1">
        <v>0</v>
      </c>
      <c r="J305" s="1">
        <f t="shared" si="13"/>
        <v>1081</v>
      </c>
      <c r="K305" s="1">
        <v>0</v>
      </c>
      <c r="L305" s="1">
        <v>0</v>
      </c>
      <c r="M305" s="1">
        <v>0</v>
      </c>
      <c r="N305" s="1">
        <f t="shared" si="12"/>
        <v>0</v>
      </c>
      <c r="O305" s="9">
        <f t="shared" si="14"/>
        <v>1081</v>
      </c>
      <c r="P305" s="1">
        <v>0</v>
      </c>
      <c r="Q305" s="1">
        <v>0</v>
      </c>
      <c r="R305" s="12">
        <v>39114</v>
      </c>
      <c r="S305" s="1">
        <v>1081</v>
      </c>
      <c r="T305" s="9" t="s">
        <v>41</v>
      </c>
    </row>
    <row r="306" spans="1:20" x14ac:dyDescent="0.25">
      <c r="A306" s="10" t="s">
        <v>18</v>
      </c>
      <c r="B306" t="b">
        <v>0</v>
      </c>
      <c r="C306" t="b">
        <v>0</v>
      </c>
      <c r="D306" s="1">
        <v>0</v>
      </c>
      <c r="E306" s="1">
        <v>0</v>
      </c>
      <c r="F306" s="1">
        <v>0</v>
      </c>
      <c r="G306" s="1">
        <v>1347</v>
      </c>
      <c r="H306" s="1">
        <v>0</v>
      </c>
      <c r="I306" s="1">
        <v>0</v>
      </c>
      <c r="J306" s="1">
        <f t="shared" si="13"/>
        <v>1347</v>
      </c>
      <c r="K306" s="1">
        <v>0</v>
      </c>
      <c r="L306" s="1">
        <v>0</v>
      </c>
      <c r="M306" s="1">
        <v>0</v>
      </c>
      <c r="N306" s="1">
        <f t="shared" si="12"/>
        <v>0</v>
      </c>
      <c r="O306" s="9">
        <f t="shared" si="14"/>
        <v>1347</v>
      </c>
      <c r="P306" s="1">
        <v>0</v>
      </c>
      <c r="Q306" s="1">
        <v>0</v>
      </c>
      <c r="R306" s="12">
        <v>39142</v>
      </c>
      <c r="S306" s="1">
        <v>1347</v>
      </c>
      <c r="T306" s="9" t="s">
        <v>41</v>
      </c>
    </row>
    <row r="307" spans="1:20" x14ac:dyDescent="0.25">
      <c r="A307" s="10" t="s">
        <v>18</v>
      </c>
      <c r="B307" t="b">
        <v>0</v>
      </c>
      <c r="C307" t="b">
        <v>0</v>
      </c>
      <c r="D307" s="1">
        <v>0</v>
      </c>
      <c r="E307" s="1">
        <v>0</v>
      </c>
      <c r="F307" s="1">
        <v>0</v>
      </c>
      <c r="G307" s="1">
        <v>1253</v>
      </c>
      <c r="H307" s="1">
        <v>0</v>
      </c>
      <c r="I307" s="1">
        <v>0</v>
      </c>
      <c r="J307" s="1">
        <f t="shared" si="13"/>
        <v>1253</v>
      </c>
      <c r="K307" s="1">
        <v>0</v>
      </c>
      <c r="L307" s="1">
        <v>0</v>
      </c>
      <c r="M307" s="1">
        <v>0</v>
      </c>
      <c r="N307" s="1">
        <f t="shared" si="12"/>
        <v>0</v>
      </c>
      <c r="O307" s="9">
        <f t="shared" si="14"/>
        <v>1253</v>
      </c>
      <c r="P307" s="1">
        <v>0</v>
      </c>
      <c r="Q307" s="1">
        <v>0</v>
      </c>
      <c r="R307" s="12">
        <v>39173</v>
      </c>
      <c r="S307" s="1">
        <v>1253</v>
      </c>
      <c r="T307" s="9" t="s">
        <v>41</v>
      </c>
    </row>
    <row r="308" spans="1:20" x14ac:dyDescent="0.25">
      <c r="A308" s="10" t="s">
        <v>18</v>
      </c>
      <c r="B308" t="b">
        <v>0</v>
      </c>
      <c r="C308" t="b">
        <v>0</v>
      </c>
      <c r="D308" s="1">
        <v>0</v>
      </c>
      <c r="E308" s="1">
        <v>0</v>
      </c>
      <c r="F308" s="1">
        <v>0</v>
      </c>
      <c r="G308" s="1">
        <v>2138</v>
      </c>
      <c r="H308" s="1">
        <v>0</v>
      </c>
      <c r="I308" s="1">
        <v>0</v>
      </c>
      <c r="J308" s="1">
        <f t="shared" si="13"/>
        <v>2138</v>
      </c>
      <c r="K308" s="1">
        <v>0</v>
      </c>
      <c r="L308" s="1">
        <v>0</v>
      </c>
      <c r="M308" s="1">
        <v>0</v>
      </c>
      <c r="N308" s="1">
        <f t="shared" si="12"/>
        <v>0</v>
      </c>
      <c r="O308" s="9">
        <f t="shared" si="14"/>
        <v>2138</v>
      </c>
      <c r="P308" s="1">
        <v>0</v>
      </c>
      <c r="Q308" s="1">
        <v>0</v>
      </c>
      <c r="R308" s="12">
        <v>39203</v>
      </c>
      <c r="S308" s="1">
        <v>2138</v>
      </c>
      <c r="T308" s="9" t="s">
        <v>41</v>
      </c>
    </row>
    <row r="309" spans="1:20" x14ac:dyDescent="0.25">
      <c r="A309" s="10" t="s">
        <v>18</v>
      </c>
      <c r="B309" t="b">
        <v>0</v>
      </c>
      <c r="C309" t="b">
        <v>0</v>
      </c>
      <c r="D309" s="1">
        <v>0</v>
      </c>
      <c r="E309" s="1">
        <v>0</v>
      </c>
      <c r="F309" s="1">
        <v>0</v>
      </c>
      <c r="G309" s="1">
        <v>1646</v>
      </c>
      <c r="H309" s="1">
        <v>0</v>
      </c>
      <c r="I309" s="1">
        <v>0</v>
      </c>
      <c r="J309" s="1">
        <f t="shared" si="13"/>
        <v>1646</v>
      </c>
      <c r="K309" s="1">
        <v>0</v>
      </c>
      <c r="L309" s="1">
        <v>0</v>
      </c>
      <c r="M309" s="1">
        <v>0</v>
      </c>
      <c r="N309" s="1">
        <f t="shared" si="12"/>
        <v>0</v>
      </c>
      <c r="O309" s="9">
        <f t="shared" si="14"/>
        <v>1646</v>
      </c>
      <c r="P309" s="1">
        <v>0</v>
      </c>
      <c r="Q309" s="1">
        <v>0</v>
      </c>
      <c r="R309" s="12">
        <v>39234</v>
      </c>
      <c r="S309" s="1">
        <v>1646</v>
      </c>
      <c r="T309" s="9" t="s">
        <v>41</v>
      </c>
    </row>
    <row r="310" spans="1:20" x14ac:dyDescent="0.25">
      <c r="A310" s="10" t="s">
        <v>18</v>
      </c>
      <c r="B310" t="b">
        <v>0</v>
      </c>
      <c r="C310" t="b">
        <v>0</v>
      </c>
      <c r="D310" s="1">
        <v>0</v>
      </c>
      <c r="E310" s="1">
        <v>0</v>
      </c>
      <c r="F310" s="1">
        <v>0</v>
      </c>
      <c r="G310" s="1">
        <v>1998</v>
      </c>
      <c r="H310" s="1">
        <v>0</v>
      </c>
      <c r="I310" s="1">
        <v>0</v>
      </c>
      <c r="J310" s="1">
        <f t="shared" si="13"/>
        <v>1998</v>
      </c>
      <c r="K310" s="1">
        <v>0</v>
      </c>
      <c r="L310" s="1">
        <v>0</v>
      </c>
      <c r="M310" s="1">
        <v>0</v>
      </c>
      <c r="N310" s="1">
        <f t="shared" si="12"/>
        <v>0</v>
      </c>
      <c r="O310" s="9">
        <f t="shared" si="14"/>
        <v>1998</v>
      </c>
      <c r="P310" s="1">
        <v>0</v>
      </c>
      <c r="Q310" s="1">
        <v>0</v>
      </c>
      <c r="R310" s="12">
        <v>39264</v>
      </c>
      <c r="S310" s="1">
        <v>1998</v>
      </c>
      <c r="T310" s="9" t="s">
        <v>41</v>
      </c>
    </row>
    <row r="311" spans="1:20" x14ac:dyDescent="0.25">
      <c r="A311" s="10" t="s">
        <v>18</v>
      </c>
      <c r="B311" t="b">
        <v>0</v>
      </c>
      <c r="C311" t="b">
        <v>0</v>
      </c>
      <c r="D311" s="1">
        <v>0</v>
      </c>
      <c r="E311" s="1">
        <v>0</v>
      </c>
      <c r="F311" s="1">
        <v>0</v>
      </c>
      <c r="G311" s="1">
        <v>1653</v>
      </c>
      <c r="H311" s="1">
        <v>0</v>
      </c>
      <c r="I311" s="1">
        <v>0</v>
      </c>
      <c r="J311" s="1">
        <f t="shared" si="13"/>
        <v>1653</v>
      </c>
      <c r="K311" s="1">
        <v>0</v>
      </c>
      <c r="L311" s="1">
        <v>0</v>
      </c>
      <c r="M311" s="1">
        <v>0</v>
      </c>
      <c r="N311" s="1">
        <f t="shared" si="12"/>
        <v>0</v>
      </c>
      <c r="O311" s="9">
        <f t="shared" si="14"/>
        <v>1653</v>
      </c>
      <c r="P311" s="1">
        <v>0</v>
      </c>
      <c r="Q311" s="1">
        <v>0</v>
      </c>
      <c r="R311" s="12">
        <v>39295</v>
      </c>
      <c r="S311" s="1">
        <v>1653</v>
      </c>
      <c r="T311" s="9" t="s">
        <v>41</v>
      </c>
    </row>
    <row r="312" spans="1:20" x14ac:dyDescent="0.25">
      <c r="A312" s="10" t="s">
        <v>18</v>
      </c>
      <c r="B312" t="b">
        <v>0</v>
      </c>
      <c r="C312" t="b">
        <v>0</v>
      </c>
      <c r="D312" s="1">
        <v>0</v>
      </c>
      <c r="E312" s="1">
        <v>0</v>
      </c>
      <c r="F312" s="1">
        <v>0</v>
      </c>
      <c r="G312" s="1">
        <v>1833</v>
      </c>
      <c r="H312" s="1">
        <v>0</v>
      </c>
      <c r="I312" s="1">
        <v>0</v>
      </c>
      <c r="J312" s="1">
        <f t="shared" si="13"/>
        <v>1833</v>
      </c>
      <c r="K312" s="1">
        <v>0</v>
      </c>
      <c r="L312" s="1">
        <v>0</v>
      </c>
      <c r="M312" s="1">
        <v>0</v>
      </c>
      <c r="N312" s="1">
        <f t="shared" si="12"/>
        <v>0</v>
      </c>
      <c r="O312" s="9">
        <f t="shared" si="14"/>
        <v>1833</v>
      </c>
      <c r="P312" s="1">
        <v>0</v>
      </c>
      <c r="Q312" s="1">
        <v>0</v>
      </c>
      <c r="R312" s="12">
        <v>39326</v>
      </c>
      <c r="S312" s="1">
        <v>1833</v>
      </c>
      <c r="T312" s="9" t="s">
        <v>41</v>
      </c>
    </row>
    <row r="313" spans="1:20" x14ac:dyDescent="0.25">
      <c r="A313" s="10" t="s">
        <v>18</v>
      </c>
      <c r="B313" t="b">
        <v>0</v>
      </c>
      <c r="C313" t="b">
        <v>0</v>
      </c>
      <c r="D313" s="1">
        <v>0</v>
      </c>
      <c r="E313" s="1">
        <v>0</v>
      </c>
      <c r="F313" s="1">
        <v>0</v>
      </c>
      <c r="G313" s="1">
        <v>1570</v>
      </c>
      <c r="H313" s="1">
        <v>727</v>
      </c>
      <c r="I313" s="1">
        <v>0</v>
      </c>
      <c r="J313" s="1">
        <f t="shared" si="13"/>
        <v>2297</v>
      </c>
      <c r="K313" s="1">
        <v>0</v>
      </c>
      <c r="L313" s="1">
        <v>0</v>
      </c>
      <c r="M313" s="1">
        <v>0</v>
      </c>
      <c r="N313" s="1">
        <f t="shared" si="12"/>
        <v>0</v>
      </c>
      <c r="O313" s="9">
        <f t="shared" si="14"/>
        <v>2297</v>
      </c>
      <c r="P313" s="1">
        <v>0</v>
      </c>
      <c r="Q313" s="1">
        <v>0</v>
      </c>
      <c r="R313" s="12">
        <v>39356</v>
      </c>
      <c r="S313" s="1">
        <v>2297</v>
      </c>
      <c r="T313" s="9" t="s">
        <v>41</v>
      </c>
    </row>
    <row r="314" spans="1:20" x14ac:dyDescent="0.25">
      <c r="A314" s="10" t="s">
        <v>18</v>
      </c>
      <c r="B314" t="b">
        <v>0</v>
      </c>
      <c r="C314" t="b">
        <v>0</v>
      </c>
      <c r="D314" s="1">
        <v>0</v>
      </c>
      <c r="E314" s="1">
        <v>0</v>
      </c>
      <c r="F314" s="1">
        <v>0</v>
      </c>
      <c r="G314" s="1">
        <v>2075</v>
      </c>
      <c r="H314" s="1">
        <v>0</v>
      </c>
      <c r="I314" s="1">
        <v>0</v>
      </c>
      <c r="J314" s="1">
        <f t="shared" si="13"/>
        <v>2075</v>
      </c>
      <c r="K314" s="1">
        <v>0</v>
      </c>
      <c r="L314" s="1">
        <v>0</v>
      </c>
      <c r="M314" s="1">
        <v>0</v>
      </c>
      <c r="N314" s="1">
        <f t="shared" si="12"/>
        <v>0</v>
      </c>
      <c r="O314" s="9">
        <f t="shared" si="14"/>
        <v>2075</v>
      </c>
      <c r="P314" s="1">
        <v>0</v>
      </c>
      <c r="Q314" s="1">
        <v>0</v>
      </c>
      <c r="R314" s="12">
        <v>39387</v>
      </c>
      <c r="S314" s="1">
        <v>2075</v>
      </c>
      <c r="T314" s="9" t="s">
        <v>41</v>
      </c>
    </row>
    <row r="315" spans="1:20" x14ac:dyDescent="0.25">
      <c r="A315" s="10" t="s">
        <v>18</v>
      </c>
      <c r="B315" t="b">
        <v>0</v>
      </c>
      <c r="C315" t="b">
        <v>0</v>
      </c>
      <c r="D315" s="1">
        <v>0</v>
      </c>
      <c r="E315" s="1">
        <v>0</v>
      </c>
      <c r="F315" s="1">
        <v>0</v>
      </c>
      <c r="G315" s="1">
        <v>1680</v>
      </c>
      <c r="H315" s="1">
        <v>0</v>
      </c>
      <c r="I315" s="1">
        <v>0</v>
      </c>
      <c r="J315" s="1">
        <f t="shared" si="13"/>
        <v>1680</v>
      </c>
      <c r="K315" s="1">
        <v>0</v>
      </c>
      <c r="L315" s="1">
        <v>0</v>
      </c>
      <c r="M315" s="1">
        <v>0</v>
      </c>
      <c r="N315" s="1">
        <f t="shared" si="12"/>
        <v>0</v>
      </c>
      <c r="O315" s="9">
        <f t="shared" si="14"/>
        <v>1680</v>
      </c>
      <c r="P315" s="1">
        <v>0</v>
      </c>
      <c r="Q315" s="1">
        <v>0</v>
      </c>
      <c r="R315" s="12">
        <v>39417</v>
      </c>
      <c r="S315" s="1">
        <v>1680</v>
      </c>
      <c r="T315" s="9" t="s">
        <v>41</v>
      </c>
    </row>
    <row r="316" spans="1:20" x14ac:dyDescent="0.25">
      <c r="A316" s="10" t="s">
        <v>18</v>
      </c>
      <c r="B316" t="b">
        <v>0</v>
      </c>
      <c r="C316" t="b">
        <v>0</v>
      </c>
      <c r="D316" s="1">
        <v>0</v>
      </c>
      <c r="E316" s="1">
        <v>0</v>
      </c>
      <c r="F316" s="1">
        <v>0</v>
      </c>
      <c r="G316" s="1">
        <v>1001</v>
      </c>
      <c r="H316" s="1">
        <v>0</v>
      </c>
      <c r="I316" s="1">
        <v>0</v>
      </c>
      <c r="J316" s="1">
        <f t="shared" si="13"/>
        <v>1001</v>
      </c>
      <c r="K316" s="1">
        <v>0</v>
      </c>
      <c r="L316" s="1">
        <v>0</v>
      </c>
      <c r="M316" s="1">
        <v>0</v>
      </c>
      <c r="N316" s="1">
        <f t="shared" si="12"/>
        <v>0</v>
      </c>
      <c r="O316" s="9">
        <f t="shared" si="14"/>
        <v>1001</v>
      </c>
      <c r="P316" s="1">
        <v>0</v>
      </c>
      <c r="Q316" s="1">
        <v>0</v>
      </c>
      <c r="R316" s="12">
        <v>39448</v>
      </c>
      <c r="S316" s="1">
        <v>1001</v>
      </c>
      <c r="T316" s="9" t="s">
        <v>46</v>
      </c>
    </row>
    <row r="317" spans="1:20" x14ac:dyDescent="0.25">
      <c r="A317" s="10" t="s">
        <v>18</v>
      </c>
      <c r="B317" t="b">
        <v>0</v>
      </c>
      <c r="C317" t="b">
        <v>0</v>
      </c>
      <c r="D317" s="1">
        <v>0</v>
      </c>
      <c r="E317" s="1">
        <v>0</v>
      </c>
      <c r="F317" s="1">
        <v>0</v>
      </c>
      <c r="G317" s="1">
        <v>1042</v>
      </c>
      <c r="H317" s="1">
        <v>0</v>
      </c>
      <c r="I317" s="1">
        <v>0</v>
      </c>
      <c r="J317" s="1">
        <f t="shared" si="13"/>
        <v>1042</v>
      </c>
      <c r="K317" s="1">
        <v>0</v>
      </c>
      <c r="L317" s="1">
        <v>0</v>
      </c>
      <c r="M317" s="1">
        <v>0</v>
      </c>
      <c r="N317" s="1">
        <f t="shared" si="12"/>
        <v>0</v>
      </c>
      <c r="O317" s="9">
        <f t="shared" si="14"/>
        <v>1042</v>
      </c>
      <c r="P317" s="1">
        <v>0</v>
      </c>
      <c r="Q317" s="1">
        <v>0</v>
      </c>
      <c r="R317" s="12">
        <v>39479</v>
      </c>
      <c r="S317" s="1">
        <v>1042</v>
      </c>
      <c r="T317" s="9" t="s">
        <v>46</v>
      </c>
    </row>
    <row r="318" spans="1:20" x14ac:dyDescent="0.25">
      <c r="A318" s="10" t="s">
        <v>18</v>
      </c>
      <c r="B318" t="b">
        <v>0</v>
      </c>
      <c r="C318" t="b">
        <v>0</v>
      </c>
      <c r="D318" s="1">
        <v>0</v>
      </c>
      <c r="E318" s="1">
        <v>0</v>
      </c>
      <c r="F318" s="1">
        <v>0</v>
      </c>
      <c r="G318" s="1">
        <v>1427</v>
      </c>
      <c r="H318" s="1">
        <v>0</v>
      </c>
      <c r="I318" s="1">
        <v>0</v>
      </c>
      <c r="J318" s="1">
        <f t="shared" si="13"/>
        <v>1427</v>
      </c>
      <c r="K318" s="1">
        <v>0</v>
      </c>
      <c r="L318" s="1">
        <v>0</v>
      </c>
      <c r="M318" s="1">
        <v>0</v>
      </c>
      <c r="N318" s="1">
        <f t="shared" si="12"/>
        <v>0</v>
      </c>
      <c r="O318" s="9">
        <f t="shared" si="14"/>
        <v>1427</v>
      </c>
      <c r="P318" s="1">
        <v>0</v>
      </c>
      <c r="Q318" s="1">
        <v>0</v>
      </c>
      <c r="R318" s="12">
        <v>39508</v>
      </c>
      <c r="S318" s="1">
        <v>1427</v>
      </c>
      <c r="T318" s="9" t="s">
        <v>46</v>
      </c>
    </row>
    <row r="319" spans="1:20" x14ac:dyDescent="0.25">
      <c r="A319" s="10" t="s">
        <v>18</v>
      </c>
      <c r="B319" t="b">
        <v>0</v>
      </c>
      <c r="C319" t="b">
        <v>0</v>
      </c>
      <c r="D319" s="1">
        <v>0</v>
      </c>
      <c r="E319" s="1">
        <v>0</v>
      </c>
      <c r="F319" s="1">
        <v>0</v>
      </c>
      <c r="G319" s="1">
        <v>1332</v>
      </c>
      <c r="H319" s="1">
        <v>0</v>
      </c>
      <c r="I319" s="1">
        <v>0</v>
      </c>
      <c r="J319" s="1">
        <f t="shared" si="13"/>
        <v>1332</v>
      </c>
      <c r="K319" s="1">
        <v>0</v>
      </c>
      <c r="L319" s="1">
        <v>0</v>
      </c>
      <c r="M319" s="1">
        <v>0</v>
      </c>
      <c r="N319" s="1">
        <f t="shared" si="12"/>
        <v>0</v>
      </c>
      <c r="O319" s="9">
        <f t="shared" si="14"/>
        <v>1332</v>
      </c>
      <c r="P319" s="1">
        <v>0</v>
      </c>
      <c r="Q319" s="1">
        <v>0</v>
      </c>
      <c r="R319" s="12">
        <v>39539</v>
      </c>
      <c r="S319" s="1">
        <v>1332</v>
      </c>
      <c r="T319" s="9" t="s">
        <v>46</v>
      </c>
    </row>
    <row r="320" spans="1:20" x14ac:dyDescent="0.25">
      <c r="A320" s="10" t="s">
        <v>18</v>
      </c>
      <c r="B320" t="b">
        <v>0</v>
      </c>
      <c r="C320" t="b">
        <v>0</v>
      </c>
      <c r="D320" s="1">
        <v>0</v>
      </c>
      <c r="E320" s="1">
        <v>0</v>
      </c>
      <c r="F320" s="1">
        <v>0</v>
      </c>
      <c r="G320" s="1">
        <v>2338</v>
      </c>
      <c r="H320" s="1">
        <v>0</v>
      </c>
      <c r="I320" s="1">
        <v>0</v>
      </c>
      <c r="J320" s="1">
        <f t="shared" si="13"/>
        <v>2338</v>
      </c>
      <c r="K320" s="1">
        <v>0</v>
      </c>
      <c r="L320" s="1">
        <v>0</v>
      </c>
      <c r="M320" s="1">
        <v>0</v>
      </c>
      <c r="N320" s="1">
        <f t="shared" si="12"/>
        <v>0</v>
      </c>
      <c r="O320" s="9">
        <f t="shared" si="14"/>
        <v>2338</v>
      </c>
      <c r="P320" s="1">
        <v>0</v>
      </c>
      <c r="Q320" s="1">
        <v>0</v>
      </c>
      <c r="R320" s="12">
        <v>39569</v>
      </c>
      <c r="S320" s="1">
        <v>2338</v>
      </c>
      <c r="T320" s="9" t="s">
        <v>46</v>
      </c>
    </row>
    <row r="321" spans="1:20" x14ac:dyDescent="0.25">
      <c r="A321" s="10" t="s">
        <v>18</v>
      </c>
      <c r="B321" t="b">
        <v>0</v>
      </c>
      <c r="C321" t="b">
        <v>0</v>
      </c>
      <c r="D321" s="1">
        <v>0</v>
      </c>
      <c r="E321" s="1">
        <v>0</v>
      </c>
      <c r="F321" s="1">
        <v>0</v>
      </c>
      <c r="G321" s="1">
        <v>1850</v>
      </c>
      <c r="H321" s="1">
        <v>743</v>
      </c>
      <c r="I321" s="1">
        <v>0</v>
      </c>
      <c r="J321" s="1">
        <f t="shared" si="13"/>
        <v>2593</v>
      </c>
      <c r="K321" s="1">
        <v>0</v>
      </c>
      <c r="L321" s="1">
        <v>0</v>
      </c>
      <c r="M321" s="1">
        <v>0</v>
      </c>
      <c r="N321" s="1">
        <f t="shared" si="12"/>
        <v>0</v>
      </c>
      <c r="O321" s="9">
        <f t="shared" si="14"/>
        <v>2593</v>
      </c>
      <c r="P321" s="1">
        <v>0</v>
      </c>
      <c r="Q321" s="1">
        <v>0</v>
      </c>
      <c r="R321" s="12">
        <v>39600</v>
      </c>
      <c r="S321" s="1">
        <v>2593</v>
      </c>
      <c r="T321" s="9" t="s">
        <v>46</v>
      </c>
    </row>
    <row r="322" spans="1:20" x14ac:dyDescent="0.25">
      <c r="A322" s="10" t="s">
        <v>18</v>
      </c>
      <c r="B322" t="b">
        <v>0</v>
      </c>
      <c r="C322" t="b">
        <v>0</v>
      </c>
      <c r="D322" s="1">
        <v>0</v>
      </c>
      <c r="E322" s="1">
        <v>0</v>
      </c>
      <c r="F322" s="1">
        <v>0</v>
      </c>
      <c r="G322" s="1">
        <v>2022</v>
      </c>
      <c r="H322" s="1">
        <v>0</v>
      </c>
      <c r="I322" s="1">
        <v>0</v>
      </c>
      <c r="J322" s="1">
        <f t="shared" si="13"/>
        <v>2022</v>
      </c>
      <c r="K322" s="1">
        <v>0</v>
      </c>
      <c r="L322" s="1">
        <v>0</v>
      </c>
      <c r="M322" s="1">
        <v>0</v>
      </c>
      <c r="N322" s="1">
        <f t="shared" si="12"/>
        <v>0</v>
      </c>
      <c r="O322" s="9">
        <f t="shared" si="14"/>
        <v>2022</v>
      </c>
      <c r="P322" s="1">
        <v>0</v>
      </c>
      <c r="Q322" s="1">
        <v>0</v>
      </c>
      <c r="R322" s="12">
        <v>39630</v>
      </c>
      <c r="S322" s="1">
        <v>2022</v>
      </c>
      <c r="T322" s="9" t="s">
        <v>46</v>
      </c>
    </row>
    <row r="323" spans="1:20" x14ac:dyDescent="0.25">
      <c r="A323" s="10" t="s">
        <v>18</v>
      </c>
      <c r="B323" t="b">
        <v>0</v>
      </c>
      <c r="C323" t="b">
        <v>0</v>
      </c>
      <c r="D323" s="1">
        <v>0</v>
      </c>
      <c r="E323" s="1">
        <v>0</v>
      </c>
      <c r="F323" s="1">
        <v>0</v>
      </c>
      <c r="G323" s="1">
        <v>1771</v>
      </c>
      <c r="H323" s="1">
        <v>0</v>
      </c>
      <c r="I323" s="1">
        <v>0</v>
      </c>
      <c r="J323" s="1">
        <f t="shared" si="13"/>
        <v>1771</v>
      </c>
      <c r="K323" s="1">
        <v>0</v>
      </c>
      <c r="L323" s="1">
        <v>0</v>
      </c>
      <c r="M323" s="1">
        <v>0</v>
      </c>
      <c r="N323" s="1">
        <f t="shared" si="12"/>
        <v>0</v>
      </c>
      <c r="O323" s="9">
        <f t="shared" si="14"/>
        <v>1771</v>
      </c>
      <c r="P323" s="1">
        <v>0</v>
      </c>
      <c r="Q323" s="1">
        <v>0</v>
      </c>
      <c r="R323" s="12">
        <v>39661</v>
      </c>
      <c r="S323" s="1">
        <v>1771</v>
      </c>
      <c r="T323" s="9" t="s">
        <v>46</v>
      </c>
    </row>
    <row r="324" spans="1:20" x14ac:dyDescent="0.25">
      <c r="A324" s="10" t="s">
        <v>18</v>
      </c>
      <c r="B324" t="b">
        <v>0</v>
      </c>
      <c r="C324" t="b">
        <v>0</v>
      </c>
      <c r="D324" s="1">
        <v>0</v>
      </c>
      <c r="E324" s="1">
        <v>0</v>
      </c>
      <c r="F324" s="1">
        <v>0</v>
      </c>
      <c r="G324" s="1">
        <v>1795</v>
      </c>
      <c r="H324" s="1">
        <v>0</v>
      </c>
      <c r="I324" s="1">
        <v>0</v>
      </c>
      <c r="J324" s="1">
        <f t="shared" si="13"/>
        <v>1795</v>
      </c>
      <c r="K324" s="1">
        <v>0</v>
      </c>
      <c r="L324" s="1">
        <v>0</v>
      </c>
      <c r="M324" s="1">
        <v>0</v>
      </c>
      <c r="N324" s="1">
        <f t="shared" si="12"/>
        <v>0</v>
      </c>
      <c r="O324" s="9">
        <f t="shared" si="14"/>
        <v>1795</v>
      </c>
      <c r="P324" s="1">
        <v>0</v>
      </c>
      <c r="Q324" s="1">
        <v>0</v>
      </c>
      <c r="R324" s="12">
        <v>39692</v>
      </c>
      <c r="S324" s="1">
        <v>1795</v>
      </c>
      <c r="T324" s="9" t="s">
        <v>46</v>
      </c>
    </row>
    <row r="325" spans="1:20" x14ac:dyDescent="0.25">
      <c r="A325" s="10" t="s">
        <v>18</v>
      </c>
      <c r="B325" t="b">
        <v>0</v>
      </c>
      <c r="C325" t="b">
        <v>0</v>
      </c>
      <c r="D325" s="1">
        <v>0</v>
      </c>
      <c r="E325" s="1">
        <v>0</v>
      </c>
      <c r="F325" s="1">
        <v>0</v>
      </c>
      <c r="G325" s="1">
        <v>1823</v>
      </c>
      <c r="H325" s="1">
        <v>0</v>
      </c>
      <c r="I325" s="1">
        <v>0</v>
      </c>
      <c r="J325" s="1">
        <f t="shared" si="13"/>
        <v>1823</v>
      </c>
      <c r="K325" s="1">
        <v>0</v>
      </c>
      <c r="L325" s="1">
        <v>0</v>
      </c>
      <c r="M325" s="1">
        <v>0</v>
      </c>
      <c r="N325" s="1">
        <f t="shared" si="12"/>
        <v>0</v>
      </c>
      <c r="O325" s="9">
        <f t="shared" si="14"/>
        <v>1823</v>
      </c>
      <c r="P325" s="1">
        <v>0</v>
      </c>
      <c r="Q325" s="1">
        <v>0</v>
      </c>
      <c r="R325" s="12">
        <v>39722</v>
      </c>
      <c r="S325" s="1">
        <v>1823</v>
      </c>
      <c r="T325" s="9" t="s">
        <v>46</v>
      </c>
    </row>
    <row r="326" spans="1:20" x14ac:dyDescent="0.25">
      <c r="A326" s="10" t="s">
        <v>18</v>
      </c>
      <c r="B326" t="b">
        <v>0</v>
      </c>
      <c r="C326" t="b">
        <v>0</v>
      </c>
      <c r="D326" s="1">
        <v>0</v>
      </c>
      <c r="E326" s="1">
        <v>0</v>
      </c>
      <c r="F326" s="1">
        <v>0</v>
      </c>
      <c r="G326" s="1">
        <v>2015</v>
      </c>
      <c r="H326" s="1">
        <v>0</v>
      </c>
      <c r="I326" s="1">
        <v>0</v>
      </c>
      <c r="J326" s="1">
        <f t="shared" si="13"/>
        <v>2015</v>
      </c>
      <c r="K326" s="1">
        <v>0</v>
      </c>
      <c r="L326" s="1">
        <v>0</v>
      </c>
      <c r="M326" s="1">
        <v>0</v>
      </c>
      <c r="N326" s="1">
        <f t="shared" si="12"/>
        <v>0</v>
      </c>
      <c r="O326" s="9">
        <f t="shared" si="14"/>
        <v>2015</v>
      </c>
      <c r="P326" s="1">
        <v>0</v>
      </c>
      <c r="Q326" s="1">
        <v>0</v>
      </c>
      <c r="R326" s="12">
        <v>39753</v>
      </c>
      <c r="S326" s="1">
        <v>2015</v>
      </c>
      <c r="T326" s="9" t="s">
        <v>46</v>
      </c>
    </row>
    <row r="327" spans="1:20" x14ac:dyDescent="0.25">
      <c r="A327" s="10" t="s">
        <v>18</v>
      </c>
      <c r="B327" t="b">
        <v>0</v>
      </c>
      <c r="C327" t="b">
        <v>0</v>
      </c>
      <c r="D327" s="1">
        <v>0</v>
      </c>
      <c r="E327" s="1">
        <v>0</v>
      </c>
      <c r="F327" s="1">
        <v>0</v>
      </c>
      <c r="G327" s="1">
        <v>1800</v>
      </c>
      <c r="H327" s="1">
        <v>0</v>
      </c>
      <c r="I327" s="1">
        <v>0</v>
      </c>
      <c r="J327" s="1">
        <f t="shared" si="13"/>
        <v>1800</v>
      </c>
      <c r="K327" s="1">
        <v>0</v>
      </c>
      <c r="L327" s="1">
        <v>0</v>
      </c>
      <c r="M327" s="1">
        <v>0</v>
      </c>
      <c r="N327" s="1">
        <f t="shared" si="12"/>
        <v>0</v>
      </c>
      <c r="O327" s="9">
        <f t="shared" si="14"/>
        <v>1800</v>
      </c>
      <c r="P327" s="1">
        <v>0</v>
      </c>
      <c r="Q327" s="1">
        <v>0</v>
      </c>
      <c r="R327" s="12">
        <v>39783</v>
      </c>
      <c r="S327" s="1">
        <v>1800</v>
      </c>
      <c r="T327" s="9" t="s">
        <v>46</v>
      </c>
    </row>
    <row r="328" spans="1:20" x14ac:dyDescent="0.25">
      <c r="A328" s="10" t="s">
        <v>18</v>
      </c>
      <c r="B328" t="b">
        <v>0</v>
      </c>
      <c r="C328" t="b">
        <v>0</v>
      </c>
      <c r="D328" s="1">
        <v>0</v>
      </c>
      <c r="E328" s="1">
        <v>0</v>
      </c>
      <c r="F328" s="1">
        <v>0</v>
      </c>
      <c r="G328" s="1">
        <v>1034</v>
      </c>
      <c r="H328" s="1">
        <v>0</v>
      </c>
      <c r="I328" s="1">
        <v>0</v>
      </c>
      <c r="J328" s="1">
        <f t="shared" si="13"/>
        <v>1034</v>
      </c>
      <c r="K328" s="1">
        <v>0</v>
      </c>
      <c r="L328" s="1">
        <v>0</v>
      </c>
      <c r="M328" s="1">
        <v>0</v>
      </c>
      <c r="N328" s="1">
        <f t="shared" si="12"/>
        <v>0</v>
      </c>
      <c r="O328" s="9">
        <f t="shared" si="14"/>
        <v>1034</v>
      </c>
      <c r="P328" s="1">
        <v>0</v>
      </c>
      <c r="Q328" s="1">
        <v>0</v>
      </c>
      <c r="R328" s="12">
        <v>39814</v>
      </c>
      <c r="S328" s="1">
        <v>1034</v>
      </c>
      <c r="T328" s="9" t="s">
        <v>41</v>
      </c>
    </row>
    <row r="329" spans="1:20" x14ac:dyDescent="0.25">
      <c r="A329" s="10" t="s">
        <v>18</v>
      </c>
      <c r="B329" t="b">
        <v>0</v>
      </c>
      <c r="C329" t="b">
        <v>0</v>
      </c>
      <c r="D329" s="1">
        <v>0</v>
      </c>
      <c r="E329" s="1">
        <v>0</v>
      </c>
      <c r="F329" s="1">
        <v>0</v>
      </c>
      <c r="G329" s="1">
        <v>834</v>
      </c>
      <c r="H329" s="1">
        <v>0</v>
      </c>
      <c r="I329" s="1">
        <v>0</v>
      </c>
      <c r="J329" s="1">
        <f t="shared" si="13"/>
        <v>834</v>
      </c>
      <c r="K329" s="1">
        <v>0</v>
      </c>
      <c r="L329" s="1">
        <v>0</v>
      </c>
      <c r="M329" s="1">
        <v>0</v>
      </c>
      <c r="N329" s="1">
        <f t="shared" si="12"/>
        <v>0</v>
      </c>
      <c r="O329" s="9">
        <f t="shared" si="14"/>
        <v>834</v>
      </c>
      <c r="P329" s="1">
        <v>0</v>
      </c>
      <c r="Q329" s="1">
        <v>0</v>
      </c>
      <c r="R329" s="12">
        <v>39845</v>
      </c>
      <c r="S329" s="1">
        <v>834</v>
      </c>
      <c r="T329" s="9" t="s">
        <v>41</v>
      </c>
    </row>
    <row r="330" spans="1:20" x14ac:dyDescent="0.25">
      <c r="A330" s="10" t="s">
        <v>18</v>
      </c>
      <c r="B330" t="b">
        <v>0</v>
      </c>
      <c r="C330" t="b">
        <v>0</v>
      </c>
      <c r="D330" s="1">
        <v>0</v>
      </c>
      <c r="E330" s="1">
        <v>0</v>
      </c>
      <c r="F330" s="1">
        <v>0</v>
      </c>
      <c r="G330" s="1">
        <v>1757</v>
      </c>
      <c r="H330" s="1">
        <v>0</v>
      </c>
      <c r="I330" s="1">
        <v>0</v>
      </c>
      <c r="J330" s="1">
        <f t="shared" si="13"/>
        <v>1757</v>
      </c>
      <c r="K330" s="1">
        <v>0</v>
      </c>
      <c r="L330" s="1">
        <v>0</v>
      </c>
      <c r="M330" s="1">
        <v>0</v>
      </c>
      <c r="N330" s="1">
        <f t="shared" ref="N330:N393" si="15">K330+L330+M330</f>
        <v>0</v>
      </c>
      <c r="O330" s="9">
        <f t="shared" si="14"/>
        <v>1757</v>
      </c>
      <c r="P330" s="1">
        <v>0</v>
      </c>
      <c r="Q330" s="1">
        <v>0</v>
      </c>
      <c r="R330" s="12">
        <v>39873</v>
      </c>
      <c r="S330" s="1">
        <v>1757</v>
      </c>
      <c r="T330" s="9" t="s">
        <v>41</v>
      </c>
    </row>
    <row r="331" spans="1:20" x14ac:dyDescent="0.25">
      <c r="A331" s="10" t="s">
        <v>18</v>
      </c>
      <c r="B331" t="b">
        <v>0</v>
      </c>
      <c r="C331" t="b">
        <v>0</v>
      </c>
      <c r="D331" s="1">
        <v>0</v>
      </c>
      <c r="E331" s="1">
        <v>0</v>
      </c>
      <c r="F331" s="1">
        <v>0</v>
      </c>
      <c r="G331" s="1">
        <v>3471</v>
      </c>
      <c r="H331" s="1">
        <v>0</v>
      </c>
      <c r="I331" s="1">
        <v>0</v>
      </c>
      <c r="J331" s="1">
        <f t="shared" si="13"/>
        <v>3471</v>
      </c>
      <c r="K331" s="1">
        <v>0</v>
      </c>
      <c r="L331" s="1">
        <v>0</v>
      </c>
      <c r="M331" s="1">
        <v>0</v>
      </c>
      <c r="N331" s="1">
        <f t="shared" si="15"/>
        <v>0</v>
      </c>
      <c r="O331" s="9">
        <f t="shared" si="14"/>
        <v>3471</v>
      </c>
      <c r="P331" s="1">
        <v>0</v>
      </c>
      <c r="Q331" s="1">
        <v>0</v>
      </c>
      <c r="R331" s="12">
        <v>39904</v>
      </c>
      <c r="S331" s="1">
        <v>3471</v>
      </c>
      <c r="T331" s="9" t="s">
        <v>41</v>
      </c>
    </row>
    <row r="332" spans="1:20" x14ac:dyDescent="0.25">
      <c r="A332" s="10" t="s">
        <v>18</v>
      </c>
      <c r="B332" t="b">
        <v>0</v>
      </c>
      <c r="C332" t="b">
        <v>0</v>
      </c>
      <c r="D332" s="1">
        <v>0</v>
      </c>
      <c r="E332" s="1">
        <v>0</v>
      </c>
      <c r="F332" s="1">
        <v>0</v>
      </c>
      <c r="G332" s="1">
        <v>3336</v>
      </c>
      <c r="H332" s="1">
        <v>0</v>
      </c>
      <c r="I332" s="1">
        <v>0</v>
      </c>
      <c r="J332" s="1">
        <f t="shared" si="13"/>
        <v>3336</v>
      </c>
      <c r="K332" s="1">
        <v>0</v>
      </c>
      <c r="L332" s="1">
        <v>0</v>
      </c>
      <c r="M332" s="1">
        <v>0</v>
      </c>
      <c r="N332" s="1">
        <f t="shared" si="15"/>
        <v>0</v>
      </c>
      <c r="O332" s="9">
        <f t="shared" si="14"/>
        <v>3336</v>
      </c>
      <c r="P332" s="1">
        <v>0</v>
      </c>
      <c r="Q332" s="1">
        <v>0</v>
      </c>
      <c r="R332" s="12">
        <v>39934</v>
      </c>
      <c r="S332" s="1">
        <v>3336</v>
      </c>
      <c r="T332" s="9" t="s">
        <v>41</v>
      </c>
    </row>
    <row r="333" spans="1:20" x14ac:dyDescent="0.25">
      <c r="A333" s="10" t="s">
        <v>18</v>
      </c>
      <c r="B333" t="b">
        <v>0</v>
      </c>
      <c r="C333" t="b">
        <v>0</v>
      </c>
      <c r="D333" s="1">
        <v>0</v>
      </c>
      <c r="E333" s="1">
        <v>0</v>
      </c>
      <c r="F333" s="1">
        <v>0</v>
      </c>
      <c r="G333" s="1">
        <v>2647</v>
      </c>
      <c r="H333" s="1">
        <v>0</v>
      </c>
      <c r="I333" s="1">
        <v>0</v>
      </c>
      <c r="J333" s="1">
        <f t="shared" si="13"/>
        <v>2647</v>
      </c>
      <c r="K333" s="1">
        <v>0</v>
      </c>
      <c r="L333" s="1">
        <v>0</v>
      </c>
      <c r="M333" s="1">
        <v>0</v>
      </c>
      <c r="N333" s="1">
        <f t="shared" si="15"/>
        <v>0</v>
      </c>
      <c r="O333" s="9">
        <f t="shared" si="14"/>
        <v>2647</v>
      </c>
      <c r="P333" s="1">
        <v>0</v>
      </c>
      <c r="Q333" s="1">
        <v>0</v>
      </c>
      <c r="R333" s="12">
        <v>39965</v>
      </c>
      <c r="S333" s="1">
        <v>2647</v>
      </c>
      <c r="T333" s="9" t="s">
        <v>41</v>
      </c>
    </row>
    <row r="334" spans="1:20" x14ac:dyDescent="0.25">
      <c r="A334" s="10" t="s">
        <v>18</v>
      </c>
      <c r="B334" t="b">
        <v>0</v>
      </c>
      <c r="C334" t="b">
        <v>0</v>
      </c>
      <c r="D334" s="1">
        <v>0</v>
      </c>
      <c r="E334" s="1">
        <v>0</v>
      </c>
      <c r="F334" s="1">
        <v>0</v>
      </c>
      <c r="G334" s="1">
        <v>3825</v>
      </c>
      <c r="H334" s="1">
        <v>0</v>
      </c>
      <c r="I334" s="1">
        <v>0</v>
      </c>
      <c r="J334" s="1">
        <f t="shared" si="13"/>
        <v>3825</v>
      </c>
      <c r="K334" s="1">
        <v>0</v>
      </c>
      <c r="L334" s="1">
        <v>0</v>
      </c>
      <c r="M334" s="1">
        <v>0</v>
      </c>
      <c r="N334" s="1">
        <f t="shared" si="15"/>
        <v>0</v>
      </c>
      <c r="O334" s="9">
        <f t="shared" si="14"/>
        <v>3825</v>
      </c>
      <c r="P334" s="1">
        <v>0</v>
      </c>
      <c r="Q334" s="1">
        <v>0</v>
      </c>
      <c r="R334" s="12">
        <v>39995</v>
      </c>
      <c r="S334" s="1">
        <v>3825</v>
      </c>
      <c r="T334" s="9" t="s">
        <v>41</v>
      </c>
    </row>
    <row r="335" spans="1:20" x14ac:dyDescent="0.25">
      <c r="A335" s="10" t="s">
        <v>18</v>
      </c>
      <c r="B335" t="b">
        <v>0</v>
      </c>
      <c r="C335" t="b">
        <v>0</v>
      </c>
      <c r="D335" s="1">
        <v>0</v>
      </c>
      <c r="E335" s="1">
        <v>0</v>
      </c>
      <c r="F335" s="1">
        <v>0</v>
      </c>
      <c r="G335" s="1">
        <v>4109</v>
      </c>
      <c r="H335" s="1">
        <v>0</v>
      </c>
      <c r="I335" s="1">
        <v>0</v>
      </c>
      <c r="J335" s="1">
        <f t="shared" si="13"/>
        <v>4109</v>
      </c>
      <c r="K335" s="1">
        <v>0</v>
      </c>
      <c r="L335" s="1">
        <v>0</v>
      </c>
      <c r="M335" s="1">
        <v>0</v>
      </c>
      <c r="N335" s="1">
        <f t="shared" si="15"/>
        <v>0</v>
      </c>
      <c r="O335" s="9">
        <f t="shared" si="14"/>
        <v>4109</v>
      </c>
      <c r="P335" s="1">
        <v>0</v>
      </c>
      <c r="Q335" s="1">
        <v>0</v>
      </c>
      <c r="R335" s="12">
        <v>40026</v>
      </c>
      <c r="S335" s="1">
        <v>4109</v>
      </c>
      <c r="T335" s="9" t="s">
        <v>41</v>
      </c>
    </row>
    <row r="336" spans="1:20" x14ac:dyDescent="0.25">
      <c r="A336" s="10" t="s">
        <v>18</v>
      </c>
      <c r="B336" t="b">
        <v>0</v>
      </c>
      <c r="C336" t="b">
        <v>0</v>
      </c>
      <c r="D336" s="1">
        <v>0</v>
      </c>
      <c r="E336" s="1">
        <v>0</v>
      </c>
      <c r="F336" s="1">
        <v>0</v>
      </c>
      <c r="G336" s="1">
        <v>2952</v>
      </c>
      <c r="H336" s="1">
        <v>0</v>
      </c>
      <c r="I336" s="1">
        <v>0</v>
      </c>
      <c r="J336" s="1">
        <f t="shared" si="13"/>
        <v>2952</v>
      </c>
      <c r="K336" s="1">
        <v>0</v>
      </c>
      <c r="L336" s="1">
        <v>0</v>
      </c>
      <c r="M336" s="1">
        <v>0</v>
      </c>
      <c r="N336" s="1">
        <f t="shared" si="15"/>
        <v>0</v>
      </c>
      <c r="O336" s="9">
        <f t="shared" si="14"/>
        <v>2952</v>
      </c>
      <c r="P336" s="1">
        <v>0</v>
      </c>
      <c r="Q336" s="1">
        <v>0</v>
      </c>
      <c r="R336" s="12">
        <v>40057</v>
      </c>
      <c r="S336" s="1">
        <v>2952</v>
      </c>
      <c r="T336" s="9" t="s">
        <v>41</v>
      </c>
    </row>
    <row r="337" spans="1:20" x14ac:dyDescent="0.25">
      <c r="A337" s="10" t="s">
        <v>18</v>
      </c>
      <c r="B337" t="b">
        <v>0</v>
      </c>
      <c r="C337" t="b">
        <v>0</v>
      </c>
      <c r="D337" s="1">
        <v>0</v>
      </c>
      <c r="E337" s="1">
        <v>0</v>
      </c>
      <c r="F337" s="1">
        <v>0</v>
      </c>
      <c r="G337" s="1">
        <v>4524</v>
      </c>
      <c r="H337" s="1">
        <v>0</v>
      </c>
      <c r="I337" s="1">
        <v>0</v>
      </c>
      <c r="J337" s="1">
        <f t="shared" si="13"/>
        <v>4524</v>
      </c>
      <c r="K337" s="1">
        <v>0</v>
      </c>
      <c r="L337" s="1">
        <v>0</v>
      </c>
      <c r="M337" s="1">
        <v>0</v>
      </c>
      <c r="N337" s="1">
        <f t="shared" si="15"/>
        <v>0</v>
      </c>
      <c r="O337" s="9">
        <f t="shared" si="14"/>
        <v>4524</v>
      </c>
      <c r="P337" s="1">
        <v>0</v>
      </c>
      <c r="Q337" s="1">
        <v>0</v>
      </c>
      <c r="R337" s="12">
        <v>40087</v>
      </c>
      <c r="S337" s="1">
        <v>4524</v>
      </c>
      <c r="T337" s="9" t="s">
        <v>41</v>
      </c>
    </row>
    <row r="338" spans="1:20" x14ac:dyDescent="0.25">
      <c r="A338" s="10" t="s">
        <v>18</v>
      </c>
      <c r="B338" t="b">
        <v>0</v>
      </c>
      <c r="C338" t="b">
        <v>0</v>
      </c>
      <c r="D338" s="1">
        <v>0</v>
      </c>
      <c r="E338" s="1">
        <v>0</v>
      </c>
      <c r="F338" s="1">
        <v>0</v>
      </c>
      <c r="G338" s="1">
        <v>3533</v>
      </c>
      <c r="H338" s="1">
        <v>0</v>
      </c>
      <c r="I338" s="1">
        <v>0</v>
      </c>
      <c r="J338" s="1">
        <f t="shared" si="13"/>
        <v>3533</v>
      </c>
      <c r="K338" s="1">
        <v>0</v>
      </c>
      <c r="L338" s="1">
        <v>0</v>
      </c>
      <c r="M338" s="1">
        <v>0</v>
      </c>
      <c r="N338" s="1">
        <f t="shared" si="15"/>
        <v>0</v>
      </c>
      <c r="O338" s="9">
        <f t="shared" si="14"/>
        <v>3533</v>
      </c>
      <c r="P338" s="1">
        <v>0</v>
      </c>
      <c r="Q338" s="1">
        <v>0</v>
      </c>
      <c r="R338" s="12">
        <v>40118</v>
      </c>
      <c r="S338" s="1">
        <v>3533</v>
      </c>
      <c r="T338" s="9" t="s">
        <v>41</v>
      </c>
    </row>
    <row r="339" spans="1:20" x14ac:dyDescent="0.25">
      <c r="A339" s="10" t="s">
        <v>18</v>
      </c>
      <c r="B339" t="b">
        <v>0</v>
      </c>
      <c r="C339" t="b">
        <v>0</v>
      </c>
      <c r="D339" s="1">
        <v>0</v>
      </c>
      <c r="E339" s="1">
        <v>0</v>
      </c>
      <c r="F339" s="1">
        <v>0</v>
      </c>
      <c r="G339" s="1">
        <v>2299</v>
      </c>
      <c r="H339" s="1">
        <v>0</v>
      </c>
      <c r="I339" s="1">
        <v>0</v>
      </c>
      <c r="J339" s="1">
        <f t="shared" si="13"/>
        <v>2299</v>
      </c>
      <c r="K339" s="1">
        <v>0</v>
      </c>
      <c r="L339" s="1">
        <v>0</v>
      </c>
      <c r="M339" s="1">
        <v>0</v>
      </c>
      <c r="N339" s="1">
        <f t="shared" si="15"/>
        <v>0</v>
      </c>
      <c r="O339" s="9">
        <f t="shared" si="14"/>
        <v>2299</v>
      </c>
      <c r="P339" s="1">
        <v>0</v>
      </c>
      <c r="Q339" s="1">
        <v>0</v>
      </c>
      <c r="R339" s="12">
        <v>40148</v>
      </c>
      <c r="S339" s="1">
        <v>2299</v>
      </c>
      <c r="T339" s="9" t="s">
        <v>41</v>
      </c>
    </row>
    <row r="340" spans="1:20" x14ac:dyDescent="0.25">
      <c r="A340" s="10" t="s">
        <v>18</v>
      </c>
      <c r="B340" t="b">
        <v>0</v>
      </c>
      <c r="C340" t="b">
        <v>0</v>
      </c>
      <c r="D340" s="1">
        <v>0</v>
      </c>
      <c r="E340" s="1">
        <v>0</v>
      </c>
      <c r="F340" s="1">
        <v>0</v>
      </c>
      <c r="G340" s="1">
        <v>1947</v>
      </c>
      <c r="H340" s="1">
        <v>0</v>
      </c>
      <c r="I340" s="1">
        <v>0</v>
      </c>
      <c r="J340" s="1">
        <f t="shared" si="13"/>
        <v>1947</v>
      </c>
      <c r="K340" s="1">
        <v>0</v>
      </c>
      <c r="L340" s="1">
        <v>0</v>
      </c>
      <c r="M340" s="1">
        <v>0</v>
      </c>
      <c r="N340" s="1">
        <f t="shared" si="15"/>
        <v>0</v>
      </c>
      <c r="O340" s="9">
        <f t="shared" si="14"/>
        <v>1947</v>
      </c>
      <c r="P340" s="1">
        <v>0</v>
      </c>
      <c r="Q340" s="1">
        <v>0</v>
      </c>
      <c r="R340" s="12">
        <v>40179</v>
      </c>
      <c r="S340" s="1">
        <v>1947</v>
      </c>
      <c r="T340" s="9" t="s">
        <v>21</v>
      </c>
    </row>
    <row r="341" spans="1:20" x14ac:dyDescent="0.25">
      <c r="A341" s="10" t="s">
        <v>18</v>
      </c>
      <c r="B341" t="b">
        <v>0</v>
      </c>
      <c r="C341" t="b">
        <v>0</v>
      </c>
      <c r="D341" s="1">
        <v>0</v>
      </c>
      <c r="E341" s="1">
        <v>0</v>
      </c>
      <c r="F341" s="1">
        <v>0</v>
      </c>
      <c r="G341" s="1">
        <v>1427</v>
      </c>
      <c r="H341" s="1">
        <v>0</v>
      </c>
      <c r="I341" s="1">
        <v>0</v>
      </c>
      <c r="J341" s="1">
        <f t="shared" si="13"/>
        <v>1427</v>
      </c>
      <c r="K341" s="1">
        <v>0</v>
      </c>
      <c r="L341" s="1">
        <v>0</v>
      </c>
      <c r="M341" s="1">
        <v>0</v>
      </c>
      <c r="N341" s="1">
        <f t="shared" si="15"/>
        <v>0</v>
      </c>
      <c r="O341" s="9">
        <f t="shared" si="14"/>
        <v>1427</v>
      </c>
      <c r="P341" s="1">
        <v>0</v>
      </c>
      <c r="Q341" s="1">
        <v>0</v>
      </c>
      <c r="R341" s="12">
        <v>40210</v>
      </c>
      <c r="S341" s="1">
        <v>1427</v>
      </c>
      <c r="T341" s="9" t="s">
        <v>21</v>
      </c>
    </row>
    <row r="342" spans="1:20" x14ac:dyDescent="0.25">
      <c r="A342" s="10" t="s">
        <v>18</v>
      </c>
      <c r="B342" t="b">
        <v>0</v>
      </c>
      <c r="C342" t="b">
        <v>0</v>
      </c>
      <c r="D342" s="1">
        <v>0</v>
      </c>
      <c r="E342" s="1">
        <v>0</v>
      </c>
      <c r="F342" s="1">
        <v>0</v>
      </c>
      <c r="G342" s="1">
        <v>1892</v>
      </c>
      <c r="H342" s="1">
        <v>0</v>
      </c>
      <c r="I342" s="1">
        <v>0</v>
      </c>
      <c r="J342" s="1">
        <f t="shared" si="13"/>
        <v>1892</v>
      </c>
      <c r="K342" s="1">
        <v>0</v>
      </c>
      <c r="L342" s="1">
        <v>0</v>
      </c>
      <c r="M342" s="1">
        <v>0</v>
      </c>
      <c r="N342" s="1">
        <f t="shared" si="15"/>
        <v>0</v>
      </c>
      <c r="O342" s="9">
        <f t="shared" si="14"/>
        <v>1892</v>
      </c>
      <c r="P342" s="1">
        <v>0</v>
      </c>
      <c r="Q342" s="1">
        <v>0</v>
      </c>
      <c r="R342" s="12">
        <v>40238</v>
      </c>
      <c r="S342" s="1">
        <v>1892</v>
      </c>
      <c r="T342" s="9" t="s">
        <v>21</v>
      </c>
    </row>
    <row r="343" spans="1:20" x14ac:dyDescent="0.25">
      <c r="A343" s="10" t="s">
        <v>18</v>
      </c>
      <c r="B343" t="b">
        <v>0</v>
      </c>
      <c r="C343" t="b">
        <v>0</v>
      </c>
      <c r="D343" s="1">
        <v>0</v>
      </c>
      <c r="E343" s="1">
        <v>0</v>
      </c>
      <c r="F343" s="1">
        <v>0</v>
      </c>
      <c r="G343" s="1">
        <v>2511</v>
      </c>
      <c r="H343" s="1">
        <v>0</v>
      </c>
      <c r="I343" s="1">
        <v>0</v>
      </c>
      <c r="J343" s="1">
        <f t="shared" si="13"/>
        <v>2511</v>
      </c>
      <c r="K343" s="1">
        <v>0</v>
      </c>
      <c r="L343" s="1">
        <v>0</v>
      </c>
      <c r="M343" s="1">
        <v>0</v>
      </c>
      <c r="N343" s="1">
        <f t="shared" si="15"/>
        <v>0</v>
      </c>
      <c r="O343" s="9">
        <f t="shared" si="14"/>
        <v>2511</v>
      </c>
      <c r="P343" s="1">
        <v>0</v>
      </c>
      <c r="Q343" s="1">
        <v>0</v>
      </c>
      <c r="R343" s="12">
        <v>40269</v>
      </c>
      <c r="S343" s="1">
        <v>2511</v>
      </c>
      <c r="T343" s="9" t="s">
        <v>21</v>
      </c>
    </row>
    <row r="344" spans="1:20" x14ac:dyDescent="0.25">
      <c r="A344" s="10" t="s">
        <v>18</v>
      </c>
      <c r="B344" t="b">
        <v>0</v>
      </c>
      <c r="C344" t="b">
        <v>0</v>
      </c>
      <c r="D344" s="1">
        <v>0</v>
      </c>
      <c r="E344" s="1">
        <v>0</v>
      </c>
      <c r="F344" s="1">
        <v>0</v>
      </c>
      <c r="G344" s="1">
        <v>3461</v>
      </c>
      <c r="H344" s="1">
        <v>0</v>
      </c>
      <c r="I344" s="1">
        <v>0</v>
      </c>
      <c r="J344" s="1">
        <f t="shared" si="13"/>
        <v>3461</v>
      </c>
      <c r="K344" s="1">
        <v>0</v>
      </c>
      <c r="L344" s="1">
        <v>0</v>
      </c>
      <c r="M344" s="1">
        <v>0</v>
      </c>
      <c r="N344" s="1">
        <f t="shared" si="15"/>
        <v>0</v>
      </c>
      <c r="O344" s="9">
        <f t="shared" si="14"/>
        <v>3461</v>
      </c>
      <c r="P344" s="1">
        <v>0</v>
      </c>
      <c r="Q344" s="1">
        <v>0</v>
      </c>
      <c r="R344" s="12">
        <v>40299</v>
      </c>
      <c r="S344" s="1">
        <v>3461</v>
      </c>
      <c r="T344" s="9" t="s">
        <v>21</v>
      </c>
    </row>
    <row r="345" spans="1:20" x14ac:dyDescent="0.25">
      <c r="A345" s="10" t="s">
        <v>18</v>
      </c>
      <c r="B345" t="b">
        <v>0</v>
      </c>
      <c r="C345" t="b">
        <v>0</v>
      </c>
      <c r="D345" s="1">
        <v>0</v>
      </c>
      <c r="E345" s="1">
        <v>0</v>
      </c>
      <c r="F345" s="1">
        <v>0</v>
      </c>
      <c r="G345" s="1">
        <v>5266</v>
      </c>
      <c r="H345" s="1">
        <v>0</v>
      </c>
      <c r="I345" s="1">
        <v>0</v>
      </c>
      <c r="J345" s="1">
        <f t="shared" si="13"/>
        <v>5266</v>
      </c>
      <c r="K345" s="1">
        <v>0</v>
      </c>
      <c r="L345" s="1">
        <v>0</v>
      </c>
      <c r="M345" s="1">
        <v>0</v>
      </c>
      <c r="N345" s="1">
        <f t="shared" si="15"/>
        <v>0</v>
      </c>
      <c r="O345" s="9">
        <f t="shared" si="14"/>
        <v>5266</v>
      </c>
      <c r="P345" s="1">
        <v>0</v>
      </c>
      <c r="Q345" s="1">
        <v>0</v>
      </c>
      <c r="R345" s="12">
        <v>40330</v>
      </c>
      <c r="S345" s="1">
        <v>5266</v>
      </c>
      <c r="T345" s="9" t="s">
        <v>21</v>
      </c>
    </row>
    <row r="346" spans="1:20" x14ac:dyDescent="0.25">
      <c r="A346" s="10" t="s">
        <v>18</v>
      </c>
      <c r="B346" t="b">
        <v>0</v>
      </c>
      <c r="C346" t="b">
        <v>0</v>
      </c>
      <c r="D346" s="1">
        <v>0</v>
      </c>
      <c r="E346" s="1">
        <v>0</v>
      </c>
      <c r="F346" s="1">
        <v>0</v>
      </c>
      <c r="G346" s="1">
        <v>7100</v>
      </c>
      <c r="H346" s="1">
        <v>0</v>
      </c>
      <c r="I346" s="1">
        <v>0</v>
      </c>
      <c r="J346" s="1">
        <f t="shared" si="13"/>
        <v>7100</v>
      </c>
      <c r="K346" s="1">
        <v>0</v>
      </c>
      <c r="L346" s="1">
        <v>0</v>
      </c>
      <c r="M346" s="1">
        <v>0</v>
      </c>
      <c r="N346" s="1">
        <f t="shared" si="15"/>
        <v>0</v>
      </c>
      <c r="O346" s="9">
        <f t="shared" si="14"/>
        <v>7100</v>
      </c>
      <c r="P346" s="1">
        <v>0</v>
      </c>
      <c r="Q346" s="1">
        <v>0</v>
      </c>
      <c r="R346" s="12">
        <v>40360</v>
      </c>
      <c r="S346" s="1">
        <v>7100</v>
      </c>
      <c r="T346" s="9" t="s">
        <v>21</v>
      </c>
    </row>
    <row r="347" spans="1:20" x14ac:dyDescent="0.25">
      <c r="A347" s="10" t="s">
        <v>18</v>
      </c>
      <c r="B347" t="b">
        <v>0</v>
      </c>
      <c r="C347" t="b">
        <v>0</v>
      </c>
      <c r="D347" s="1">
        <v>0</v>
      </c>
      <c r="E347" s="1">
        <v>0</v>
      </c>
      <c r="F347" s="1">
        <v>0</v>
      </c>
      <c r="G347" s="1">
        <v>5890</v>
      </c>
      <c r="H347" s="1">
        <v>0</v>
      </c>
      <c r="I347" s="1">
        <v>0</v>
      </c>
      <c r="J347" s="1">
        <f t="shared" si="13"/>
        <v>5890</v>
      </c>
      <c r="K347" s="1">
        <v>0</v>
      </c>
      <c r="L347" s="1">
        <v>0</v>
      </c>
      <c r="M347" s="1">
        <v>0</v>
      </c>
      <c r="N347" s="1">
        <f t="shared" si="15"/>
        <v>0</v>
      </c>
      <c r="O347" s="9">
        <f t="shared" si="14"/>
        <v>5890</v>
      </c>
      <c r="P347" s="1">
        <v>0</v>
      </c>
      <c r="Q347" s="1">
        <v>0</v>
      </c>
      <c r="R347" s="12">
        <v>40391</v>
      </c>
      <c r="S347" s="1">
        <v>5890</v>
      </c>
      <c r="T347" s="9" t="s">
        <v>21</v>
      </c>
    </row>
    <row r="348" spans="1:20" x14ac:dyDescent="0.25">
      <c r="A348" s="10" t="s">
        <v>18</v>
      </c>
      <c r="B348" t="b">
        <v>0</v>
      </c>
      <c r="C348" t="b">
        <v>0</v>
      </c>
      <c r="D348" s="1">
        <v>0</v>
      </c>
      <c r="E348" s="1">
        <v>0</v>
      </c>
      <c r="F348" s="1">
        <v>0</v>
      </c>
      <c r="G348" s="1">
        <v>2302</v>
      </c>
      <c r="H348" s="1">
        <v>0</v>
      </c>
      <c r="I348" s="1">
        <v>0</v>
      </c>
      <c r="J348" s="1">
        <f t="shared" si="13"/>
        <v>2302</v>
      </c>
      <c r="K348" s="1">
        <v>0</v>
      </c>
      <c r="L348" s="1">
        <v>0</v>
      </c>
      <c r="M348" s="1">
        <v>0</v>
      </c>
      <c r="N348" s="1">
        <f t="shared" si="15"/>
        <v>0</v>
      </c>
      <c r="O348" s="9">
        <f t="shared" si="14"/>
        <v>2302</v>
      </c>
      <c r="P348" s="1">
        <v>0</v>
      </c>
      <c r="Q348" s="1">
        <v>0</v>
      </c>
      <c r="R348" s="12">
        <v>40422</v>
      </c>
      <c r="S348" s="1">
        <v>2302</v>
      </c>
      <c r="T348" s="9" t="s">
        <v>21</v>
      </c>
    </row>
    <row r="349" spans="1:20" x14ac:dyDescent="0.25">
      <c r="A349" s="10" t="s">
        <v>18</v>
      </c>
      <c r="B349" t="b">
        <v>0</v>
      </c>
      <c r="C349" t="b">
        <v>0</v>
      </c>
      <c r="D349" s="1">
        <v>0</v>
      </c>
      <c r="E349" s="1">
        <v>0</v>
      </c>
      <c r="F349" s="1">
        <v>0</v>
      </c>
      <c r="G349" s="1">
        <v>3820</v>
      </c>
      <c r="H349" s="1">
        <v>0</v>
      </c>
      <c r="I349" s="1">
        <v>0</v>
      </c>
      <c r="J349" s="1">
        <f t="shared" si="13"/>
        <v>3820</v>
      </c>
      <c r="K349" s="1">
        <v>0</v>
      </c>
      <c r="L349" s="1">
        <v>0</v>
      </c>
      <c r="M349" s="1">
        <v>0</v>
      </c>
      <c r="N349" s="1">
        <f t="shared" si="15"/>
        <v>0</v>
      </c>
      <c r="O349" s="9">
        <f t="shared" si="14"/>
        <v>3820</v>
      </c>
      <c r="P349" s="1">
        <v>0</v>
      </c>
      <c r="Q349" s="1">
        <v>0</v>
      </c>
      <c r="R349" s="12">
        <v>40452</v>
      </c>
      <c r="S349" s="1">
        <v>3820</v>
      </c>
      <c r="T349" s="9" t="s">
        <v>21</v>
      </c>
    </row>
    <row r="350" spans="1:20" x14ac:dyDescent="0.25">
      <c r="A350" s="10" t="s">
        <v>18</v>
      </c>
      <c r="B350" t="b">
        <v>0</v>
      </c>
      <c r="C350" t="b">
        <v>0</v>
      </c>
      <c r="D350" s="1">
        <v>0</v>
      </c>
      <c r="E350" s="1">
        <v>0</v>
      </c>
      <c r="F350" s="1">
        <v>0</v>
      </c>
      <c r="G350" s="1">
        <v>3461</v>
      </c>
      <c r="H350" s="1">
        <v>0</v>
      </c>
      <c r="I350" s="1">
        <v>0</v>
      </c>
      <c r="J350" s="1">
        <f t="shared" si="13"/>
        <v>3461</v>
      </c>
      <c r="K350" s="1">
        <v>0</v>
      </c>
      <c r="L350" s="1">
        <v>0</v>
      </c>
      <c r="M350" s="1">
        <v>0</v>
      </c>
      <c r="N350" s="1">
        <f t="shared" si="15"/>
        <v>0</v>
      </c>
      <c r="O350" s="9">
        <f t="shared" si="14"/>
        <v>3461</v>
      </c>
      <c r="P350" s="1">
        <v>0</v>
      </c>
      <c r="Q350" s="1">
        <v>0</v>
      </c>
      <c r="R350" s="12">
        <v>40483</v>
      </c>
      <c r="S350" s="1">
        <v>3461</v>
      </c>
      <c r="T350" s="9" t="s">
        <v>21</v>
      </c>
    </row>
    <row r="351" spans="1:20" x14ac:dyDescent="0.25">
      <c r="A351" s="10" t="s">
        <v>18</v>
      </c>
      <c r="B351" t="b">
        <v>0</v>
      </c>
      <c r="C351" t="b">
        <v>0</v>
      </c>
      <c r="D351" s="1">
        <v>0</v>
      </c>
      <c r="E351" s="1">
        <v>0</v>
      </c>
      <c r="F351" s="1">
        <v>0</v>
      </c>
      <c r="G351" s="1">
        <v>2142</v>
      </c>
      <c r="H351" s="1">
        <v>0</v>
      </c>
      <c r="I351" s="1">
        <v>0</v>
      </c>
      <c r="J351" s="1">
        <f t="shared" si="13"/>
        <v>2142</v>
      </c>
      <c r="K351" s="1">
        <v>0</v>
      </c>
      <c r="L351" s="1">
        <v>0</v>
      </c>
      <c r="M351" s="1">
        <v>0</v>
      </c>
      <c r="N351" s="1">
        <f t="shared" si="15"/>
        <v>0</v>
      </c>
      <c r="O351" s="9">
        <f t="shared" si="14"/>
        <v>2142</v>
      </c>
      <c r="P351" s="1">
        <v>0</v>
      </c>
      <c r="Q351" s="1">
        <v>0</v>
      </c>
      <c r="R351" s="12">
        <v>40513</v>
      </c>
      <c r="S351" s="1">
        <v>2142</v>
      </c>
      <c r="T351" s="9" t="s">
        <v>21</v>
      </c>
    </row>
    <row r="352" spans="1:20" x14ac:dyDescent="0.25">
      <c r="A352" s="10" t="s">
        <v>18</v>
      </c>
      <c r="B352" t="b">
        <v>0</v>
      </c>
      <c r="C352" t="b">
        <v>0</v>
      </c>
      <c r="D352" s="1">
        <v>0</v>
      </c>
      <c r="E352" s="1">
        <v>0</v>
      </c>
      <c r="F352" s="1">
        <v>0</v>
      </c>
      <c r="G352" s="1">
        <v>1873</v>
      </c>
      <c r="H352" s="1">
        <v>0</v>
      </c>
      <c r="I352" s="1">
        <v>0</v>
      </c>
      <c r="J352" s="1">
        <f t="shared" si="13"/>
        <v>1873</v>
      </c>
      <c r="K352" s="1">
        <v>0</v>
      </c>
      <c r="L352" s="1">
        <v>0</v>
      </c>
      <c r="M352" s="1">
        <v>0</v>
      </c>
      <c r="N352" s="1">
        <f t="shared" si="15"/>
        <v>0</v>
      </c>
      <c r="O352" s="9">
        <f t="shared" si="14"/>
        <v>1873</v>
      </c>
      <c r="P352" s="1">
        <v>0</v>
      </c>
      <c r="Q352" s="1">
        <v>0</v>
      </c>
      <c r="R352" s="12">
        <v>40544</v>
      </c>
      <c r="S352" s="1">
        <v>1873</v>
      </c>
      <c r="T352" s="9" t="s">
        <v>21</v>
      </c>
    </row>
    <row r="353" spans="1:20" x14ac:dyDescent="0.25">
      <c r="A353" s="10" t="s">
        <v>18</v>
      </c>
      <c r="B353" t="b">
        <v>0</v>
      </c>
      <c r="C353" t="b">
        <v>0</v>
      </c>
      <c r="D353" s="1">
        <v>0</v>
      </c>
      <c r="E353" s="1">
        <v>0</v>
      </c>
      <c r="F353" s="1">
        <v>0</v>
      </c>
      <c r="G353" s="1">
        <v>1492</v>
      </c>
      <c r="H353" s="1">
        <v>0</v>
      </c>
      <c r="I353" s="1">
        <v>0</v>
      </c>
      <c r="J353" s="1">
        <f t="shared" si="13"/>
        <v>1492</v>
      </c>
      <c r="K353" s="1">
        <v>0</v>
      </c>
      <c r="L353" s="1">
        <v>0</v>
      </c>
      <c r="M353" s="1">
        <v>0</v>
      </c>
      <c r="N353" s="1">
        <f t="shared" si="15"/>
        <v>0</v>
      </c>
      <c r="O353" s="9">
        <f t="shared" si="14"/>
        <v>1492</v>
      </c>
      <c r="P353" s="1">
        <v>0</v>
      </c>
      <c r="Q353" s="1">
        <v>0</v>
      </c>
      <c r="R353" s="12">
        <v>40575</v>
      </c>
      <c r="S353" s="1">
        <v>1492</v>
      </c>
      <c r="T353" s="9" t="s">
        <v>21</v>
      </c>
    </row>
    <row r="354" spans="1:20" x14ac:dyDescent="0.25">
      <c r="A354" s="10" t="s">
        <v>18</v>
      </c>
      <c r="B354" t="b">
        <v>0</v>
      </c>
      <c r="C354" t="b">
        <v>0</v>
      </c>
      <c r="D354" s="1">
        <v>0</v>
      </c>
      <c r="E354" s="1">
        <v>0</v>
      </c>
      <c r="F354" s="1">
        <v>0</v>
      </c>
      <c r="G354" s="1">
        <v>1252</v>
      </c>
      <c r="H354" s="1">
        <v>0</v>
      </c>
      <c r="I354" s="1">
        <v>0</v>
      </c>
      <c r="J354" s="1">
        <f t="shared" si="13"/>
        <v>1252</v>
      </c>
      <c r="K354" s="1">
        <v>0</v>
      </c>
      <c r="L354" s="1">
        <v>0</v>
      </c>
      <c r="M354" s="1">
        <v>0</v>
      </c>
      <c r="N354" s="1">
        <f t="shared" si="15"/>
        <v>0</v>
      </c>
      <c r="O354" s="9">
        <f t="shared" si="14"/>
        <v>1252</v>
      </c>
      <c r="P354" s="1">
        <v>0</v>
      </c>
      <c r="Q354" s="1">
        <v>0</v>
      </c>
      <c r="R354" s="12">
        <v>40603</v>
      </c>
      <c r="S354" s="1">
        <v>1252</v>
      </c>
      <c r="T354" s="9" t="s">
        <v>21</v>
      </c>
    </row>
    <row r="355" spans="1:20" x14ac:dyDescent="0.25">
      <c r="A355" s="10" t="s">
        <v>18</v>
      </c>
      <c r="B355" t="b">
        <v>0</v>
      </c>
      <c r="C355" t="b">
        <v>0</v>
      </c>
      <c r="D355" s="1">
        <v>0</v>
      </c>
      <c r="E355" s="1">
        <v>0</v>
      </c>
      <c r="F355" s="1">
        <v>0</v>
      </c>
      <c r="G355" s="1">
        <v>2041</v>
      </c>
      <c r="H355" s="1">
        <v>0</v>
      </c>
      <c r="I355" s="1">
        <v>0</v>
      </c>
      <c r="J355" s="1">
        <f t="shared" si="13"/>
        <v>2041</v>
      </c>
      <c r="K355" s="1">
        <v>0</v>
      </c>
      <c r="L355" s="1">
        <v>0</v>
      </c>
      <c r="M355" s="1">
        <v>0</v>
      </c>
      <c r="N355" s="1">
        <f t="shared" si="15"/>
        <v>0</v>
      </c>
      <c r="O355" s="9">
        <f t="shared" si="14"/>
        <v>2041</v>
      </c>
      <c r="P355" s="1">
        <v>0</v>
      </c>
      <c r="Q355" s="1">
        <v>0</v>
      </c>
      <c r="R355" s="12">
        <v>40634</v>
      </c>
      <c r="S355" s="1">
        <v>2041</v>
      </c>
      <c r="T355" s="9" t="s">
        <v>21</v>
      </c>
    </row>
    <row r="356" spans="1:20" x14ac:dyDescent="0.25">
      <c r="A356" s="10" t="s">
        <v>18</v>
      </c>
      <c r="B356" t="b">
        <v>0</v>
      </c>
      <c r="C356" t="b">
        <v>0</v>
      </c>
      <c r="D356" s="1">
        <v>0</v>
      </c>
      <c r="E356" s="1">
        <v>0</v>
      </c>
      <c r="F356" s="1">
        <v>0</v>
      </c>
      <c r="G356" s="1">
        <v>2072</v>
      </c>
      <c r="H356" s="1">
        <v>0</v>
      </c>
      <c r="I356" s="1">
        <v>0</v>
      </c>
      <c r="J356" s="1">
        <f t="shared" si="13"/>
        <v>2072</v>
      </c>
      <c r="K356" s="1">
        <v>0</v>
      </c>
      <c r="L356" s="1">
        <v>0</v>
      </c>
      <c r="M356" s="1">
        <v>0</v>
      </c>
      <c r="N356" s="1">
        <f t="shared" si="15"/>
        <v>0</v>
      </c>
      <c r="O356" s="9">
        <f t="shared" si="14"/>
        <v>2072</v>
      </c>
      <c r="P356" s="1">
        <v>0</v>
      </c>
      <c r="Q356" s="1">
        <v>0</v>
      </c>
      <c r="R356" s="12">
        <v>40664</v>
      </c>
      <c r="S356" s="1">
        <v>2072</v>
      </c>
      <c r="T356" s="9" t="s">
        <v>21</v>
      </c>
    </row>
    <row r="357" spans="1:20" x14ac:dyDescent="0.25">
      <c r="A357" s="10" t="s">
        <v>18</v>
      </c>
      <c r="B357" t="b">
        <v>0</v>
      </c>
      <c r="C357" t="b">
        <v>0</v>
      </c>
      <c r="D357" s="1">
        <v>0</v>
      </c>
      <c r="E357" s="1">
        <v>0</v>
      </c>
      <c r="F357" s="1">
        <v>0</v>
      </c>
      <c r="G357" s="1">
        <v>1899</v>
      </c>
      <c r="H357" s="1">
        <v>0</v>
      </c>
      <c r="I357" s="1">
        <v>0</v>
      </c>
      <c r="J357" s="1">
        <f t="shared" si="13"/>
        <v>1899</v>
      </c>
      <c r="K357" s="1">
        <v>0</v>
      </c>
      <c r="L357" s="1">
        <v>0</v>
      </c>
      <c r="M357" s="1">
        <v>0</v>
      </c>
      <c r="N357" s="1">
        <f t="shared" si="15"/>
        <v>0</v>
      </c>
      <c r="O357" s="9">
        <f t="shared" si="14"/>
        <v>1899</v>
      </c>
      <c r="P357" s="1">
        <v>0</v>
      </c>
      <c r="Q357" s="1">
        <v>0</v>
      </c>
      <c r="R357" s="12">
        <v>40695</v>
      </c>
      <c r="S357" s="1">
        <v>1899</v>
      </c>
      <c r="T357" s="9" t="s">
        <v>21</v>
      </c>
    </row>
    <row r="358" spans="1:20" x14ac:dyDescent="0.25">
      <c r="A358" s="10" t="s">
        <v>18</v>
      </c>
      <c r="B358" t="b">
        <v>0</v>
      </c>
      <c r="C358" t="b">
        <v>0</v>
      </c>
      <c r="D358" s="1">
        <v>0</v>
      </c>
      <c r="E358" s="1">
        <v>0</v>
      </c>
      <c r="F358" s="1">
        <v>0</v>
      </c>
      <c r="G358" s="1">
        <v>6815</v>
      </c>
      <c r="H358" s="1">
        <v>0</v>
      </c>
      <c r="I358" s="1">
        <v>0</v>
      </c>
      <c r="J358" s="1">
        <f t="shared" si="13"/>
        <v>6815</v>
      </c>
      <c r="K358" s="1">
        <v>0</v>
      </c>
      <c r="L358" s="1">
        <v>0</v>
      </c>
      <c r="M358" s="1">
        <v>0</v>
      </c>
      <c r="N358" s="1">
        <f t="shared" si="15"/>
        <v>0</v>
      </c>
      <c r="O358" s="9">
        <f t="shared" si="14"/>
        <v>6815</v>
      </c>
      <c r="P358" s="1">
        <v>0</v>
      </c>
      <c r="Q358" s="1">
        <v>0</v>
      </c>
      <c r="R358" s="12">
        <v>40725</v>
      </c>
      <c r="S358" s="1">
        <v>6815</v>
      </c>
      <c r="T358" s="9" t="s">
        <v>21</v>
      </c>
    </row>
    <row r="359" spans="1:20" x14ac:dyDescent="0.25">
      <c r="A359" s="10" t="s">
        <v>18</v>
      </c>
      <c r="B359" t="b">
        <v>0</v>
      </c>
      <c r="C359" t="b">
        <v>0</v>
      </c>
      <c r="D359" s="1">
        <v>0</v>
      </c>
      <c r="E359" s="1">
        <v>0</v>
      </c>
      <c r="F359" s="1">
        <v>0</v>
      </c>
      <c r="G359" s="1">
        <v>5040</v>
      </c>
      <c r="H359" s="1">
        <v>0</v>
      </c>
      <c r="I359" s="1">
        <v>0</v>
      </c>
      <c r="J359" s="1">
        <f t="shared" si="13"/>
        <v>5040</v>
      </c>
      <c r="K359" s="1">
        <v>0</v>
      </c>
      <c r="L359" s="1">
        <v>0</v>
      </c>
      <c r="M359" s="1">
        <v>0</v>
      </c>
      <c r="N359" s="1">
        <f t="shared" si="15"/>
        <v>0</v>
      </c>
      <c r="O359" s="9">
        <f t="shared" si="14"/>
        <v>5040</v>
      </c>
      <c r="P359" s="1">
        <v>0</v>
      </c>
      <c r="Q359" s="1">
        <v>0</v>
      </c>
      <c r="R359" s="12">
        <v>40756</v>
      </c>
      <c r="S359" s="1">
        <v>5040</v>
      </c>
      <c r="T359" s="9" t="s">
        <v>21</v>
      </c>
    </row>
    <row r="360" spans="1:20" x14ac:dyDescent="0.25">
      <c r="A360" s="10" t="s">
        <v>18</v>
      </c>
      <c r="B360" t="b">
        <v>0</v>
      </c>
      <c r="C360" t="b">
        <v>0</v>
      </c>
      <c r="D360" s="1">
        <v>0</v>
      </c>
      <c r="E360" s="1">
        <v>0</v>
      </c>
      <c r="F360" s="1">
        <v>0</v>
      </c>
      <c r="G360" s="1">
        <v>1781</v>
      </c>
      <c r="H360" s="1">
        <v>0</v>
      </c>
      <c r="I360" s="1">
        <v>0</v>
      </c>
      <c r="J360" s="1">
        <f t="shared" si="13"/>
        <v>1781</v>
      </c>
      <c r="K360" s="1">
        <v>0</v>
      </c>
      <c r="L360" s="1">
        <v>0</v>
      </c>
      <c r="M360" s="1">
        <v>0</v>
      </c>
      <c r="N360" s="1">
        <f t="shared" si="15"/>
        <v>0</v>
      </c>
      <c r="O360" s="9">
        <f t="shared" si="14"/>
        <v>1781</v>
      </c>
      <c r="P360" s="1">
        <v>0</v>
      </c>
      <c r="Q360" s="1">
        <v>0</v>
      </c>
      <c r="R360" s="12">
        <v>40787</v>
      </c>
      <c r="S360" s="1">
        <v>1781</v>
      </c>
      <c r="T360" s="9" t="s">
        <v>21</v>
      </c>
    </row>
    <row r="361" spans="1:20" x14ac:dyDescent="0.25">
      <c r="A361" s="10" t="s">
        <v>18</v>
      </c>
      <c r="B361" t="b">
        <v>0</v>
      </c>
      <c r="C361" t="b">
        <v>0</v>
      </c>
      <c r="D361" s="1">
        <v>0</v>
      </c>
      <c r="E361" s="1">
        <v>0</v>
      </c>
      <c r="F361" s="1">
        <v>0</v>
      </c>
      <c r="G361" s="1">
        <v>3293</v>
      </c>
      <c r="H361" s="1">
        <v>0</v>
      </c>
      <c r="I361" s="1">
        <v>0</v>
      </c>
      <c r="J361" s="1">
        <f t="shared" si="13"/>
        <v>3293</v>
      </c>
      <c r="K361" s="1">
        <v>0</v>
      </c>
      <c r="L361" s="1">
        <v>0</v>
      </c>
      <c r="M361" s="1">
        <v>0</v>
      </c>
      <c r="N361" s="1">
        <f t="shared" si="15"/>
        <v>0</v>
      </c>
      <c r="O361" s="9">
        <f t="shared" si="14"/>
        <v>3293</v>
      </c>
      <c r="P361" s="1">
        <v>0</v>
      </c>
      <c r="Q361" s="1">
        <v>0</v>
      </c>
      <c r="R361" s="12">
        <v>40817</v>
      </c>
      <c r="S361" s="1">
        <v>3293</v>
      </c>
      <c r="T361" s="9" t="s">
        <v>21</v>
      </c>
    </row>
    <row r="362" spans="1:20" x14ac:dyDescent="0.25">
      <c r="A362" s="10" t="s">
        <v>18</v>
      </c>
      <c r="B362" t="b">
        <v>0</v>
      </c>
      <c r="C362" t="b">
        <v>0</v>
      </c>
      <c r="D362" s="1">
        <v>0</v>
      </c>
      <c r="E362" s="1">
        <v>0</v>
      </c>
      <c r="F362" s="1">
        <v>0</v>
      </c>
      <c r="G362" s="1">
        <v>3056</v>
      </c>
      <c r="H362" s="1">
        <v>0</v>
      </c>
      <c r="I362" s="1">
        <v>0</v>
      </c>
      <c r="J362" s="1">
        <f t="shared" si="13"/>
        <v>3056</v>
      </c>
      <c r="K362" s="1">
        <v>0</v>
      </c>
      <c r="L362" s="1">
        <v>0</v>
      </c>
      <c r="M362" s="1">
        <v>0</v>
      </c>
      <c r="N362" s="1">
        <f t="shared" si="15"/>
        <v>0</v>
      </c>
      <c r="O362" s="9">
        <f t="shared" si="14"/>
        <v>3056</v>
      </c>
      <c r="P362" s="1">
        <v>0</v>
      </c>
      <c r="Q362" s="1">
        <v>0</v>
      </c>
      <c r="R362" s="12">
        <v>40848</v>
      </c>
      <c r="S362" s="1">
        <v>3056</v>
      </c>
      <c r="T362" s="9" t="s">
        <v>21</v>
      </c>
    </row>
    <row r="363" spans="1:20" x14ac:dyDescent="0.25">
      <c r="A363" s="10" t="s">
        <v>18</v>
      </c>
      <c r="B363" t="b">
        <v>0</v>
      </c>
      <c r="C363" t="b">
        <v>0</v>
      </c>
      <c r="D363" s="1">
        <v>0</v>
      </c>
      <c r="E363" s="1">
        <v>0</v>
      </c>
      <c r="F363" s="1">
        <v>0</v>
      </c>
      <c r="G363" s="1">
        <v>1880</v>
      </c>
      <c r="H363" s="1">
        <v>0</v>
      </c>
      <c r="I363" s="1">
        <v>0</v>
      </c>
      <c r="J363" s="1">
        <f t="shared" si="13"/>
        <v>1880</v>
      </c>
      <c r="K363" s="1">
        <v>0</v>
      </c>
      <c r="L363" s="1">
        <v>0</v>
      </c>
      <c r="M363" s="1">
        <v>0</v>
      </c>
      <c r="N363" s="1">
        <f t="shared" si="15"/>
        <v>0</v>
      </c>
      <c r="O363" s="9">
        <f t="shared" si="14"/>
        <v>1880</v>
      </c>
      <c r="P363" s="1">
        <v>0</v>
      </c>
      <c r="Q363" s="1">
        <v>0</v>
      </c>
      <c r="R363" s="12">
        <v>40878</v>
      </c>
      <c r="S363" s="1">
        <v>1880</v>
      </c>
      <c r="T363" s="9" t="s">
        <v>21</v>
      </c>
    </row>
    <row r="364" spans="1:20" x14ac:dyDescent="0.25">
      <c r="A364" s="10" t="s">
        <v>18</v>
      </c>
      <c r="B364" t="b">
        <v>1</v>
      </c>
      <c r="C364" t="b">
        <v>0</v>
      </c>
      <c r="D364" s="1">
        <v>0</v>
      </c>
      <c r="E364" s="1">
        <v>0</v>
      </c>
      <c r="F364" s="1">
        <v>0</v>
      </c>
      <c r="G364" s="1">
        <v>1795</v>
      </c>
      <c r="H364" s="1">
        <v>0</v>
      </c>
      <c r="I364" s="1">
        <v>0</v>
      </c>
      <c r="J364" s="1">
        <f t="shared" si="13"/>
        <v>1795</v>
      </c>
      <c r="K364" s="1">
        <v>0</v>
      </c>
      <c r="L364" s="1">
        <v>0</v>
      </c>
      <c r="M364" s="1">
        <v>0</v>
      </c>
      <c r="N364" s="1">
        <f t="shared" si="15"/>
        <v>0</v>
      </c>
      <c r="O364" s="9">
        <f t="shared" si="14"/>
        <v>1795</v>
      </c>
      <c r="P364" s="1">
        <v>0</v>
      </c>
      <c r="Q364" s="1">
        <v>0</v>
      </c>
      <c r="R364" s="12">
        <v>40909</v>
      </c>
      <c r="S364" s="1">
        <v>1795</v>
      </c>
      <c r="T364" s="9" t="s">
        <v>21</v>
      </c>
    </row>
    <row r="365" spans="1:20" x14ac:dyDescent="0.25">
      <c r="A365" s="10" t="s">
        <v>18</v>
      </c>
      <c r="B365" t="b">
        <v>1</v>
      </c>
      <c r="C365" t="b">
        <v>0</v>
      </c>
      <c r="D365" s="1">
        <v>0</v>
      </c>
      <c r="E365" s="1">
        <v>0</v>
      </c>
      <c r="F365" s="1">
        <v>0</v>
      </c>
      <c r="G365" s="1">
        <v>1607</v>
      </c>
      <c r="H365" s="1">
        <v>0</v>
      </c>
      <c r="I365" s="1">
        <v>0</v>
      </c>
      <c r="J365" s="1">
        <f t="shared" si="13"/>
        <v>1607</v>
      </c>
      <c r="K365" s="1">
        <v>0</v>
      </c>
      <c r="L365" s="1">
        <v>0</v>
      </c>
      <c r="M365" s="1">
        <v>0</v>
      </c>
      <c r="N365" s="1">
        <f t="shared" si="15"/>
        <v>0</v>
      </c>
      <c r="O365" s="9">
        <f t="shared" si="14"/>
        <v>1607</v>
      </c>
      <c r="P365" s="1">
        <v>0</v>
      </c>
      <c r="Q365" s="1">
        <v>0</v>
      </c>
      <c r="R365" s="12">
        <v>40940</v>
      </c>
      <c r="S365" s="1">
        <v>1607</v>
      </c>
      <c r="T365" s="9" t="s">
        <v>21</v>
      </c>
    </row>
    <row r="366" spans="1:20" x14ac:dyDescent="0.25">
      <c r="A366" s="10" t="s">
        <v>18</v>
      </c>
      <c r="B366" t="b">
        <v>1</v>
      </c>
      <c r="C366" t="b">
        <v>0</v>
      </c>
      <c r="D366" s="1">
        <v>0</v>
      </c>
      <c r="E366" s="1">
        <v>0</v>
      </c>
      <c r="F366" s="1">
        <v>0</v>
      </c>
      <c r="G366" s="1">
        <v>1422</v>
      </c>
      <c r="H366" s="1">
        <v>0</v>
      </c>
      <c r="I366" s="1">
        <v>0</v>
      </c>
      <c r="J366" s="1">
        <f t="shared" si="13"/>
        <v>1422</v>
      </c>
      <c r="K366" s="1">
        <v>0</v>
      </c>
      <c r="L366" s="1">
        <v>0</v>
      </c>
      <c r="M366" s="1">
        <v>0</v>
      </c>
      <c r="N366" s="1">
        <f t="shared" si="15"/>
        <v>0</v>
      </c>
      <c r="O366" s="9">
        <f t="shared" si="14"/>
        <v>1422</v>
      </c>
      <c r="P366" s="1">
        <v>0</v>
      </c>
      <c r="Q366" s="1">
        <v>0</v>
      </c>
      <c r="R366" s="12">
        <v>40969</v>
      </c>
      <c r="S366" s="1">
        <v>1422</v>
      </c>
      <c r="T366" s="9" t="s">
        <v>21</v>
      </c>
    </row>
    <row r="367" spans="1:20" x14ac:dyDescent="0.25">
      <c r="A367" s="10" t="s">
        <v>18</v>
      </c>
      <c r="B367" t="b">
        <v>0</v>
      </c>
      <c r="C367" t="b">
        <v>0</v>
      </c>
      <c r="D367" s="1">
        <v>0</v>
      </c>
      <c r="E367" s="1">
        <v>0</v>
      </c>
      <c r="F367" s="1">
        <v>0</v>
      </c>
      <c r="G367" s="1">
        <v>2070</v>
      </c>
      <c r="H367" s="1">
        <v>0</v>
      </c>
      <c r="I367" s="1">
        <v>0</v>
      </c>
      <c r="J367" s="1">
        <f t="shared" ref="J367:J430" si="16">D367+E367+F367+G367+H367+I367</f>
        <v>2070</v>
      </c>
      <c r="K367" s="1">
        <v>0</v>
      </c>
      <c r="L367" s="1">
        <v>0</v>
      </c>
      <c r="M367" s="1">
        <v>0</v>
      </c>
      <c r="N367" s="1">
        <f t="shared" si="15"/>
        <v>0</v>
      </c>
      <c r="O367" s="9">
        <f t="shared" ref="O367:O430" si="17">J367</f>
        <v>2070</v>
      </c>
      <c r="P367" s="1">
        <v>0</v>
      </c>
      <c r="Q367" s="1">
        <v>0</v>
      </c>
      <c r="R367" s="12">
        <v>41000</v>
      </c>
      <c r="S367" s="1">
        <v>2070</v>
      </c>
      <c r="T367" s="9" t="s">
        <v>21</v>
      </c>
    </row>
    <row r="368" spans="1:20" x14ac:dyDescent="0.25">
      <c r="A368" s="10" t="s">
        <v>18</v>
      </c>
      <c r="B368" t="b">
        <v>0</v>
      </c>
      <c r="C368" t="b">
        <v>0</v>
      </c>
      <c r="D368" s="1">
        <v>0</v>
      </c>
      <c r="E368" s="1">
        <v>0</v>
      </c>
      <c r="F368" s="1">
        <v>0</v>
      </c>
      <c r="G368" s="1">
        <v>2133</v>
      </c>
      <c r="H368" s="1">
        <v>0</v>
      </c>
      <c r="I368" s="1">
        <v>0</v>
      </c>
      <c r="J368" s="1">
        <f t="shared" si="16"/>
        <v>2133</v>
      </c>
      <c r="K368" s="1">
        <v>0</v>
      </c>
      <c r="L368" s="1">
        <v>0</v>
      </c>
      <c r="M368" s="1">
        <v>0</v>
      </c>
      <c r="N368" s="1">
        <f t="shared" si="15"/>
        <v>0</v>
      </c>
      <c r="O368" s="9">
        <f t="shared" si="17"/>
        <v>2133</v>
      </c>
      <c r="P368" s="1">
        <v>0</v>
      </c>
      <c r="Q368" s="1">
        <v>0</v>
      </c>
      <c r="R368" s="12">
        <v>41030</v>
      </c>
      <c r="S368" s="1">
        <v>2133</v>
      </c>
      <c r="T368" s="9" t="s">
        <v>21</v>
      </c>
    </row>
    <row r="369" spans="1:20" x14ac:dyDescent="0.25">
      <c r="A369" s="10" t="s">
        <v>18</v>
      </c>
      <c r="B369" t="b">
        <v>0</v>
      </c>
      <c r="C369" t="b">
        <v>0</v>
      </c>
      <c r="D369" s="1">
        <v>0</v>
      </c>
      <c r="E369" s="1">
        <v>0</v>
      </c>
      <c r="F369" s="1">
        <v>0</v>
      </c>
      <c r="G369" s="1">
        <v>1567</v>
      </c>
      <c r="H369" s="1">
        <v>0</v>
      </c>
      <c r="I369" s="1">
        <v>0</v>
      </c>
      <c r="J369" s="1">
        <f t="shared" si="16"/>
        <v>1567</v>
      </c>
      <c r="K369" s="1">
        <v>0</v>
      </c>
      <c r="L369" s="1">
        <v>0</v>
      </c>
      <c r="M369" s="1">
        <v>0</v>
      </c>
      <c r="N369" s="1">
        <f t="shared" si="15"/>
        <v>0</v>
      </c>
      <c r="O369" s="9">
        <f t="shared" si="17"/>
        <v>1567</v>
      </c>
      <c r="P369" s="1">
        <v>0</v>
      </c>
      <c r="Q369" s="1">
        <v>0</v>
      </c>
      <c r="R369" s="12">
        <v>41061</v>
      </c>
      <c r="S369" s="1">
        <v>1567</v>
      </c>
      <c r="T369" s="9" t="s">
        <v>21</v>
      </c>
    </row>
    <row r="370" spans="1:20" x14ac:dyDescent="0.25">
      <c r="A370" s="10" t="s">
        <v>18</v>
      </c>
      <c r="B370" t="b">
        <v>0</v>
      </c>
      <c r="C370" t="b">
        <v>1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f t="shared" si="16"/>
        <v>0</v>
      </c>
      <c r="K370" s="1">
        <v>0</v>
      </c>
      <c r="L370" s="1">
        <v>0</v>
      </c>
      <c r="M370" s="1">
        <v>0</v>
      </c>
      <c r="N370" s="1">
        <f t="shared" si="15"/>
        <v>0</v>
      </c>
      <c r="O370" s="9">
        <f t="shared" si="17"/>
        <v>0</v>
      </c>
      <c r="P370" s="1">
        <v>0</v>
      </c>
      <c r="Q370" s="1">
        <v>0</v>
      </c>
      <c r="R370" s="12">
        <v>41091</v>
      </c>
      <c r="S370" s="1">
        <v>0</v>
      </c>
      <c r="T370" s="9" t="s">
        <v>21</v>
      </c>
    </row>
    <row r="371" spans="1:20" x14ac:dyDescent="0.25">
      <c r="A371" s="10" t="s">
        <v>18</v>
      </c>
      <c r="B371" t="b">
        <v>0</v>
      </c>
      <c r="C371" t="b">
        <v>1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f t="shared" si="16"/>
        <v>0</v>
      </c>
      <c r="K371" s="1">
        <v>0</v>
      </c>
      <c r="L371" s="1">
        <v>0</v>
      </c>
      <c r="M371" s="1">
        <v>0</v>
      </c>
      <c r="N371" s="1">
        <f t="shared" si="15"/>
        <v>0</v>
      </c>
      <c r="O371" s="9">
        <f t="shared" si="17"/>
        <v>0</v>
      </c>
      <c r="P371" s="1">
        <v>0</v>
      </c>
      <c r="Q371" s="1">
        <v>0</v>
      </c>
      <c r="R371" s="12">
        <v>41122</v>
      </c>
      <c r="S371" s="1">
        <v>0</v>
      </c>
      <c r="T371" s="9" t="s">
        <v>21</v>
      </c>
    </row>
    <row r="372" spans="1:20" x14ac:dyDescent="0.25">
      <c r="A372" s="10" t="s">
        <v>18</v>
      </c>
      <c r="B372" t="b">
        <v>0</v>
      </c>
      <c r="C372" t="b">
        <v>1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f t="shared" si="16"/>
        <v>0</v>
      </c>
      <c r="K372" s="1">
        <v>0</v>
      </c>
      <c r="L372" s="1">
        <v>0</v>
      </c>
      <c r="M372" s="1">
        <v>0</v>
      </c>
      <c r="N372" s="1">
        <f t="shared" si="15"/>
        <v>0</v>
      </c>
      <c r="O372" s="9">
        <f t="shared" si="17"/>
        <v>0</v>
      </c>
      <c r="P372" s="1">
        <v>0</v>
      </c>
      <c r="Q372" s="1">
        <v>0</v>
      </c>
      <c r="R372" s="12">
        <v>41153</v>
      </c>
      <c r="S372" s="1">
        <v>0</v>
      </c>
      <c r="T372" s="9" t="s">
        <v>21</v>
      </c>
    </row>
    <row r="373" spans="1:20" x14ac:dyDescent="0.25">
      <c r="A373" s="10" t="s">
        <v>18</v>
      </c>
      <c r="B373" t="b">
        <v>0</v>
      </c>
      <c r="C373" t="b">
        <v>1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f t="shared" si="16"/>
        <v>0</v>
      </c>
      <c r="K373" s="1">
        <v>0</v>
      </c>
      <c r="L373" s="1">
        <v>0</v>
      </c>
      <c r="M373" s="1">
        <v>0</v>
      </c>
      <c r="N373" s="1">
        <f t="shared" si="15"/>
        <v>0</v>
      </c>
      <c r="O373" s="9">
        <f t="shared" si="17"/>
        <v>0</v>
      </c>
      <c r="P373" s="1">
        <v>0</v>
      </c>
      <c r="Q373" s="1">
        <v>0</v>
      </c>
      <c r="R373" s="12">
        <v>41183</v>
      </c>
      <c r="S373" s="1">
        <v>0</v>
      </c>
      <c r="T373" s="9" t="s">
        <v>21</v>
      </c>
    </row>
    <row r="374" spans="1:20" x14ac:dyDescent="0.25">
      <c r="A374" s="10" t="s">
        <v>18</v>
      </c>
      <c r="B374" t="b">
        <v>0</v>
      </c>
      <c r="C374" t="b">
        <v>1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f t="shared" si="16"/>
        <v>0</v>
      </c>
      <c r="K374" s="1">
        <v>0</v>
      </c>
      <c r="L374" s="1">
        <v>0</v>
      </c>
      <c r="M374" s="1">
        <v>0</v>
      </c>
      <c r="N374" s="1">
        <f t="shared" si="15"/>
        <v>0</v>
      </c>
      <c r="O374" s="9">
        <f t="shared" si="17"/>
        <v>0</v>
      </c>
      <c r="P374" s="1">
        <v>0</v>
      </c>
      <c r="Q374" s="1">
        <v>0</v>
      </c>
      <c r="R374" s="12">
        <v>41214</v>
      </c>
      <c r="S374" s="1">
        <v>0</v>
      </c>
      <c r="T374" s="9" t="s">
        <v>21</v>
      </c>
    </row>
    <row r="375" spans="1:20" x14ac:dyDescent="0.25">
      <c r="A375" s="10" t="s">
        <v>18</v>
      </c>
      <c r="B375" t="b">
        <v>0</v>
      </c>
      <c r="C375" t="b">
        <v>1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f t="shared" si="16"/>
        <v>0</v>
      </c>
      <c r="K375" s="1">
        <v>0</v>
      </c>
      <c r="L375" s="1">
        <v>0</v>
      </c>
      <c r="M375" s="1">
        <v>0</v>
      </c>
      <c r="N375" s="1">
        <f t="shared" si="15"/>
        <v>0</v>
      </c>
      <c r="O375" s="9">
        <f t="shared" si="17"/>
        <v>0</v>
      </c>
      <c r="P375" s="1">
        <v>0</v>
      </c>
      <c r="Q375" s="1">
        <v>0</v>
      </c>
      <c r="R375" s="12">
        <v>41244</v>
      </c>
      <c r="S375" s="1">
        <v>0</v>
      </c>
      <c r="T375" s="9" t="s">
        <v>21</v>
      </c>
    </row>
    <row r="376" spans="1:20" x14ac:dyDescent="0.25">
      <c r="A376" s="10" t="s">
        <v>18</v>
      </c>
      <c r="B376" t="b">
        <v>0</v>
      </c>
      <c r="C376" t="b">
        <v>1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f t="shared" si="16"/>
        <v>0</v>
      </c>
      <c r="K376" s="1">
        <v>0</v>
      </c>
      <c r="L376" s="1">
        <v>0</v>
      </c>
      <c r="M376" s="1">
        <v>0</v>
      </c>
      <c r="N376" s="1">
        <f t="shared" si="15"/>
        <v>0</v>
      </c>
      <c r="O376" s="9">
        <f t="shared" si="17"/>
        <v>0</v>
      </c>
      <c r="P376" s="1">
        <v>0</v>
      </c>
      <c r="Q376" s="1">
        <v>0</v>
      </c>
      <c r="R376" s="12">
        <v>41275</v>
      </c>
      <c r="S376" s="1">
        <v>0</v>
      </c>
      <c r="T376" s="9" t="s">
        <v>40</v>
      </c>
    </row>
    <row r="377" spans="1:20" x14ac:dyDescent="0.25">
      <c r="A377" s="10" t="s">
        <v>18</v>
      </c>
      <c r="B377" t="b">
        <v>0</v>
      </c>
      <c r="C377" t="b">
        <v>1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f t="shared" si="16"/>
        <v>0</v>
      </c>
      <c r="K377" s="1">
        <v>0</v>
      </c>
      <c r="L377" s="1">
        <v>0</v>
      </c>
      <c r="M377" s="1">
        <v>0</v>
      </c>
      <c r="N377" s="1">
        <f t="shared" si="15"/>
        <v>0</v>
      </c>
      <c r="O377" s="9">
        <f t="shared" si="17"/>
        <v>0</v>
      </c>
      <c r="P377" s="1">
        <v>0</v>
      </c>
      <c r="Q377" s="1">
        <v>0</v>
      </c>
      <c r="R377" s="12">
        <v>41306</v>
      </c>
      <c r="S377" s="1">
        <v>0</v>
      </c>
      <c r="T377" s="9" t="s">
        <v>40</v>
      </c>
    </row>
    <row r="378" spans="1:20" x14ac:dyDescent="0.25">
      <c r="A378" s="10" t="s">
        <v>18</v>
      </c>
      <c r="B378" t="b">
        <v>0</v>
      </c>
      <c r="C378" t="b">
        <v>1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f t="shared" si="16"/>
        <v>0</v>
      </c>
      <c r="K378" s="1">
        <v>0</v>
      </c>
      <c r="L378" s="1">
        <v>0</v>
      </c>
      <c r="M378" s="1">
        <v>0</v>
      </c>
      <c r="N378" s="1">
        <f t="shared" si="15"/>
        <v>0</v>
      </c>
      <c r="O378" s="9">
        <f t="shared" si="17"/>
        <v>0</v>
      </c>
      <c r="P378" s="1">
        <v>0</v>
      </c>
      <c r="Q378" s="1">
        <v>0</v>
      </c>
      <c r="R378" s="12">
        <v>41334</v>
      </c>
      <c r="S378" s="1">
        <v>0</v>
      </c>
      <c r="T378" s="9" t="s">
        <v>40</v>
      </c>
    </row>
    <row r="379" spans="1:20" x14ac:dyDescent="0.25">
      <c r="A379" s="10" t="s">
        <v>18</v>
      </c>
      <c r="B379" t="b">
        <v>0</v>
      </c>
      <c r="C379" t="b">
        <v>1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f t="shared" si="16"/>
        <v>0</v>
      </c>
      <c r="K379" s="1">
        <v>0</v>
      </c>
      <c r="L379" s="1">
        <v>0</v>
      </c>
      <c r="M379" s="1">
        <v>0</v>
      </c>
      <c r="N379" s="1">
        <f t="shared" si="15"/>
        <v>0</v>
      </c>
      <c r="O379" s="9">
        <f t="shared" si="17"/>
        <v>0</v>
      </c>
      <c r="P379" s="1">
        <v>0</v>
      </c>
      <c r="Q379" s="1">
        <v>0</v>
      </c>
      <c r="R379" s="12">
        <v>41365</v>
      </c>
      <c r="S379" s="1">
        <v>0</v>
      </c>
      <c r="T379" s="9" t="s">
        <v>40</v>
      </c>
    </row>
    <row r="380" spans="1:20" x14ac:dyDescent="0.25">
      <c r="A380" s="10" t="s">
        <v>18</v>
      </c>
      <c r="B380" t="b">
        <v>0</v>
      </c>
      <c r="C380" t="b">
        <v>1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f t="shared" si="16"/>
        <v>0</v>
      </c>
      <c r="K380" s="1">
        <v>0</v>
      </c>
      <c r="L380" s="1">
        <v>0</v>
      </c>
      <c r="M380" s="1">
        <v>0</v>
      </c>
      <c r="N380" s="1">
        <f t="shared" si="15"/>
        <v>0</v>
      </c>
      <c r="O380" s="9">
        <f t="shared" si="17"/>
        <v>0</v>
      </c>
      <c r="P380" s="1">
        <v>0</v>
      </c>
      <c r="Q380" s="1">
        <v>0</v>
      </c>
      <c r="R380" s="12">
        <v>41395</v>
      </c>
      <c r="S380" s="1">
        <v>0</v>
      </c>
      <c r="T380" s="9" t="s">
        <v>40</v>
      </c>
    </row>
    <row r="381" spans="1:20" x14ac:dyDescent="0.25">
      <c r="A381" s="10" t="s">
        <v>18</v>
      </c>
      <c r="B381" t="b">
        <v>0</v>
      </c>
      <c r="C381" t="b">
        <v>1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f t="shared" si="16"/>
        <v>0</v>
      </c>
      <c r="K381" s="1">
        <v>0</v>
      </c>
      <c r="L381" s="1">
        <v>0</v>
      </c>
      <c r="M381" s="1">
        <v>0</v>
      </c>
      <c r="N381" s="1">
        <f t="shared" si="15"/>
        <v>0</v>
      </c>
      <c r="O381" s="9">
        <f t="shared" si="17"/>
        <v>0</v>
      </c>
      <c r="P381" s="1">
        <v>0</v>
      </c>
      <c r="Q381" s="1">
        <v>0</v>
      </c>
      <c r="R381" s="12">
        <v>41426</v>
      </c>
      <c r="S381" s="1">
        <v>0</v>
      </c>
      <c r="T381" s="9" t="s">
        <v>40</v>
      </c>
    </row>
    <row r="382" spans="1:20" x14ac:dyDescent="0.25">
      <c r="A382" s="10" t="s">
        <v>18</v>
      </c>
      <c r="B382" t="b">
        <v>0</v>
      </c>
      <c r="C382" t="b">
        <v>1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f t="shared" si="16"/>
        <v>0</v>
      </c>
      <c r="K382" s="1">
        <v>0</v>
      </c>
      <c r="L382" s="1">
        <v>0</v>
      </c>
      <c r="M382" s="1">
        <v>0</v>
      </c>
      <c r="N382" s="1">
        <f t="shared" si="15"/>
        <v>0</v>
      </c>
      <c r="O382" s="9">
        <f t="shared" si="17"/>
        <v>0</v>
      </c>
      <c r="P382" s="1">
        <v>0</v>
      </c>
      <c r="Q382" s="1">
        <v>0</v>
      </c>
      <c r="R382" s="12">
        <v>41456</v>
      </c>
      <c r="S382" s="1">
        <v>0</v>
      </c>
      <c r="T382" s="9" t="s">
        <v>40</v>
      </c>
    </row>
    <row r="383" spans="1:20" x14ac:dyDescent="0.25">
      <c r="A383" s="10" t="s">
        <v>18</v>
      </c>
      <c r="B383" t="b">
        <v>0</v>
      </c>
      <c r="C383" t="b">
        <v>1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f t="shared" si="16"/>
        <v>0</v>
      </c>
      <c r="K383" s="1">
        <v>0</v>
      </c>
      <c r="L383" s="1">
        <v>0</v>
      </c>
      <c r="M383" s="1">
        <v>0</v>
      </c>
      <c r="N383" s="1">
        <f t="shared" si="15"/>
        <v>0</v>
      </c>
      <c r="O383" s="9">
        <f t="shared" si="17"/>
        <v>0</v>
      </c>
      <c r="P383" s="1">
        <v>0</v>
      </c>
      <c r="Q383" s="1">
        <v>0</v>
      </c>
      <c r="R383" s="12">
        <v>41487</v>
      </c>
      <c r="S383" s="1">
        <v>0</v>
      </c>
      <c r="T383" s="9" t="s">
        <v>40</v>
      </c>
    </row>
    <row r="384" spans="1:20" x14ac:dyDescent="0.25">
      <c r="A384" s="10" t="s">
        <v>18</v>
      </c>
      <c r="B384" t="b">
        <v>0</v>
      </c>
      <c r="C384" t="b">
        <v>1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f t="shared" si="16"/>
        <v>0</v>
      </c>
      <c r="K384" s="1">
        <v>0</v>
      </c>
      <c r="L384" s="1">
        <v>0</v>
      </c>
      <c r="M384" s="1">
        <v>0</v>
      </c>
      <c r="N384" s="1">
        <f t="shared" si="15"/>
        <v>0</v>
      </c>
      <c r="O384" s="9">
        <f t="shared" si="17"/>
        <v>0</v>
      </c>
      <c r="P384" s="1">
        <v>0</v>
      </c>
      <c r="Q384" s="1">
        <v>0</v>
      </c>
      <c r="R384" s="12">
        <v>41518</v>
      </c>
      <c r="S384" s="1">
        <v>0</v>
      </c>
      <c r="T384" s="9" t="s">
        <v>40</v>
      </c>
    </row>
    <row r="385" spans="1:20" x14ac:dyDescent="0.25">
      <c r="A385" s="10" t="s">
        <v>18</v>
      </c>
      <c r="B385" t="b">
        <v>0</v>
      </c>
      <c r="C385" t="b">
        <v>1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f t="shared" si="16"/>
        <v>0</v>
      </c>
      <c r="K385" s="1">
        <v>0</v>
      </c>
      <c r="L385" s="1">
        <v>0</v>
      </c>
      <c r="M385" s="1">
        <v>0</v>
      </c>
      <c r="N385" s="1">
        <f t="shared" si="15"/>
        <v>0</v>
      </c>
      <c r="O385" s="9">
        <f t="shared" si="17"/>
        <v>0</v>
      </c>
      <c r="P385" s="1">
        <v>0</v>
      </c>
      <c r="Q385" s="1">
        <v>0</v>
      </c>
      <c r="R385" s="12">
        <v>41548</v>
      </c>
      <c r="S385" s="1">
        <v>0</v>
      </c>
      <c r="T385" s="9" t="s">
        <v>40</v>
      </c>
    </row>
    <row r="386" spans="1:20" x14ac:dyDescent="0.25">
      <c r="A386" s="10" t="s">
        <v>18</v>
      </c>
      <c r="B386" t="b">
        <v>0</v>
      </c>
      <c r="C386" t="b">
        <v>1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f t="shared" si="16"/>
        <v>0</v>
      </c>
      <c r="K386" s="1">
        <v>0</v>
      </c>
      <c r="L386" s="1">
        <v>0</v>
      </c>
      <c r="M386" s="1">
        <v>0</v>
      </c>
      <c r="N386" s="1">
        <f t="shared" si="15"/>
        <v>0</v>
      </c>
      <c r="O386" s="9">
        <f t="shared" si="17"/>
        <v>0</v>
      </c>
      <c r="P386" s="1">
        <v>0</v>
      </c>
      <c r="Q386" s="1">
        <v>0</v>
      </c>
      <c r="R386" s="12">
        <v>41579</v>
      </c>
      <c r="S386" s="1">
        <v>0</v>
      </c>
      <c r="T386" s="9" t="s">
        <v>40</v>
      </c>
    </row>
    <row r="387" spans="1:20" x14ac:dyDescent="0.25">
      <c r="A387" s="10" t="s">
        <v>18</v>
      </c>
      <c r="B387" t="b">
        <v>0</v>
      </c>
      <c r="C387" t="b">
        <v>1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f t="shared" si="16"/>
        <v>0</v>
      </c>
      <c r="K387" s="1">
        <v>0</v>
      </c>
      <c r="L387" s="1">
        <v>0</v>
      </c>
      <c r="M387" s="1">
        <v>0</v>
      </c>
      <c r="N387" s="1">
        <f t="shared" si="15"/>
        <v>0</v>
      </c>
      <c r="O387" s="9">
        <f t="shared" si="17"/>
        <v>0</v>
      </c>
      <c r="P387" s="1">
        <v>0</v>
      </c>
      <c r="Q387" s="1">
        <v>0</v>
      </c>
      <c r="R387" s="12">
        <v>41609</v>
      </c>
      <c r="S387" s="1">
        <v>0</v>
      </c>
      <c r="T387" s="9" t="s">
        <v>40</v>
      </c>
    </row>
    <row r="388" spans="1:20" x14ac:dyDescent="0.25">
      <c r="A388" s="10" t="s">
        <v>18</v>
      </c>
      <c r="B388" t="b">
        <v>0</v>
      </c>
      <c r="C388" t="b">
        <v>1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f t="shared" si="16"/>
        <v>0</v>
      </c>
      <c r="K388" s="1">
        <v>0</v>
      </c>
      <c r="L388" s="1">
        <v>0</v>
      </c>
      <c r="M388" s="1">
        <v>0</v>
      </c>
      <c r="N388" s="1">
        <f t="shared" si="15"/>
        <v>0</v>
      </c>
      <c r="O388" s="9">
        <f t="shared" si="17"/>
        <v>0</v>
      </c>
      <c r="P388" s="1">
        <v>0</v>
      </c>
      <c r="Q388" s="1">
        <v>0</v>
      </c>
      <c r="R388" s="12">
        <v>41640</v>
      </c>
      <c r="S388" s="1">
        <v>0</v>
      </c>
      <c r="T388" s="9" t="s">
        <v>39</v>
      </c>
    </row>
    <row r="389" spans="1:20" x14ac:dyDescent="0.25">
      <c r="A389" s="10" t="s">
        <v>18</v>
      </c>
      <c r="B389" t="b">
        <v>0</v>
      </c>
      <c r="C389" t="b">
        <v>1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f t="shared" si="16"/>
        <v>0</v>
      </c>
      <c r="K389" s="1">
        <v>0</v>
      </c>
      <c r="L389" s="1">
        <v>0</v>
      </c>
      <c r="M389" s="1">
        <v>0</v>
      </c>
      <c r="N389" s="1">
        <f t="shared" si="15"/>
        <v>0</v>
      </c>
      <c r="O389" s="9">
        <f t="shared" si="17"/>
        <v>0</v>
      </c>
      <c r="P389" s="1">
        <v>0</v>
      </c>
      <c r="Q389" s="1">
        <v>0</v>
      </c>
      <c r="R389" s="12">
        <v>41671</v>
      </c>
      <c r="S389" s="1">
        <v>0</v>
      </c>
      <c r="T389" s="9" t="s">
        <v>39</v>
      </c>
    </row>
    <row r="390" spans="1:20" x14ac:dyDescent="0.25">
      <c r="A390" s="10" t="s">
        <v>18</v>
      </c>
      <c r="B390" t="b">
        <v>0</v>
      </c>
      <c r="C390" t="b">
        <v>1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f t="shared" si="16"/>
        <v>0</v>
      </c>
      <c r="K390" s="1">
        <v>0</v>
      </c>
      <c r="L390" s="1">
        <v>0</v>
      </c>
      <c r="M390" s="1">
        <v>0</v>
      </c>
      <c r="N390" s="1">
        <f t="shared" si="15"/>
        <v>0</v>
      </c>
      <c r="O390" s="9">
        <f t="shared" si="17"/>
        <v>0</v>
      </c>
      <c r="P390" s="1">
        <v>0</v>
      </c>
      <c r="Q390" s="1">
        <v>0</v>
      </c>
      <c r="R390" s="12">
        <v>41699</v>
      </c>
      <c r="S390" s="1">
        <v>0</v>
      </c>
      <c r="T390" s="9" t="s">
        <v>39</v>
      </c>
    </row>
    <row r="391" spans="1:20" x14ac:dyDescent="0.25">
      <c r="A391" s="10" t="s">
        <v>18</v>
      </c>
      <c r="B391" t="b">
        <v>0</v>
      </c>
      <c r="C391" t="b">
        <v>1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f t="shared" si="16"/>
        <v>0</v>
      </c>
      <c r="K391" s="1">
        <v>0</v>
      </c>
      <c r="L391" s="1">
        <v>0</v>
      </c>
      <c r="M391" s="1">
        <v>0</v>
      </c>
      <c r="N391" s="1">
        <f t="shared" si="15"/>
        <v>0</v>
      </c>
      <c r="O391" s="9">
        <f t="shared" si="17"/>
        <v>0</v>
      </c>
      <c r="P391" s="1">
        <v>0</v>
      </c>
      <c r="Q391" s="1">
        <v>0</v>
      </c>
      <c r="R391" s="12">
        <v>41730</v>
      </c>
      <c r="S391" s="1">
        <v>0</v>
      </c>
      <c r="T391" s="9" t="s">
        <v>39</v>
      </c>
    </row>
    <row r="392" spans="1:20" x14ac:dyDescent="0.25">
      <c r="A392" s="10" t="s">
        <v>18</v>
      </c>
      <c r="B392" t="b">
        <v>0</v>
      </c>
      <c r="C392" t="b">
        <v>1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f t="shared" si="16"/>
        <v>0</v>
      </c>
      <c r="K392" s="1">
        <v>0</v>
      </c>
      <c r="L392" s="1">
        <v>0</v>
      </c>
      <c r="M392" s="1">
        <v>0</v>
      </c>
      <c r="N392" s="1">
        <f t="shared" si="15"/>
        <v>0</v>
      </c>
      <c r="O392" s="9">
        <f t="shared" si="17"/>
        <v>0</v>
      </c>
      <c r="P392" s="1">
        <v>0</v>
      </c>
      <c r="Q392" s="1">
        <v>0</v>
      </c>
      <c r="R392" s="12">
        <v>41760</v>
      </c>
      <c r="S392" s="1">
        <v>0</v>
      </c>
      <c r="T392" s="9" t="s">
        <v>39</v>
      </c>
    </row>
    <row r="393" spans="1:20" x14ac:dyDescent="0.25">
      <c r="A393" s="10" t="s">
        <v>18</v>
      </c>
      <c r="B393" t="b">
        <v>0</v>
      </c>
      <c r="C393" t="b">
        <v>1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f t="shared" si="16"/>
        <v>0</v>
      </c>
      <c r="K393" s="1">
        <v>0</v>
      </c>
      <c r="L393" s="1">
        <v>0</v>
      </c>
      <c r="M393" s="1">
        <v>0</v>
      </c>
      <c r="N393" s="1">
        <f t="shared" si="15"/>
        <v>0</v>
      </c>
      <c r="O393" s="9">
        <f t="shared" si="17"/>
        <v>0</v>
      </c>
      <c r="P393" s="1">
        <v>0</v>
      </c>
      <c r="Q393" s="1">
        <v>0</v>
      </c>
      <c r="R393" s="12">
        <v>41791</v>
      </c>
      <c r="S393" s="1">
        <v>0</v>
      </c>
      <c r="T393" s="9" t="s">
        <v>39</v>
      </c>
    </row>
    <row r="394" spans="1:20" x14ac:dyDescent="0.25">
      <c r="A394" s="10" t="s">
        <v>18</v>
      </c>
      <c r="B394" t="b">
        <v>0</v>
      </c>
      <c r="C394" t="b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f t="shared" si="16"/>
        <v>0</v>
      </c>
      <c r="K394" s="1">
        <v>0</v>
      </c>
      <c r="L394" s="1">
        <v>0</v>
      </c>
      <c r="M394" s="1">
        <v>0</v>
      </c>
      <c r="N394" s="1">
        <f t="shared" ref="N394:N457" si="18">K394+L394+M394</f>
        <v>0</v>
      </c>
      <c r="O394" s="9">
        <f t="shared" si="17"/>
        <v>0</v>
      </c>
      <c r="P394" s="1">
        <v>0</v>
      </c>
      <c r="Q394" s="1">
        <v>0</v>
      </c>
      <c r="R394" s="12">
        <v>41821</v>
      </c>
      <c r="S394" s="1">
        <v>0</v>
      </c>
      <c r="T394" s="9" t="s">
        <v>39</v>
      </c>
    </row>
    <row r="395" spans="1:20" x14ac:dyDescent="0.25">
      <c r="A395" s="10" t="s">
        <v>18</v>
      </c>
      <c r="B395" t="b">
        <v>0</v>
      </c>
      <c r="C395" t="b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f t="shared" si="16"/>
        <v>0</v>
      </c>
      <c r="K395" s="1">
        <v>0</v>
      </c>
      <c r="L395" s="1">
        <v>0</v>
      </c>
      <c r="M395" s="1">
        <v>0</v>
      </c>
      <c r="N395" s="1">
        <f t="shared" si="18"/>
        <v>0</v>
      </c>
      <c r="O395" s="9">
        <f t="shared" si="17"/>
        <v>0</v>
      </c>
      <c r="P395" s="1">
        <v>0</v>
      </c>
      <c r="Q395" s="1">
        <v>0</v>
      </c>
      <c r="R395" s="12">
        <v>41852</v>
      </c>
      <c r="S395" s="1">
        <v>0</v>
      </c>
      <c r="T395" s="9" t="s">
        <v>39</v>
      </c>
    </row>
    <row r="396" spans="1:20" x14ac:dyDescent="0.25">
      <c r="A396" s="10" t="s">
        <v>18</v>
      </c>
      <c r="B396" t="b">
        <v>0</v>
      </c>
      <c r="C396" t="b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f t="shared" si="16"/>
        <v>0</v>
      </c>
      <c r="K396" s="1">
        <v>0</v>
      </c>
      <c r="L396" s="1">
        <v>0</v>
      </c>
      <c r="M396" s="1">
        <v>0</v>
      </c>
      <c r="N396" s="1">
        <f t="shared" si="18"/>
        <v>0</v>
      </c>
      <c r="O396" s="9">
        <f t="shared" si="17"/>
        <v>0</v>
      </c>
      <c r="P396" s="1">
        <v>0</v>
      </c>
      <c r="Q396" s="1">
        <v>0</v>
      </c>
      <c r="R396" s="12">
        <v>41883</v>
      </c>
      <c r="S396" s="1">
        <v>0</v>
      </c>
      <c r="T396" s="9" t="s">
        <v>39</v>
      </c>
    </row>
    <row r="397" spans="1:20" x14ac:dyDescent="0.25">
      <c r="A397" s="10" t="s">
        <v>18</v>
      </c>
      <c r="B397" t="b">
        <v>0</v>
      </c>
      <c r="C397" t="b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f t="shared" si="16"/>
        <v>0</v>
      </c>
      <c r="K397" s="1">
        <v>0</v>
      </c>
      <c r="L397" s="1">
        <v>0</v>
      </c>
      <c r="M397" s="1">
        <v>0</v>
      </c>
      <c r="N397" s="1">
        <f t="shared" si="18"/>
        <v>0</v>
      </c>
      <c r="O397" s="9">
        <f t="shared" si="17"/>
        <v>0</v>
      </c>
      <c r="P397" s="1">
        <v>0</v>
      </c>
      <c r="Q397" s="1">
        <v>0</v>
      </c>
      <c r="R397" s="12">
        <v>41913</v>
      </c>
      <c r="S397" s="1">
        <v>0</v>
      </c>
      <c r="T397" s="9" t="s">
        <v>39</v>
      </c>
    </row>
    <row r="398" spans="1:20" x14ac:dyDescent="0.25">
      <c r="A398" s="10" t="s">
        <v>18</v>
      </c>
      <c r="B398" t="b">
        <v>0</v>
      </c>
      <c r="C398" t="b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f t="shared" si="16"/>
        <v>0</v>
      </c>
      <c r="K398" s="1">
        <v>0</v>
      </c>
      <c r="L398" s="1">
        <v>0</v>
      </c>
      <c r="M398" s="1">
        <v>0</v>
      </c>
      <c r="N398" s="1">
        <f t="shared" si="18"/>
        <v>0</v>
      </c>
      <c r="O398" s="9">
        <f t="shared" si="17"/>
        <v>0</v>
      </c>
      <c r="P398" s="1">
        <v>0</v>
      </c>
      <c r="Q398" s="1">
        <v>0</v>
      </c>
      <c r="R398" s="12">
        <v>41944</v>
      </c>
      <c r="S398" s="1">
        <v>0</v>
      </c>
      <c r="T398" s="9" t="s">
        <v>39</v>
      </c>
    </row>
    <row r="399" spans="1:20" x14ac:dyDescent="0.25">
      <c r="A399" s="10" t="s">
        <v>18</v>
      </c>
      <c r="B399" t="b">
        <v>0</v>
      </c>
      <c r="C399" t="b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f t="shared" si="16"/>
        <v>0</v>
      </c>
      <c r="K399" s="1">
        <v>0</v>
      </c>
      <c r="L399" s="1">
        <v>0</v>
      </c>
      <c r="M399" s="1">
        <v>0</v>
      </c>
      <c r="N399" s="1">
        <f t="shared" si="18"/>
        <v>0</v>
      </c>
      <c r="O399" s="9">
        <f t="shared" si="17"/>
        <v>0</v>
      </c>
      <c r="P399" s="1">
        <v>0</v>
      </c>
      <c r="Q399" s="1">
        <v>0</v>
      </c>
      <c r="R399" s="12">
        <v>41974</v>
      </c>
      <c r="S399" s="1">
        <v>0</v>
      </c>
      <c r="T399" s="9" t="s">
        <v>39</v>
      </c>
    </row>
    <row r="400" spans="1:20" x14ac:dyDescent="0.25">
      <c r="A400" s="10" t="s">
        <v>18</v>
      </c>
      <c r="B400" t="b">
        <v>0</v>
      </c>
      <c r="C400" t="b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f t="shared" si="16"/>
        <v>0</v>
      </c>
      <c r="K400" s="1">
        <v>0</v>
      </c>
      <c r="L400" s="1">
        <v>0</v>
      </c>
      <c r="M400" s="1">
        <v>0</v>
      </c>
      <c r="N400" s="1">
        <f t="shared" si="18"/>
        <v>0</v>
      </c>
      <c r="O400" s="9">
        <f t="shared" si="17"/>
        <v>0</v>
      </c>
      <c r="P400" s="1">
        <v>0</v>
      </c>
      <c r="Q400" s="1">
        <v>0</v>
      </c>
      <c r="R400" s="12">
        <v>42005</v>
      </c>
      <c r="S400" s="1">
        <v>0</v>
      </c>
      <c r="T400" s="9" t="s">
        <v>39</v>
      </c>
    </row>
    <row r="401" spans="1:20" x14ac:dyDescent="0.25">
      <c r="A401" s="10" t="s">
        <v>18</v>
      </c>
      <c r="B401" t="b">
        <v>0</v>
      </c>
      <c r="C401" t="b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f t="shared" si="16"/>
        <v>0</v>
      </c>
      <c r="K401" s="1">
        <v>0</v>
      </c>
      <c r="L401" s="1">
        <v>0</v>
      </c>
      <c r="M401" s="1">
        <v>0</v>
      </c>
      <c r="N401" s="1">
        <f t="shared" si="18"/>
        <v>0</v>
      </c>
      <c r="O401" s="9">
        <f t="shared" si="17"/>
        <v>0</v>
      </c>
      <c r="P401" s="1">
        <v>0</v>
      </c>
      <c r="Q401" s="1">
        <v>0</v>
      </c>
      <c r="R401" s="12">
        <v>42036</v>
      </c>
      <c r="S401" s="1">
        <v>0</v>
      </c>
      <c r="T401" s="9" t="s">
        <v>39</v>
      </c>
    </row>
    <row r="402" spans="1:20" x14ac:dyDescent="0.25">
      <c r="A402" s="10" t="s">
        <v>18</v>
      </c>
      <c r="B402" t="b">
        <v>0</v>
      </c>
      <c r="C402" t="b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f t="shared" si="16"/>
        <v>0</v>
      </c>
      <c r="K402" s="1">
        <v>0</v>
      </c>
      <c r="L402" s="1">
        <v>0</v>
      </c>
      <c r="M402" s="1">
        <v>0</v>
      </c>
      <c r="N402" s="1">
        <f t="shared" si="18"/>
        <v>0</v>
      </c>
      <c r="O402" s="9">
        <f t="shared" si="17"/>
        <v>0</v>
      </c>
      <c r="P402" s="1">
        <v>0</v>
      </c>
      <c r="Q402" s="1">
        <v>0</v>
      </c>
      <c r="R402" s="12">
        <v>42064</v>
      </c>
      <c r="S402" s="1">
        <v>0</v>
      </c>
      <c r="T402" s="9" t="s">
        <v>39</v>
      </c>
    </row>
    <row r="403" spans="1:20" x14ac:dyDescent="0.25">
      <c r="A403" s="10" t="s">
        <v>18</v>
      </c>
      <c r="B403" t="b">
        <v>0</v>
      </c>
      <c r="C403" t="b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f t="shared" si="16"/>
        <v>0</v>
      </c>
      <c r="K403" s="1">
        <v>0</v>
      </c>
      <c r="L403" s="1">
        <v>0</v>
      </c>
      <c r="M403" s="1">
        <v>0</v>
      </c>
      <c r="N403" s="1">
        <f t="shared" si="18"/>
        <v>0</v>
      </c>
      <c r="O403" s="9">
        <f t="shared" si="17"/>
        <v>0</v>
      </c>
      <c r="P403" s="1">
        <v>0</v>
      </c>
      <c r="Q403" s="1">
        <v>0</v>
      </c>
      <c r="R403" s="12">
        <v>42095</v>
      </c>
      <c r="S403" s="1">
        <v>0</v>
      </c>
      <c r="T403" s="9" t="s">
        <v>39</v>
      </c>
    </row>
    <row r="404" spans="1:20" x14ac:dyDescent="0.25">
      <c r="A404" s="10" t="s">
        <v>18</v>
      </c>
      <c r="B404" t="b">
        <v>0</v>
      </c>
      <c r="C404" t="b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f t="shared" si="16"/>
        <v>0</v>
      </c>
      <c r="K404" s="1">
        <v>0</v>
      </c>
      <c r="L404" s="1">
        <v>0</v>
      </c>
      <c r="M404" s="1">
        <v>0</v>
      </c>
      <c r="N404" s="1">
        <f t="shared" si="18"/>
        <v>0</v>
      </c>
      <c r="O404" s="9">
        <f t="shared" si="17"/>
        <v>0</v>
      </c>
      <c r="P404" s="1">
        <v>0</v>
      </c>
      <c r="Q404" s="1">
        <v>0</v>
      </c>
      <c r="R404" s="12">
        <v>42125</v>
      </c>
      <c r="S404" s="1">
        <v>0</v>
      </c>
      <c r="T404" s="9" t="s">
        <v>39</v>
      </c>
    </row>
    <row r="405" spans="1:20" x14ac:dyDescent="0.25">
      <c r="A405" s="10" t="s">
        <v>18</v>
      </c>
      <c r="B405" t="b">
        <v>0</v>
      </c>
      <c r="C405" t="b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f t="shared" si="16"/>
        <v>0</v>
      </c>
      <c r="K405" s="1">
        <v>0</v>
      </c>
      <c r="L405" s="1">
        <v>0</v>
      </c>
      <c r="M405" s="1">
        <v>0</v>
      </c>
      <c r="N405" s="1">
        <f t="shared" si="18"/>
        <v>0</v>
      </c>
      <c r="O405" s="9">
        <f t="shared" si="17"/>
        <v>0</v>
      </c>
      <c r="P405" s="1">
        <v>0</v>
      </c>
      <c r="Q405" s="1">
        <v>0</v>
      </c>
      <c r="R405" s="12">
        <v>42156</v>
      </c>
      <c r="S405" s="1">
        <v>0</v>
      </c>
      <c r="T405" s="9" t="s">
        <v>39</v>
      </c>
    </row>
    <row r="406" spans="1:20" x14ac:dyDescent="0.25">
      <c r="A406" s="10" t="s">
        <v>18</v>
      </c>
      <c r="B406" t="b">
        <v>0</v>
      </c>
      <c r="C406" t="b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f t="shared" si="16"/>
        <v>0</v>
      </c>
      <c r="K406" s="1">
        <v>0</v>
      </c>
      <c r="L406" s="1">
        <v>0</v>
      </c>
      <c r="M406" s="1">
        <v>0</v>
      </c>
      <c r="N406" s="1">
        <f t="shared" si="18"/>
        <v>0</v>
      </c>
      <c r="O406" s="9">
        <f t="shared" si="17"/>
        <v>0</v>
      </c>
      <c r="P406" s="1">
        <v>0</v>
      </c>
      <c r="Q406" s="1">
        <v>0</v>
      </c>
      <c r="R406" s="12">
        <v>42186</v>
      </c>
      <c r="S406" s="1">
        <v>0</v>
      </c>
      <c r="T406" s="9" t="s">
        <v>39</v>
      </c>
    </row>
    <row r="407" spans="1:20" x14ac:dyDescent="0.25">
      <c r="A407" s="10" t="s">
        <v>18</v>
      </c>
      <c r="B407" t="b">
        <v>0</v>
      </c>
      <c r="C407" t="b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f t="shared" si="16"/>
        <v>0</v>
      </c>
      <c r="K407" s="1">
        <v>0</v>
      </c>
      <c r="L407" s="1">
        <v>0</v>
      </c>
      <c r="M407" s="1">
        <v>0</v>
      </c>
      <c r="N407" s="1">
        <f t="shared" si="18"/>
        <v>0</v>
      </c>
      <c r="O407" s="9">
        <f t="shared" si="17"/>
        <v>0</v>
      </c>
      <c r="P407" s="1">
        <v>0</v>
      </c>
      <c r="Q407" s="1">
        <v>0</v>
      </c>
      <c r="R407" s="12">
        <v>42217</v>
      </c>
      <c r="S407" s="1">
        <v>0</v>
      </c>
      <c r="T407" s="9" t="s">
        <v>39</v>
      </c>
    </row>
    <row r="408" spans="1:20" x14ac:dyDescent="0.25">
      <c r="A408" s="10" t="s">
        <v>18</v>
      </c>
      <c r="B408" t="b">
        <v>0</v>
      </c>
      <c r="C408" t="b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f t="shared" si="16"/>
        <v>0</v>
      </c>
      <c r="K408" s="1">
        <v>0</v>
      </c>
      <c r="L408" s="1">
        <v>0</v>
      </c>
      <c r="M408" s="1">
        <v>0</v>
      </c>
      <c r="N408" s="1">
        <f t="shared" si="18"/>
        <v>0</v>
      </c>
      <c r="O408" s="9">
        <f t="shared" si="17"/>
        <v>0</v>
      </c>
      <c r="P408" s="1">
        <v>0</v>
      </c>
      <c r="Q408" s="1">
        <v>0</v>
      </c>
      <c r="R408" s="12">
        <v>42248</v>
      </c>
      <c r="S408" s="1">
        <v>0</v>
      </c>
      <c r="T408" s="9" t="s">
        <v>39</v>
      </c>
    </row>
    <row r="409" spans="1:20" x14ac:dyDescent="0.25">
      <c r="A409" s="10" t="s">
        <v>18</v>
      </c>
      <c r="B409" t="b">
        <v>0</v>
      </c>
      <c r="C409" t="b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f t="shared" si="16"/>
        <v>0</v>
      </c>
      <c r="K409" s="1">
        <v>0</v>
      </c>
      <c r="L409" s="1">
        <v>0</v>
      </c>
      <c r="M409" s="1">
        <v>0</v>
      </c>
      <c r="N409" s="1">
        <f t="shared" si="18"/>
        <v>0</v>
      </c>
      <c r="O409" s="9">
        <f t="shared" si="17"/>
        <v>0</v>
      </c>
      <c r="P409" s="1">
        <v>0</v>
      </c>
      <c r="Q409" s="1">
        <v>0</v>
      </c>
      <c r="R409" s="12">
        <v>42278</v>
      </c>
      <c r="S409" s="1">
        <v>0</v>
      </c>
      <c r="T409" s="9" t="s">
        <v>39</v>
      </c>
    </row>
    <row r="410" spans="1:20" x14ac:dyDescent="0.25">
      <c r="A410" s="10" t="s">
        <v>18</v>
      </c>
      <c r="B410" t="b">
        <v>0</v>
      </c>
      <c r="C410" t="b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f t="shared" si="16"/>
        <v>0</v>
      </c>
      <c r="K410" s="1">
        <v>0</v>
      </c>
      <c r="L410" s="1">
        <v>0</v>
      </c>
      <c r="M410" s="1">
        <v>0</v>
      </c>
      <c r="N410" s="1">
        <f t="shared" si="18"/>
        <v>0</v>
      </c>
      <c r="O410" s="9">
        <f t="shared" si="17"/>
        <v>0</v>
      </c>
      <c r="P410" s="1">
        <v>0</v>
      </c>
      <c r="Q410" s="1">
        <v>0</v>
      </c>
      <c r="R410" s="12">
        <v>42309</v>
      </c>
      <c r="S410" s="1">
        <v>0</v>
      </c>
      <c r="T410" s="9" t="s">
        <v>39</v>
      </c>
    </row>
    <row r="411" spans="1:20" x14ac:dyDescent="0.25">
      <c r="A411" s="10" t="s">
        <v>18</v>
      </c>
      <c r="B411" t="b">
        <v>0</v>
      </c>
      <c r="C411" t="b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f t="shared" si="16"/>
        <v>0</v>
      </c>
      <c r="K411" s="1">
        <v>0</v>
      </c>
      <c r="L411" s="1">
        <v>0</v>
      </c>
      <c r="M411" s="1">
        <v>0</v>
      </c>
      <c r="N411" s="1">
        <f t="shared" si="18"/>
        <v>0</v>
      </c>
      <c r="O411" s="9">
        <f t="shared" si="17"/>
        <v>0</v>
      </c>
      <c r="P411" s="1">
        <v>0</v>
      </c>
      <c r="Q411" s="1">
        <v>0</v>
      </c>
      <c r="R411" s="12">
        <v>42339</v>
      </c>
      <c r="S411" s="1">
        <v>0</v>
      </c>
      <c r="T411" s="9" t="s">
        <v>39</v>
      </c>
    </row>
    <row r="412" spans="1:20" x14ac:dyDescent="0.25">
      <c r="A412" s="10" t="s">
        <v>18</v>
      </c>
      <c r="B412" t="b">
        <v>0</v>
      </c>
      <c r="C412" t="b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f t="shared" si="16"/>
        <v>0</v>
      </c>
      <c r="K412" s="1">
        <v>0</v>
      </c>
      <c r="L412" s="1">
        <v>0</v>
      </c>
      <c r="M412" s="1">
        <v>0</v>
      </c>
      <c r="N412" s="1">
        <f t="shared" si="18"/>
        <v>0</v>
      </c>
      <c r="O412" s="9">
        <f t="shared" si="17"/>
        <v>0</v>
      </c>
      <c r="P412" s="1">
        <v>0</v>
      </c>
      <c r="Q412" s="1">
        <v>0</v>
      </c>
      <c r="R412" s="12">
        <v>42370</v>
      </c>
      <c r="S412" s="1">
        <v>0</v>
      </c>
      <c r="T412" s="9" t="s">
        <v>46</v>
      </c>
    </row>
    <row r="413" spans="1:20" x14ac:dyDescent="0.25">
      <c r="A413" s="10" t="s">
        <v>18</v>
      </c>
      <c r="B413" t="b">
        <v>0</v>
      </c>
      <c r="C413" t="b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f t="shared" si="16"/>
        <v>0</v>
      </c>
      <c r="K413" s="1">
        <v>0</v>
      </c>
      <c r="L413" s="1">
        <v>0</v>
      </c>
      <c r="M413" s="1">
        <v>0</v>
      </c>
      <c r="N413" s="1">
        <f t="shared" si="18"/>
        <v>0</v>
      </c>
      <c r="O413" s="9">
        <f t="shared" si="17"/>
        <v>0</v>
      </c>
      <c r="P413" s="1">
        <v>0</v>
      </c>
      <c r="Q413" s="1">
        <v>0</v>
      </c>
      <c r="R413" s="12">
        <v>42401</v>
      </c>
      <c r="S413" s="1">
        <v>0</v>
      </c>
      <c r="T413" s="9" t="s">
        <v>46</v>
      </c>
    </row>
    <row r="414" spans="1:20" x14ac:dyDescent="0.25">
      <c r="A414" s="10" t="s">
        <v>18</v>
      </c>
      <c r="B414" t="b">
        <v>0</v>
      </c>
      <c r="C414" t="b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f t="shared" si="16"/>
        <v>0</v>
      </c>
      <c r="K414" s="1">
        <v>0</v>
      </c>
      <c r="L414" s="1">
        <v>0</v>
      </c>
      <c r="M414" s="1">
        <v>0</v>
      </c>
      <c r="N414" s="1">
        <f t="shared" si="18"/>
        <v>0</v>
      </c>
      <c r="O414" s="9">
        <f t="shared" si="17"/>
        <v>0</v>
      </c>
      <c r="P414" s="1">
        <v>0</v>
      </c>
      <c r="Q414" s="1">
        <v>0</v>
      </c>
      <c r="R414" s="12">
        <v>42430</v>
      </c>
      <c r="S414" s="1">
        <v>0</v>
      </c>
      <c r="T414" s="9" t="s">
        <v>46</v>
      </c>
    </row>
    <row r="415" spans="1:20" x14ac:dyDescent="0.25">
      <c r="A415" s="10" t="s">
        <v>18</v>
      </c>
      <c r="B415" t="b">
        <v>0</v>
      </c>
      <c r="C415" t="b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f t="shared" si="16"/>
        <v>0</v>
      </c>
      <c r="K415" s="1">
        <v>0</v>
      </c>
      <c r="L415" s="1">
        <v>0</v>
      </c>
      <c r="M415" s="1">
        <v>0</v>
      </c>
      <c r="N415" s="1">
        <f t="shared" si="18"/>
        <v>0</v>
      </c>
      <c r="O415" s="9">
        <f t="shared" si="17"/>
        <v>0</v>
      </c>
      <c r="P415" s="1">
        <v>0</v>
      </c>
      <c r="Q415" s="1">
        <v>0</v>
      </c>
      <c r="R415" s="12">
        <v>42461</v>
      </c>
      <c r="S415" s="1">
        <v>0</v>
      </c>
      <c r="T415" s="9" t="s">
        <v>46</v>
      </c>
    </row>
    <row r="416" spans="1:20" x14ac:dyDescent="0.25">
      <c r="A416" s="10" t="s">
        <v>18</v>
      </c>
      <c r="B416" t="b">
        <v>0</v>
      </c>
      <c r="C416" t="b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f t="shared" si="16"/>
        <v>0</v>
      </c>
      <c r="K416" s="1">
        <v>0</v>
      </c>
      <c r="L416" s="1">
        <v>0</v>
      </c>
      <c r="M416" s="1">
        <v>0</v>
      </c>
      <c r="N416" s="1">
        <f t="shared" si="18"/>
        <v>0</v>
      </c>
      <c r="O416" s="9">
        <f t="shared" si="17"/>
        <v>0</v>
      </c>
      <c r="P416" s="1">
        <v>0</v>
      </c>
      <c r="Q416" s="1">
        <v>0</v>
      </c>
      <c r="R416" s="12">
        <v>42491</v>
      </c>
      <c r="S416" s="1">
        <v>0</v>
      </c>
      <c r="T416" s="9" t="s">
        <v>46</v>
      </c>
    </row>
    <row r="417" spans="1:20" x14ac:dyDescent="0.25">
      <c r="A417" s="10" t="s">
        <v>18</v>
      </c>
      <c r="B417" t="b">
        <v>0</v>
      </c>
      <c r="C417" t="b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f t="shared" si="16"/>
        <v>0</v>
      </c>
      <c r="K417" s="1">
        <v>0</v>
      </c>
      <c r="L417" s="1">
        <v>0</v>
      </c>
      <c r="M417" s="1">
        <v>0</v>
      </c>
      <c r="N417" s="1">
        <f t="shared" si="18"/>
        <v>0</v>
      </c>
      <c r="O417" s="9">
        <f t="shared" si="17"/>
        <v>0</v>
      </c>
      <c r="P417" s="1">
        <v>0</v>
      </c>
      <c r="Q417" s="1">
        <v>0</v>
      </c>
      <c r="R417" s="12">
        <v>42522</v>
      </c>
      <c r="S417" s="1">
        <v>0</v>
      </c>
      <c r="T417" s="9" t="s">
        <v>46</v>
      </c>
    </row>
    <row r="418" spans="1:20" x14ac:dyDescent="0.25">
      <c r="A418" s="10" t="s">
        <v>18</v>
      </c>
      <c r="B418" t="b">
        <v>0</v>
      </c>
      <c r="C418" t="b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f t="shared" si="16"/>
        <v>0</v>
      </c>
      <c r="K418" s="1">
        <v>0</v>
      </c>
      <c r="L418" s="1">
        <v>0</v>
      </c>
      <c r="M418" s="1">
        <v>0</v>
      </c>
      <c r="N418" s="1">
        <f t="shared" si="18"/>
        <v>0</v>
      </c>
      <c r="O418" s="9">
        <f t="shared" si="17"/>
        <v>0</v>
      </c>
      <c r="P418" s="1">
        <v>0</v>
      </c>
      <c r="Q418" s="1">
        <v>0</v>
      </c>
      <c r="R418" s="12">
        <v>42552</v>
      </c>
      <c r="S418" s="1">
        <v>0</v>
      </c>
      <c r="T418" s="9" t="s">
        <v>46</v>
      </c>
    </row>
    <row r="419" spans="1:20" x14ac:dyDescent="0.25">
      <c r="A419" s="10" t="s">
        <v>18</v>
      </c>
      <c r="B419" t="b">
        <v>0</v>
      </c>
      <c r="C419" t="b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f t="shared" si="16"/>
        <v>0</v>
      </c>
      <c r="K419" s="1">
        <v>0</v>
      </c>
      <c r="L419" s="1">
        <v>0</v>
      </c>
      <c r="M419" s="1">
        <v>0</v>
      </c>
      <c r="N419" s="1">
        <f t="shared" si="18"/>
        <v>0</v>
      </c>
      <c r="O419" s="9">
        <f t="shared" si="17"/>
        <v>0</v>
      </c>
      <c r="P419" s="1">
        <v>0</v>
      </c>
      <c r="Q419" s="1">
        <v>0</v>
      </c>
      <c r="R419" s="12">
        <v>42583</v>
      </c>
      <c r="S419" s="1">
        <v>0</v>
      </c>
      <c r="T419" s="9" t="s">
        <v>46</v>
      </c>
    </row>
    <row r="420" spans="1:20" x14ac:dyDescent="0.25">
      <c r="A420" s="10" t="s">
        <v>18</v>
      </c>
      <c r="B420" t="b">
        <v>0</v>
      </c>
      <c r="C420" t="b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f t="shared" si="16"/>
        <v>0</v>
      </c>
      <c r="K420" s="1">
        <v>0</v>
      </c>
      <c r="L420" s="1">
        <v>0</v>
      </c>
      <c r="M420" s="1">
        <v>0</v>
      </c>
      <c r="N420" s="1">
        <f t="shared" si="18"/>
        <v>0</v>
      </c>
      <c r="O420" s="9">
        <f t="shared" si="17"/>
        <v>0</v>
      </c>
      <c r="P420" s="1">
        <v>0</v>
      </c>
      <c r="Q420" s="1">
        <v>0</v>
      </c>
      <c r="R420" s="12">
        <v>42614</v>
      </c>
      <c r="S420" s="1">
        <v>0</v>
      </c>
      <c r="T420" s="9" t="s">
        <v>46</v>
      </c>
    </row>
    <row r="421" spans="1:20" x14ac:dyDescent="0.25">
      <c r="A421" s="10" t="s">
        <v>18</v>
      </c>
      <c r="B421" t="b">
        <v>0</v>
      </c>
      <c r="C421" t="b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f t="shared" si="16"/>
        <v>0</v>
      </c>
      <c r="K421" s="1">
        <v>0</v>
      </c>
      <c r="L421" s="1">
        <v>0</v>
      </c>
      <c r="M421" s="1">
        <v>0</v>
      </c>
      <c r="N421" s="1">
        <f t="shared" si="18"/>
        <v>0</v>
      </c>
      <c r="O421" s="9">
        <f t="shared" si="17"/>
        <v>0</v>
      </c>
      <c r="P421" s="1">
        <v>0</v>
      </c>
      <c r="Q421" s="1">
        <v>0</v>
      </c>
      <c r="R421" s="12">
        <v>42644</v>
      </c>
      <c r="S421" s="1">
        <v>0</v>
      </c>
      <c r="T421" s="9" t="s">
        <v>46</v>
      </c>
    </row>
    <row r="422" spans="1:20" x14ac:dyDescent="0.25">
      <c r="A422" s="10" t="s">
        <v>18</v>
      </c>
      <c r="B422" t="b">
        <v>0</v>
      </c>
      <c r="C422" t="b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f t="shared" si="16"/>
        <v>0</v>
      </c>
      <c r="K422" s="1">
        <v>0</v>
      </c>
      <c r="L422" s="1">
        <v>0</v>
      </c>
      <c r="M422" s="1">
        <v>0</v>
      </c>
      <c r="N422" s="1">
        <f t="shared" si="18"/>
        <v>0</v>
      </c>
      <c r="O422" s="9">
        <f t="shared" si="17"/>
        <v>0</v>
      </c>
      <c r="P422" s="1">
        <v>0</v>
      </c>
      <c r="Q422" s="1">
        <v>0</v>
      </c>
      <c r="R422" s="12">
        <v>42675</v>
      </c>
      <c r="S422" s="1">
        <v>0</v>
      </c>
      <c r="T422" s="9" t="s">
        <v>46</v>
      </c>
    </row>
    <row r="423" spans="1:20" x14ac:dyDescent="0.25">
      <c r="A423" s="10" t="s">
        <v>18</v>
      </c>
      <c r="B423" t="b">
        <v>0</v>
      </c>
      <c r="C423" t="b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f t="shared" si="16"/>
        <v>0</v>
      </c>
      <c r="K423" s="1">
        <v>0</v>
      </c>
      <c r="L423" s="1">
        <v>0</v>
      </c>
      <c r="M423" s="1">
        <v>0</v>
      </c>
      <c r="N423" s="1">
        <f t="shared" si="18"/>
        <v>0</v>
      </c>
      <c r="O423" s="9">
        <f t="shared" si="17"/>
        <v>0</v>
      </c>
      <c r="P423" s="1">
        <v>0</v>
      </c>
      <c r="Q423" s="1">
        <v>0</v>
      </c>
      <c r="R423" s="12">
        <v>42705</v>
      </c>
      <c r="S423" s="1">
        <v>0</v>
      </c>
      <c r="T423" s="9" t="s">
        <v>46</v>
      </c>
    </row>
    <row r="424" spans="1:20" x14ac:dyDescent="0.25">
      <c r="A424" s="10" t="s">
        <v>18</v>
      </c>
      <c r="B424" t="b">
        <v>0</v>
      </c>
      <c r="C424" t="b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f t="shared" si="16"/>
        <v>0</v>
      </c>
      <c r="K424" s="1">
        <v>0</v>
      </c>
      <c r="L424" s="1">
        <v>0</v>
      </c>
      <c r="M424" s="1">
        <v>0</v>
      </c>
      <c r="N424" s="1">
        <f t="shared" si="18"/>
        <v>0</v>
      </c>
      <c r="O424" s="9">
        <f t="shared" si="17"/>
        <v>0</v>
      </c>
      <c r="P424" s="1">
        <v>0</v>
      </c>
      <c r="Q424" s="1">
        <v>0</v>
      </c>
      <c r="R424" s="12">
        <v>42736</v>
      </c>
      <c r="S424" s="1">
        <v>0</v>
      </c>
      <c r="T424" s="9" t="s">
        <v>21</v>
      </c>
    </row>
    <row r="425" spans="1:20" x14ac:dyDescent="0.25">
      <c r="A425" s="10" t="s">
        <v>18</v>
      </c>
      <c r="B425" t="b">
        <v>0</v>
      </c>
      <c r="C425" t="b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f t="shared" si="16"/>
        <v>0</v>
      </c>
      <c r="K425" s="1">
        <v>0</v>
      </c>
      <c r="L425" s="1">
        <v>0</v>
      </c>
      <c r="M425" s="1">
        <v>0</v>
      </c>
      <c r="N425" s="1">
        <f t="shared" si="18"/>
        <v>0</v>
      </c>
      <c r="O425" s="9">
        <f t="shared" si="17"/>
        <v>0</v>
      </c>
      <c r="P425" s="1">
        <v>0</v>
      </c>
      <c r="Q425" s="1">
        <v>0</v>
      </c>
      <c r="R425" s="12">
        <v>42767</v>
      </c>
      <c r="S425" s="1">
        <v>0</v>
      </c>
      <c r="T425" s="9" t="s">
        <v>21</v>
      </c>
    </row>
    <row r="426" spans="1:20" x14ac:dyDescent="0.25">
      <c r="A426" s="10" t="s">
        <v>18</v>
      </c>
      <c r="B426" t="b">
        <v>0</v>
      </c>
      <c r="C426" t="b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f t="shared" si="16"/>
        <v>0</v>
      </c>
      <c r="K426" s="1">
        <v>0</v>
      </c>
      <c r="L426" s="1">
        <v>0</v>
      </c>
      <c r="M426" s="1">
        <v>0</v>
      </c>
      <c r="N426" s="1">
        <f t="shared" si="18"/>
        <v>0</v>
      </c>
      <c r="O426" s="9">
        <f t="shared" si="17"/>
        <v>0</v>
      </c>
      <c r="P426" s="1">
        <v>0</v>
      </c>
      <c r="Q426" s="1">
        <v>0</v>
      </c>
      <c r="R426" s="12">
        <v>42795</v>
      </c>
      <c r="S426" s="1">
        <v>0</v>
      </c>
      <c r="T426" s="9" t="s">
        <v>21</v>
      </c>
    </row>
    <row r="427" spans="1:20" x14ac:dyDescent="0.25">
      <c r="A427" s="10" t="s">
        <v>18</v>
      </c>
      <c r="B427" t="b">
        <v>0</v>
      </c>
      <c r="C427" t="b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f t="shared" si="16"/>
        <v>0</v>
      </c>
      <c r="K427" s="1">
        <v>0</v>
      </c>
      <c r="L427" s="1">
        <v>0</v>
      </c>
      <c r="M427" s="1">
        <v>0</v>
      </c>
      <c r="N427" s="1">
        <f t="shared" si="18"/>
        <v>0</v>
      </c>
      <c r="O427" s="9">
        <f t="shared" si="17"/>
        <v>0</v>
      </c>
      <c r="P427" s="1">
        <v>0</v>
      </c>
      <c r="Q427" s="1">
        <v>0</v>
      </c>
      <c r="R427" s="12">
        <v>42826</v>
      </c>
      <c r="S427" s="1">
        <v>0</v>
      </c>
      <c r="T427" s="9" t="s">
        <v>21</v>
      </c>
    </row>
    <row r="428" spans="1:20" x14ac:dyDescent="0.25">
      <c r="A428" s="10" t="s">
        <v>18</v>
      </c>
      <c r="B428" t="b">
        <v>0</v>
      </c>
      <c r="C428" t="b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f t="shared" si="16"/>
        <v>0</v>
      </c>
      <c r="K428" s="1">
        <v>0</v>
      </c>
      <c r="L428" s="1">
        <v>0</v>
      </c>
      <c r="M428" s="1">
        <v>0</v>
      </c>
      <c r="N428" s="1">
        <f t="shared" si="18"/>
        <v>0</v>
      </c>
      <c r="O428" s="9">
        <f t="shared" si="17"/>
        <v>0</v>
      </c>
      <c r="P428" s="1">
        <v>0</v>
      </c>
      <c r="Q428" s="1">
        <v>0</v>
      </c>
      <c r="R428" s="12">
        <v>42856</v>
      </c>
      <c r="S428" s="1">
        <v>0</v>
      </c>
      <c r="T428" s="9" t="s">
        <v>21</v>
      </c>
    </row>
    <row r="429" spans="1:20" x14ac:dyDescent="0.25">
      <c r="A429" s="10" t="s">
        <v>18</v>
      </c>
      <c r="B429" t="b">
        <v>0</v>
      </c>
      <c r="C429" t="b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f t="shared" si="16"/>
        <v>0</v>
      </c>
      <c r="K429" s="1">
        <v>0</v>
      </c>
      <c r="L429" s="1">
        <v>0</v>
      </c>
      <c r="M429" s="1">
        <v>0</v>
      </c>
      <c r="N429" s="1">
        <f t="shared" si="18"/>
        <v>0</v>
      </c>
      <c r="O429" s="9">
        <f t="shared" si="17"/>
        <v>0</v>
      </c>
      <c r="P429" s="1">
        <v>0</v>
      </c>
      <c r="Q429" s="1">
        <v>0</v>
      </c>
      <c r="R429" s="12">
        <v>42887</v>
      </c>
      <c r="S429" s="1">
        <v>0</v>
      </c>
      <c r="T429" s="9" t="s">
        <v>21</v>
      </c>
    </row>
    <row r="430" spans="1:20" x14ac:dyDescent="0.25">
      <c r="A430" s="10" t="s">
        <v>18</v>
      </c>
      <c r="B430" t="b">
        <v>0</v>
      </c>
      <c r="C430" t="b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f t="shared" si="16"/>
        <v>0</v>
      </c>
      <c r="K430" s="1">
        <v>0</v>
      </c>
      <c r="L430" s="1">
        <v>0</v>
      </c>
      <c r="M430" s="1">
        <v>0</v>
      </c>
      <c r="N430" s="1">
        <f t="shared" si="18"/>
        <v>0</v>
      </c>
      <c r="O430" s="9">
        <f t="shared" si="17"/>
        <v>0</v>
      </c>
      <c r="P430" s="1">
        <v>0</v>
      </c>
      <c r="Q430" s="1">
        <v>0</v>
      </c>
      <c r="R430" s="12">
        <v>42917</v>
      </c>
      <c r="S430" s="1">
        <v>0</v>
      </c>
      <c r="T430" s="9" t="s">
        <v>21</v>
      </c>
    </row>
    <row r="431" spans="1:20" x14ac:dyDescent="0.25">
      <c r="A431" s="10" t="s">
        <v>18</v>
      </c>
      <c r="B431" t="b">
        <v>0</v>
      </c>
      <c r="C431" t="b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f t="shared" ref="J431:J473" si="19">D431+E431+F431+G431+H431+I431</f>
        <v>0</v>
      </c>
      <c r="K431" s="1">
        <v>0</v>
      </c>
      <c r="L431" s="1">
        <v>0</v>
      </c>
      <c r="M431" s="1">
        <v>0</v>
      </c>
      <c r="N431" s="1">
        <f t="shared" si="18"/>
        <v>0</v>
      </c>
      <c r="O431" s="9">
        <f t="shared" ref="O431:O473" si="20">J431</f>
        <v>0</v>
      </c>
      <c r="P431" s="1">
        <v>0</v>
      </c>
      <c r="Q431" s="1">
        <v>0</v>
      </c>
      <c r="R431" s="12">
        <v>42948</v>
      </c>
      <c r="S431" s="1">
        <v>0</v>
      </c>
      <c r="T431" s="9" t="s">
        <v>21</v>
      </c>
    </row>
    <row r="432" spans="1:20" x14ac:dyDescent="0.25">
      <c r="A432" s="10" t="s">
        <v>18</v>
      </c>
      <c r="B432" t="b">
        <v>0</v>
      </c>
      <c r="C432" t="b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f t="shared" si="19"/>
        <v>0</v>
      </c>
      <c r="K432" s="1">
        <v>0</v>
      </c>
      <c r="L432" s="1">
        <v>0</v>
      </c>
      <c r="M432" s="1">
        <v>0</v>
      </c>
      <c r="N432" s="1">
        <f t="shared" si="18"/>
        <v>0</v>
      </c>
      <c r="O432" s="9">
        <f t="shared" si="20"/>
        <v>0</v>
      </c>
      <c r="P432" s="1">
        <v>0</v>
      </c>
      <c r="Q432" s="1">
        <v>0</v>
      </c>
      <c r="R432" s="12">
        <v>42979</v>
      </c>
      <c r="S432" s="1">
        <v>0</v>
      </c>
      <c r="T432" s="9" t="s">
        <v>21</v>
      </c>
    </row>
    <row r="433" spans="1:20" x14ac:dyDescent="0.25">
      <c r="A433" s="10" t="s">
        <v>18</v>
      </c>
      <c r="B433" t="b">
        <v>0</v>
      </c>
      <c r="C433" t="b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f t="shared" si="19"/>
        <v>0</v>
      </c>
      <c r="K433" s="1">
        <v>0</v>
      </c>
      <c r="L433" s="1">
        <v>0</v>
      </c>
      <c r="M433" s="1">
        <v>0</v>
      </c>
      <c r="N433" s="1">
        <f t="shared" si="18"/>
        <v>0</v>
      </c>
      <c r="O433" s="9">
        <f t="shared" si="20"/>
        <v>0</v>
      </c>
      <c r="P433" s="1">
        <v>0</v>
      </c>
      <c r="Q433" s="1">
        <v>0</v>
      </c>
      <c r="R433" s="12">
        <v>43009</v>
      </c>
      <c r="S433" s="1">
        <v>0</v>
      </c>
      <c r="T433" s="9" t="s">
        <v>21</v>
      </c>
    </row>
    <row r="434" spans="1:20" x14ac:dyDescent="0.25">
      <c r="A434" s="10" t="s">
        <v>18</v>
      </c>
      <c r="B434" t="b">
        <v>0</v>
      </c>
      <c r="C434" t="b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f t="shared" si="19"/>
        <v>0</v>
      </c>
      <c r="K434" s="1">
        <v>0</v>
      </c>
      <c r="L434" s="1">
        <v>0</v>
      </c>
      <c r="M434" s="1">
        <v>0</v>
      </c>
      <c r="N434" s="1">
        <f t="shared" si="18"/>
        <v>0</v>
      </c>
      <c r="O434" s="9">
        <f t="shared" si="20"/>
        <v>0</v>
      </c>
      <c r="P434" s="1">
        <v>0</v>
      </c>
      <c r="Q434" s="1">
        <v>0</v>
      </c>
      <c r="R434" s="12">
        <v>43040</v>
      </c>
      <c r="S434" s="1">
        <v>0</v>
      </c>
      <c r="T434" s="9" t="s">
        <v>21</v>
      </c>
    </row>
    <row r="435" spans="1:20" x14ac:dyDescent="0.25">
      <c r="A435" s="10" t="s">
        <v>18</v>
      </c>
      <c r="B435" t="b">
        <v>0</v>
      </c>
      <c r="C435" t="b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f t="shared" si="19"/>
        <v>0</v>
      </c>
      <c r="K435" s="1">
        <v>0</v>
      </c>
      <c r="L435" s="1">
        <v>0</v>
      </c>
      <c r="M435" s="1">
        <v>0</v>
      </c>
      <c r="N435" s="1">
        <f t="shared" si="18"/>
        <v>0</v>
      </c>
      <c r="O435" s="9">
        <f t="shared" si="20"/>
        <v>0</v>
      </c>
      <c r="P435" s="1">
        <v>0</v>
      </c>
      <c r="Q435" s="1">
        <v>0</v>
      </c>
      <c r="R435" s="12">
        <v>43070</v>
      </c>
      <c r="S435" s="1">
        <v>0</v>
      </c>
      <c r="T435" s="9" t="s">
        <v>21</v>
      </c>
    </row>
    <row r="436" spans="1:20" x14ac:dyDescent="0.25">
      <c r="A436" s="10" t="s">
        <v>18</v>
      </c>
      <c r="B436" t="b">
        <v>0</v>
      </c>
      <c r="C436" t="b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f t="shared" si="19"/>
        <v>0</v>
      </c>
      <c r="K436" s="1">
        <v>0</v>
      </c>
      <c r="L436" s="1">
        <v>0</v>
      </c>
      <c r="M436" s="1">
        <v>0</v>
      </c>
      <c r="N436" s="1">
        <f t="shared" si="18"/>
        <v>0</v>
      </c>
      <c r="O436" s="9">
        <f t="shared" si="20"/>
        <v>0</v>
      </c>
      <c r="P436" s="1">
        <v>0</v>
      </c>
      <c r="Q436" s="1">
        <v>0</v>
      </c>
      <c r="R436" s="12">
        <v>43101</v>
      </c>
      <c r="S436" s="1">
        <v>0</v>
      </c>
      <c r="T436" s="9" t="s">
        <v>21</v>
      </c>
    </row>
    <row r="437" spans="1:20" x14ac:dyDescent="0.25">
      <c r="A437" s="10" t="s">
        <v>18</v>
      </c>
      <c r="B437" t="b">
        <v>0</v>
      </c>
      <c r="C437" t="b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f t="shared" si="19"/>
        <v>0</v>
      </c>
      <c r="K437" s="1">
        <v>0</v>
      </c>
      <c r="L437" s="1">
        <v>0</v>
      </c>
      <c r="M437" s="1">
        <v>0</v>
      </c>
      <c r="N437" s="1">
        <f t="shared" si="18"/>
        <v>0</v>
      </c>
      <c r="O437" s="9">
        <f t="shared" si="20"/>
        <v>0</v>
      </c>
      <c r="P437" s="1">
        <v>0</v>
      </c>
      <c r="Q437" s="1">
        <v>0</v>
      </c>
      <c r="R437" s="12">
        <v>43132</v>
      </c>
      <c r="S437" s="1">
        <v>0</v>
      </c>
      <c r="T437" s="9" t="s">
        <v>21</v>
      </c>
    </row>
    <row r="438" spans="1:20" x14ac:dyDescent="0.25">
      <c r="A438" s="10" t="s">
        <v>18</v>
      </c>
      <c r="B438" t="b">
        <v>0</v>
      </c>
      <c r="C438" t="b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f t="shared" si="19"/>
        <v>0</v>
      </c>
      <c r="K438" s="1">
        <v>0</v>
      </c>
      <c r="L438" s="1">
        <v>0</v>
      </c>
      <c r="M438" s="1">
        <v>0</v>
      </c>
      <c r="N438" s="1">
        <f t="shared" si="18"/>
        <v>0</v>
      </c>
      <c r="O438" s="9">
        <f t="shared" si="20"/>
        <v>0</v>
      </c>
      <c r="P438" s="1">
        <v>0</v>
      </c>
      <c r="Q438" s="1">
        <v>0</v>
      </c>
      <c r="R438" s="12">
        <v>43160</v>
      </c>
      <c r="S438" s="1">
        <v>0</v>
      </c>
      <c r="T438" s="9" t="s">
        <v>21</v>
      </c>
    </row>
    <row r="439" spans="1:20" x14ac:dyDescent="0.25">
      <c r="A439" s="10" t="s">
        <v>18</v>
      </c>
      <c r="B439" t="b">
        <v>0</v>
      </c>
      <c r="C439" t="b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f t="shared" si="19"/>
        <v>0</v>
      </c>
      <c r="K439" s="1">
        <v>0</v>
      </c>
      <c r="L439" s="1">
        <v>0</v>
      </c>
      <c r="M439" s="1">
        <v>0</v>
      </c>
      <c r="N439" s="1">
        <f t="shared" si="18"/>
        <v>0</v>
      </c>
      <c r="O439" s="9">
        <f t="shared" si="20"/>
        <v>0</v>
      </c>
      <c r="P439" s="1">
        <v>0</v>
      </c>
      <c r="Q439" s="1">
        <v>0</v>
      </c>
      <c r="R439" s="12">
        <v>43191</v>
      </c>
      <c r="S439" s="1">
        <v>0</v>
      </c>
      <c r="T439" s="9" t="s">
        <v>21</v>
      </c>
    </row>
    <row r="440" spans="1:20" x14ac:dyDescent="0.25">
      <c r="A440" s="10" t="s">
        <v>18</v>
      </c>
      <c r="B440" t="b">
        <v>0</v>
      </c>
      <c r="C440" t="b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f t="shared" si="19"/>
        <v>0</v>
      </c>
      <c r="K440" s="1">
        <v>0</v>
      </c>
      <c r="L440" s="1">
        <v>0</v>
      </c>
      <c r="M440" s="1">
        <v>0</v>
      </c>
      <c r="N440" s="1">
        <f t="shared" si="18"/>
        <v>0</v>
      </c>
      <c r="O440" s="9">
        <f t="shared" si="20"/>
        <v>0</v>
      </c>
      <c r="P440" s="1">
        <v>0</v>
      </c>
      <c r="Q440" s="1">
        <v>0</v>
      </c>
      <c r="R440" s="12">
        <v>43221</v>
      </c>
      <c r="S440" s="1">
        <v>0</v>
      </c>
      <c r="T440" s="9" t="s">
        <v>21</v>
      </c>
    </row>
    <row r="441" spans="1:20" x14ac:dyDescent="0.25">
      <c r="A441" s="10" t="s">
        <v>18</v>
      </c>
      <c r="B441" t="b">
        <v>0</v>
      </c>
      <c r="C441" t="b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f t="shared" si="19"/>
        <v>0</v>
      </c>
      <c r="K441" s="1">
        <v>0</v>
      </c>
      <c r="L441" s="1">
        <v>0</v>
      </c>
      <c r="M441" s="1">
        <v>0</v>
      </c>
      <c r="N441" s="1">
        <f t="shared" si="18"/>
        <v>0</v>
      </c>
      <c r="O441" s="9">
        <f t="shared" si="20"/>
        <v>0</v>
      </c>
      <c r="P441" s="1">
        <v>0</v>
      </c>
      <c r="Q441" s="1">
        <v>0</v>
      </c>
      <c r="R441" s="12">
        <v>43252</v>
      </c>
      <c r="S441" s="1">
        <v>0</v>
      </c>
      <c r="T441" s="9" t="s">
        <v>21</v>
      </c>
    </row>
    <row r="442" spans="1:20" x14ac:dyDescent="0.25">
      <c r="A442" s="10" t="s">
        <v>18</v>
      </c>
      <c r="B442" t="b">
        <v>0</v>
      </c>
      <c r="C442" t="b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f t="shared" si="19"/>
        <v>0</v>
      </c>
      <c r="K442" s="1">
        <v>0</v>
      </c>
      <c r="L442" s="1">
        <v>0</v>
      </c>
      <c r="M442" s="1">
        <v>0</v>
      </c>
      <c r="N442" s="1">
        <f t="shared" si="18"/>
        <v>0</v>
      </c>
      <c r="O442" s="9">
        <f t="shared" si="20"/>
        <v>0</v>
      </c>
      <c r="P442" s="1">
        <v>0</v>
      </c>
      <c r="Q442" s="1">
        <v>0</v>
      </c>
      <c r="R442" s="12">
        <v>43282</v>
      </c>
      <c r="S442" s="1">
        <v>0</v>
      </c>
      <c r="T442" s="9" t="s">
        <v>21</v>
      </c>
    </row>
    <row r="443" spans="1:20" x14ac:dyDescent="0.25">
      <c r="A443" s="10" t="s">
        <v>18</v>
      </c>
      <c r="B443" t="b">
        <v>0</v>
      </c>
      <c r="C443" t="b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f t="shared" si="19"/>
        <v>0</v>
      </c>
      <c r="K443" s="1">
        <v>0</v>
      </c>
      <c r="L443" s="1">
        <v>0</v>
      </c>
      <c r="M443" s="1">
        <v>0</v>
      </c>
      <c r="N443" s="1">
        <f t="shared" si="18"/>
        <v>0</v>
      </c>
      <c r="O443" s="9">
        <f t="shared" si="20"/>
        <v>0</v>
      </c>
      <c r="P443" s="1">
        <v>0</v>
      </c>
      <c r="Q443" s="1">
        <v>0</v>
      </c>
      <c r="R443" s="12">
        <v>43313</v>
      </c>
      <c r="S443" s="1">
        <v>0</v>
      </c>
      <c r="T443" s="9" t="s">
        <v>21</v>
      </c>
    </row>
    <row r="444" spans="1:20" x14ac:dyDescent="0.25">
      <c r="A444" s="10" t="s">
        <v>18</v>
      </c>
      <c r="B444" t="b">
        <v>0</v>
      </c>
      <c r="C444" t="b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f t="shared" si="19"/>
        <v>0</v>
      </c>
      <c r="K444" s="1">
        <v>0</v>
      </c>
      <c r="L444" s="1">
        <v>0</v>
      </c>
      <c r="M444" s="1">
        <v>0</v>
      </c>
      <c r="N444" s="1">
        <f t="shared" si="18"/>
        <v>0</v>
      </c>
      <c r="O444" s="9">
        <f t="shared" si="20"/>
        <v>0</v>
      </c>
      <c r="P444" s="1">
        <v>0</v>
      </c>
      <c r="Q444" s="1">
        <v>0</v>
      </c>
      <c r="R444" s="12">
        <v>43344</v>
      </c>
      <c r="S444" s="1">
        <v>0</v>
      </c>
      <c r="T444" s="9" t="s">
        <v>21</v>
      </c>
    </row>
    <row r="445" spans="1:20" x14ac:dyDescent="0.25">
      <c r="A445" s="10" t="s">
        <v>18</v>
      </c>
      <c r="B445" t="b">
        <v>0</v>
      </c>
      <c r="C445" t="b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f t="shared" si="19"/>
        <v>0</v>
      </c>
      <c r="K445" s="1">
        <v>0</v>
      </c>
      <c r="L445" s="1">
        <v>0</v>
      </c>
      <c r="M445" s="1">
        <v>0</v>
      </c>
      <c r="N445" s="1">
        <f t="shared" si="18"/>
        <v>0</v>
      </c>
      <c r="O445" s="9">
        <f t="shared" si="20"/>
        <v>0</v>
      </c>
      <c r="P445" s="1">
        <v>0</v>
      </c>
      <c r="Q445" s="1">
        <v>0</v>
      </c>
      <c r="R445" s="12">
        <v>43374</v>
      </c>
      <c r="S445" s="1">
        <v>0</v>
      </c>
      <c r="T445" s="9" t="s">
        <v>21</v>
      </c>
    </row>
    <row r="446" spans="1:20" x14ac:dyDescent="0.25">
      <c r="A446" s="10" t="s">
        <v>18</v>
      </c>
      <c r="B446" t="b">
        <v>0</v>
      </c>
      <c r="C446" t="b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f t="shared" si="19"/>
        <v>0</v>
      </c>
      <c r="K446" s="1">
        <v>0</v>
      </c>
      <c r="L446" s="1">
        <v>0</v>
      </c>
      <c r="M446" s="1">
        <v>0</v>
      </c>
      <c r="N446" s="1">
        <f t="shared" si="18"/>
        <v>0</v>
      </c>
      <c r="O446" s="9">
        <f t="shared" si="20"/>
        <v>0</v>
      </c>
      <c r="P446" s="1">
        <v>0</v>
      </c>
      <c r="Q446" s="1">
        <v>0</v>
      </c>
      <c r="R446" s="12">
        <v>43405</v>
      </c>
      <c r="S446" s="1">
        <v>0</v>
      </c>
      <c r="T446" s="9" t="s">
        <v>21</v>
      </c>
    </row>
    <row r="447" spans="1:20" x14ac:dyDescent="0.25">
      <c r="A447" s="10" t="s">
        <v>18</v>
      </c>
      <c r="B447" t="b">
        <v>0</v>
      </c>
      <c r="C447" t="b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f t="shared" si="19"/>
        <v>0</v>
      </c>
      <c r="K447" s="1">
        <v>0</v>
      </c>
      <c r="L447" s="1">
        <v>0</v>
      </c>
      <c r="M447" s="1">
        <v>0</v>
      </c>
      <c r="N447" s="1">
        <f t="shared" si="18"/>
        <v>0</v>
      </c>
      <c r="O447" s="9">
        <f t="shared" si="20"/>
        <v>0</v>
      </c>
      <c r="P447" s="1">
        <v>0</v>
      </c>
      <c r="Q447" s="1">
        <v>0</v>
      </c>
      <c r="R447" s="12">
        <v>43435</v>
      </c>
      <c r="S447" s="1">
        <v>0</v>
      </c>
      <c r="T447" s="9" t="s">
        <v>21</v>
      </c>
    </row>
    <row r="448" spans="1:20" x14ac:dyDescent="0.25">
      <c r="A448" s="10" t="s">
        <v>18</v>
      </c>
      <c r="B448" t="b">
        <v>0</v>
      </c>
      <c r="C448" t="b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f t="shared" si="19"/>
        <v>0</v>
      </c>
      <c r="K448" s="1">
        <v>0</v>
      </c>
      <c r="L448" s="1">
        <v>0</v>
      </c>
      <c r="M448" s="1">
        <v>0</v>
      </c>
      <c r="N448" s="1">
        <f t="shared" si="18"/>
        <v>0</v>
      </c>
      <c r="O448" s="9">
        <f t="shared" si="20"/>
        <v>0</v>
      </c>
      <c r="P448" s="1">
        <v>0</v>
      </c>
      <c r="Q448" s="1">
        <v>0</v>
      </c>
      <c r="R448" s="12">
        <v>43466</v>
      </c>
      <c r="S448" s="1">
        <v>0</v>
      </c>
      <c r="T448" s="9" t="s">
        <v>21</v>
      </c>
    </row>
    <row r="449" spans="1:20" x14ac:dyDescent="0.25">
      <c r="A449" s="10" t="s">
        <v>18</v>
      </c>
      <c r="B449" t="b">
        <v>0</v>
      </c>
      <c r="C449" t="b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f t="shared" si="19"/>
        <v>0</v>
      </c>
      <c r="K449" s="1">
        <v>0</v>
      </c>
      <c r="L449" s="1">
        <v>0</v>
      </c>
      <c r="M449" s="1">
        <v>0</v>
      </c>
      <c r="N449" s="1">
        <f t="shared" si="18"/>
        <v>0</v>
      </c>
      <c r="O449" s="9">
        <f t="shared" si="20"/>
        <v>0</v>
      </c>
      <c r="P449" s="1">
        <v>0</v>
      </c>
      <c r="Q449" s="1">
        <v>0</v>
      </c>
      <c r="R449" s="12">
        <v>43497</v>
      </c>
      <c r="S449" s="1">
        <v>0</v>
      </c>
      <c r="T449" s="9" t="s">
        <v>21</v>
      </c>
    </row>
    <row r="450" spans="1:20" x14ac:dyDescent="0.25">
      <c r="A450" s="10" t="s">
        <v>18</v>
      </c>
      <c r="B450" t="b">
        <v>0</v>
      </c>
      <c r="C450" t="b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f t="shared" si="19"/>
        <v>0</v>
      </c>
      <c r="K450" s="1">
        <v>0</v>
      </c>
      <c r="L450" s="1">
        <v>0</v>
      </c>
      <c r="M450" s="1">
        <v>0</v>
      </c>
      <c r="N450" s="1">
        <f t="shared" si="18"/>
        <v>0</v>
      </c>
      <c r="O450" s="9">
        <f t="shared" si="20"/>
        <v>0</v>
      </c>
      <c r="P450" s="1">
        <v>0</v>
      </c>
      <c r="Q450" s="1">
        <v>0</v>
      </c>
      <c r="R450" s="12">
        <v>43525</v>
      </c>
      <c r="S450" s="1">
        <v>0</v>
      </c>
      <c r="T450" s="9" t="s">
        <v>21</v>
      </c>
    </row>
    <row r="451" spans="1:20" x14ac:dyDescent="0.25">
      <c r="A451" s="10" t="s">
        <v>18</v>
      </c>
      <c r="B451" t="b">
        <v>0</v>
      </c>
      <c r="C451" t="b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f t="shared" si="19"/>
        <v>0</v>
      </c>
      <c r="K451" s="1">
        <v>0</v>
      </c>
      <c r="L451" s="1">
        <v>0</v>
      </c>
      <c r="M451" s="1">
        <v>0</v>
      </c>
      <c r="N451" s="1">
        <f t="shared" si="18"/>
        <v>0</v>
      </c>
      <c r="O451" s="9">
        <f t="shared" si="20"/>
        <v>0</v>
      </c>
      <c r="P451" s="1">
        <v>0</v>
      </c>
      <c r="Q451" s="1">
        <v>0</v>
      </c>
      <c r="R451" s="12">
        <v>43556</v>
      </c>
      <c r="S451" s="1">
        <v>0</v>
      </c>
      <c r="T451" s="9" t="s">
        <v>21</v>
      </c>
    </row>
    <row r="452" spans="1:20" x14ac:dyDescent="0.25">
      <c r="A452" s="10" t="s">
        <v>18</v>
      </c>
      <c r="B452" t="b">
        <v>0</v>
      </c>
      <c r="C452" t="b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f t="shared" si="19"/>
        <v>0</v>
      </c>
      <c r="K452" s="1">
        <v>0</v>
      </c>
      <c r="L452" s="1">
        <v>0</v>
      </c>
      <c r="M452" s="1">
        <v>0</v>
      </c>
      <c r="N452" s="1">
        <f t="shared" si="18"/>
        <v>0</v>
      </c>
      <c r="O452" s="9">
        <f t="shared" si="20"/>
        <v>0</v>
      </c>
      <c r="P452" s="1">
        <v>0</v>
      </c>
      <c r="Q452" s="1">
        <v>0</v>
      </c>
      <c r="R452" s="12">
        <v>43586</v>
      </c>
      <c r="S452" s="1">
        <v>0</v>
      </c>
      <c r="T452" s="9" t="s">
        <v>21</v>
      </c>
    </row>
    <row r="453" spans="1:20" x14ac:dyDescent="0.25">
      <c r="A453" s="10" t="s">
        <v>18</v>
      </c>
      <c r="B453" t="b">
        <v>0</v>
      </c>
      <c r="C453" t="b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f t="shared" si="19"/>
        <v>0</v>
      </c>
      <c r="K453" s="1">
        <v>0</v>
      </c>
      <c r="L453" s="1">
        <v>0</v>
      </c>
      <c r="M453" s="1">
        <v>0</v>
      </c>
      <c r="N453" s="1">
        <f t="shared" si="18"/>
        <v>0</v>
      </c>
      <c r="O453" s="9">
        <f t="shared" si="20"/>
        <v>0</v>
      </c>
      <c r="P453" s="1">
        <v>0</v>
      </c>
      <c r="Q453" s="1">
        <v>0</v>
      </c>
      <c r="R453" s="12">
        <v>43617</v>
      </c>
      <c r="S453" s="1">
        <v>0</v>
      </c>
      <c r="T453" s="9" t="s">
        <v>21</v>
      </c>
    </row>
    <row r="454" spans="1:20" x14ac:dyDescent="0.25">
      <c r="A454" s="10" t="s">
        <v>18</v>
      </c>
      <c r="B454" t="b">
        <v>0</v>
      </c>
      <c r="C454" t="b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f t="shared" si="19"/>
        <v>0</v>
      </c>
      <c r="K454" s="1">
        <v>0</v>
      </c>
      <c r="L454" s="1">
        <v>0</v>
      </c>
      <c r="M454" s="1">
        <v>0</v>
      </c>
      <c r="N454" s="1">
        <f t="shared" si="18"/>
        <v>0</v>
      </c>
      <c r="O454" s="9">
        <f t="shared" si="20"/>
        <v>0</v>
      </c>
      <c r="P454" s="1">
        <v>0</v>
      </c>
      <c r="Q454" s="1">
        <v>0</v>
      </c>
      <c r="R454" s="12">
        <v>43647</v>
      </c>
      <c r="S454" s="1">
        <v>0</v>
      </c>
      <c r="T454" s="9" t="s">
        <v>21</v>
      </c>
    </row>
    <row r="455" spans="1:20" x14ac:dyDescent="0.25">
      <c r="A455" s="10" t="s">
        <v>18</v>
      </c>
      <c r="B455" t="b">
        <v>0</v>
      </c>
      <c r="C455" t="b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f t="shared" si="19"/>
        <v>0</v>
      </c>
      <c r="K455" s="1">
        <v>0</v>
      </c>
      <c r="L455" s="1">
        <v>0</v>
      </c>
      <c r="M455" s="1">
        <v>0</v>
      </c>
      <c r="N455" s="1">
        <f t="shared" si="18"/>
        <v>0</v>
      </c>
      <c r="O455" s="9">
        <f t="shared" si="20"/>
        <v>0</v>
      </c>
      <c r="P455" s="1">
        <v>0</v>
      </c>
      <c r="Q455" s="1">
        <v>0</v>
      </c>
      <c r="R455" s="12">
        <v>43678</v>
      </c>
      <c r="S455" s="1">
        <v>0</v>
      </c>
      <c r="T455" s="9" t="s">
        <v>21</v>
      </c>
    </row>
    <row r="456" spans="1:20" x14ac:dyDescent="0.25">
      <c r="A456" s="10" t="s">
        <v>18</v>
      </c>
      <c r="B456" t="b">
        <v>0</v>
      </c>
      <c r="C456" t="b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f t="shared" si="19"/>
        <v>0</v>
      </c>
      <c r="K456" s="1">
        <v>0</v>
      </c>
      <c r="L456" s="1">
        <v>0</v>
      </c>
      <c r="M456" s="1">
        <v>0</v>
      </c>
      <c r="N456" s="1">
        <f t="shared" si="18"/>
        <v>0</v>
      </c>
      <c r="O456" s="9">
        <f t="shared" si="20"/>
        <v>0</v>
      </c>
      <c r="P456" s="1">
        <v>0</v>
      </c>
      <c r="Q456" s="1">
        <v>0</v>
      </c>
      <c r="R456" s="12">
        <v>43709</v>
      </c>
      <c r="S456" s="1">
        <v>0</v>
      </c>
      <c r="T456" s="9" t="s">
        <v>21</v>
      </c>
    </row>
    <row r="457" spans="1:20" x14ac:dyDescent="0.25">
      <c r="A457" s="10" t="s">
        <v>18</v>
      </c>
      <c r="B457" t="b">
        <v>0</v>
      </c>
      <c r="C457" t="b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f t="shared" si="19"/>
        <v>0</v>
      </c>
      <c r="K457" s="1">
        <v>0</v>
      </c>
      <c r="L457" s="1">
        <v>0</v>
      </c>
      <c r="M457" s="1">
        <v>0</v>
      </c>
      <c r="N457" s="1">
        <f t="shared" si="18"/>
        <v>0</v>
      </c>
      <c r="O457" s="9">
        <f t="shared" si="20"/>
        <v>0</v>
      </c>
      <c r="P457" s="1">
        <v>0</v>
      </c>
      <c r="Q457" s="1">
        <v>0</v>
      </c>
      <c r="R457" s="12">
        <v>43739</v>
      </c>
      <c r="S457" s="1">
        <v>0</v>
      </c>
      <c r="T457" s="9" t="s">
        <v>21</v>
      </c>
    </row>
    <row r="458" spans="1:20" x14ac:dyDescent="0.25">
      <c r="A458" s="10" t="s">
        <v>18</v>
      </c>
      <c r="B458" t="b">
        <v>0</v>
      </c>
      <c r="C458" t="b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f t="shared" si="19"/>
        <v>0</v>
      </c>
      <c r="K458" s="1">
        <v>0</v>
      </c>
      <c r="L458" s="1">
        <v>0</v>
      </c>
      <c r="M458" s="1">
        <v>0</v>
      </c>
      <c r="N458" s="1">
        <f t="shared" ref="N458:N500" si="21">K458+L458+M458</f>
        <v>0</v>
      </c>
      <c r="O458" s="9">
        <f t="shared" si="20"/>
        <v>0</v>
      </c>
      <c r="P458" s="1">
        <v>0</v>
      </c>
      <c r="Q458" s="1">
        <v>0</v>
      </c>
      <c r="R458" s="12">
        <v>43770</v>
      </c>
      <c r="S458" s="1">
        <v>0</v>
      </c>
      <c r="T458" s="9" t="s">
        <v>21</v>
      </c>
    </row>
    <row r="459" spans="1:20" x14ac:dyDescent="0.25">
      <c r="A459" s="10" t="s">
        <v>18</v>
      </c>
      <c r="B459" t="b">
        <v>0</v>
      </c>
      <c r="C459" t="b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f t="shared" si="19"/>
        <v>0</v>
      </c>
      <c r="K459" s="1">
        <v>0</v>
      </c>
      <c r="L459" s="1">
        <v>0</v>
      </c>
      <c r="M459" s="1">
        <v>0</v>
      </c>
      <c r="N459" s="1">
        <f t="shared" si="21"/>
        <v>0</v>
      </c>
      <c r="O459" s="9">
        <f t="shared" si="20"/>
        <v>0</v>
      </c>
      <c r="P459" s="1">
        <v>0</v>
      </c>
      <c r="Q459" s="1">
        <v>0</v>
      </c>
      <c r="R459" s="12">
        <v>43800</v>
      </c>
      <c r="S459" s="1">
        <v>0</v>
      </c>
      <c r="T459" s="9" t="s">
        <v>21</v>
      </c>
    </row>
    <row r="460" spans="1:20" x14ac:dyDescent="0.25">
      <c r="A460" s="10" t="s">
        <v>18</v>
      </c>
      <c r="B460" t="b">
        <v>0</v>
      </c>
      <c r="C460" t="b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f t="shared" si="19"/>
        <v>0</v>
      </c>
      <c r="K460" s="1">
        <v>0</v>
      </c>
      <c r="L460" s="1">
        <v>0</v>
      </c>
      <c r="M460" s="1">
        <v>0</v>
      </c>
      <c r="N460" s="1">
        <f t="shared" si="21"/>
        <v>0</v>
      </c>
      <c r="O460" s="9">
        <f t="shared" si="20"/>
        <v>0</v>
      </c>
      <c r="P460" s="1">
        <v>0</v>
      </c>
      <c r="Q460" s="1">
        <v>0</v>
      </c>
      <c r="R460" s="12">
        <v>43831</v>
      </c>
      <c r="S460" s="1">
        <v>0</v>
      </c>
      <c r="T460" s="9" t="s">
        <v>21</v>
      </c>
    </row>
    <row r="461" spans="1:20" x14ac:dyDescent="0.25">
      <c r="A461" s="10" t="s">
        <v>18</v>
      </c>
      <c r="B461" t="b">
        <v>0</v>
      </c>
      <c r="C461" t="b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f t="shared" si="19"/>
        <v>0</v>
      </c>
      <c r="K461" s="1">
        <v>0</v>
      </c>
      <c r="L461" s="1">
        <v>0</v>
      </c>
      <c r="M461" s="1">
        <v>0</v>
      </c>
      <c r="N461" s="1">
        <f t="shared" si="21"/>
        <v>0</v>
      </c>
      <c r="O461" s="9">
        <f t="shared" si="20"/>
        <v>0</v>
      </c>
      <c r="P461" s="1">
        <v>0</v>
      </c>
      <c r="Q461" s="1">
        <v>0</v>
      </c>
      <c r="R461" s="12">
        <v>43862</v>
      </c>
      <c r="S461" s="1">
        <v>0</v>
      </c>
      <c r="T461" s="9" t="s">
        <v>21</v>
      </c>
    </row>
    <row r="462" spans="1:20" x14ac:dyDescent="0.25">
      <c r="A462" s="10" t="s">
        <v>18</v>
      </c>
      <c r="B462" t="b">
        <v>0</v>
      </c>
      <c r="C462" t="b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f t="shared" si="19"/>
        <v>0</v>
      </c>
      <c r="K462" s="1">
        <v>0</v>
      </c>
      <c r="L462" s="1">
        <v>0</v>
      </c>
      <c r="M462" s="1">
        <v>0</v>
      </c>
      <c r="N462" s="1">
        <f t="shared" si="21"/>
        <v>0</v>
      </c>
      <c r="O462" s="9">
        <f t="shared" si="20"/>
        <v>0</v>
      </c>
      <c r="P462" s="1">
        <v>0</v>
      </c>
      <c r="Q462" s="1">
        <v>0</v>
      </c>
      <c r="R462" s="12">
        <v>43891</v>
      </c>
      <c r="S462" s="1">
        <v>0</v>
      </c>
      <c r="T462" s="9" t="s">
        <v>21</v>
      </c>
    </row>
    <row r="463" spans="1:20" x14ac:dyDescent="0.25">
      <c r="A463" s="10" t="s">
        <v>18</v>
      </c>
      <c r="B463" t="b">
        <v>0</v>
      </c>
      <c r="C463" t="b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f t="shared" si="19"/>
        <v>0</v>
      </c>
      <c r="K463" s="1">
        <v>0</v>
      </c>
      <c r="L463" s="1">
        <v>0</v>
      </c>
      <c r="M463" s="1">
        <v>0</v>
      </c>
      <c r="N463" s="1">
        <f t="shared" si="21"/>
        <v>0</v>
      </c>
      <c r="O463" s="9">
        <f t="shared" si="20"/>
        <v>0</v>
      </c>
      <c r="P463" s="1">
        <v>0</v>
      </c>
      <c r="Q463" s="1">
        <v>0</v>
      </c>
      <c r="R463" s="12">
        <v>43922</v>
      </c>
      <c r="S463" s="1">
        <v>0</v>
      </c>
      <c r="T463" s="9" t="s">
        <v>21</v>
      </c>
    </row>
    <row r="464" spans="1:20" x14ac:dyDescent="0.25">
      <c r="A464" s="10" t="s">
        <v>18</v>
      </c>
      <c r="B464" t="b">
        <v>0</v>
      </c>
      <c r="C464" t="b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f t="shared" si="19"/>
        <v>0</v>
      </c>
      <c r="K464" s="1">
        <v>0</v>
      </c>
      <c r="L464" s="1">
        <v>0</v>
      </c>
      <c r="M464" s="1">
        <v>0</v>
      </c>
      <c r="N464" s="1">
        <f t="shared" si="21"/>
        <v>0</v>
      </c>
      <c r="O464" s="9">
        <f t="shared" si="20"/>
        <v>0</v>
      </c>
      <c r="P464" s="1">
        <v>0</v>
      </c>
      <c r="Q464" s="1">
        <v>0</v>
      </c>
      <c r="R464" s="12">
        <v>43952</v>
      </c>
      <c r="S464" s="1">
        <v>0</v>
      </c>
      <c r="T464" s="9" t="s">
        <v>21</v>
      </c>
    </row>
    <row r="465" spans="1:20" x14ac:dyDescent="0.25">
      <c r="A465" s="10" t="s">
        <v>18</v>
      </c>
      <c r="B465" t="b">
        <v>0</v>
      </c>
      <c r="C465" t="b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f t="shared" si="19"/>
        <v>0</v>
      </c>
      <c r="K465" s="1">
        <v>0</v>
      </c>
      <c r="L465" s="1">
        <v>0</v>
      </c>
      <c r="M465" s="1">
        <v>0</v>
      </c>
      <c r="N465" s="1">
        <f t="shared" si="21"/>
        <v>0</v>
      </c>
      <c r="O465" s="9">
        <f t="shared" si="20"/>
        <v>0</v>
      </c>
      <c r="P465" s="1">
        <v>0</v>
      </c>
      <c r="Q465" s="1">
        <v>0</v>
      </c>
      <c r="R465" s="12">
        <v>43983</v>
      </c>
      <c r="S465" s="1">
        <v>0</v>
      </c>
      <c r="T465" s="9" t="s">
        <v>21</v>
      </c>
    </row>
    <row r="466" spans="1:20" x14ac:dyDescent="0.25">
      <c r="A466" s="10" t="s">
        <v>18</v>
      </c>
      <c r="B466" t="b">
        <v>0</v>
      </c>
      <c r="C466" t="b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f t="shared" si="19"/>
        <v>0</v>
      </c>
      <c r="K466" s="1">
        <v>0</v>
      </c>
      <c r="L466" s="1">
        <v>0</v>
      </c>
      <c r="M466" s="1">
        <v>0</v>
      </c>
      <c r="N466" s="1">
        <f t="shared" si="21"/>
        <v>0</v>
      </c>
      <c r="O466" s="9">
        <f t="shared" si="20"/>
        <v>0</v>
      </c>
      <c r="P466" s="1">
        <v>0</v>
      </c>
      <c r="Q466" s="1">
        <v>0</v>
      </c>
      <c r="R466" s="12">
        <v>44013</v>
      </c>
      <c r="S466" s="1">
        <v>0</v>
      </c>
      <c r="T466" s="9" t="s">
        <v>21</v>
      </c>
    </row>
    <row r="467" spans="1:20" x14ac:dyDescent="0.25">
      <c r="A467" s="10" t="s">
        <v>18</v>
      </c>
      <c r="B467" t="b">
        <v>0</v>
      </c>
      <c r="C467" t="b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f t="shared" si="19"/>
        <v>0</v>
      </c>
      <c r="K467" s="1">
        <v>0</v>
      </c>
      <c r="L467" s="1">
        <v>0</v>
      </c>
      <c r="M467" s="1">
        <v>0</v>
      </c>
      <c r="N467" s="1">
        <f t="shared" si="21"/>
        <v>0</v>
      </c>
      <c r="O467" s="9">
        <f t="shared" si="20"/>
        <v>0</v>
      </c>
      <c r="P467" s="1">
        <v>0</v>
      </c>
      <c r="Q467" s="1">
        <v>0</v>
      </c>
      <c r="R467" s="12">
        <v>44013</v>
      </c>
      <c r="S467" s="1">
        <v>0</v>
      </c>
      <c r="T467" s="9" t="s">
        <v>21</v>
      </c>
    </row>
    <row r="468" spans="1:20" x14ac:dyDescent="0.25">
      <c r="A468" s="10" t="s">
        <v>18</v>
      </c>
      <c r="B468" t="b">
        <v>0</v>
      </c>
      <c r="C468" t="b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f t="shared" si="19"/>
        <v>0</v>
      </c>
      <c r="K468" s="1">
        <v>0</v>
      </c>
      <c r="L468" s="1">
        <v>0</v>
      </c>
      <c r="M468" s="1">
        <v>0</v>
      </c>
      <c r="N468" s="1">
        <f t="shared" si="21"/>
        <v>0</v>
      </c>
      <c r="O468" s="9">
        <f t="shared" si="20"/>
        <v>0</v>
      </c>
      <c r="P468" s="1">
        <v>0</v>
      </c>
      <c r="Q468" s="1">
        <v>0</v>
      </c>
      <c r="R468" s="12">
        <v>44044</v>
      </c>
      <c r="S468" s="1">
        <v>0</v>
      </c>
      <c r="T468" s="9" t="s">
        <v>21</v>
      </c>
    </row>
    <row r="469" spans="1:20" x14ac:dyDescent="0.25">
      <c r="A469" s="10" t="s">
        <v>18</v>
      </c>
      <c r="B469" t="b">
        <v>0</v>
      </c>
      <c r="C469" t="b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f t="shared" si="19"/>
        <v>0</v>
      </c>
      <c r="K469" s="1">
        <v>0</v>
      </c>
      <c r="L469" s="1">
        <v>0</v>
      </c>
      <c r="M469" s="1">
        <v>0</v>
      </c>
      <c r="N469" s="1">
        <f t="shared" si="21"/>
        <v>0</v>
      </c>
      <c r="O469" s="9">
        <f t="shared" si="20"/>
        <v>0</v>
      </c>
      <c r="P469" s="1">
        <v>0</v>
      </c>
      <c r="Q469" s="1">
        <v>0</v>
      </c>
      <c r="R469" s="12">
        <v>44044</v>
      </c>
      <c r="S469" s="1">
        <v>0</v>
      </c>
      <c r="T469" s="9" t="s">
        <v>21</v>
      </c>
    </row>
    <row r="470" spans="1:20" x14ac:dyDescent="0.25">
      <c r="A470" s="10" t="s">
        <v>18</v>
      </c>
      <c r="B470" t="b">
        <v>0</v>
      </c>
      <c r="C470" t="b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f t="shared" si="19"/>
        <v>0</v>
      </c>
      <c r="K470" s="1">
        <v>0</v>
      </c>
      <c r="L470" s="1">
        <v>0</v>
      </c>
      <c r="M470" s="1">
        <v>0</v>
      </c>
      <c r="N470" s="1">
        <f t="shared" si="21"/>
        <v>0</v>
      </c>
      <c r="O470" s="9">
        <f t="shared" si="20"/>
        <v>0</v>
      </c>
      <c r="P470" s="1">
        <v>0</v>
      </c>
      <c r="Q470" s="1">
        <v>0</v>
      </c>
      <c r="R470" s="12">
        <v>44075</v>
      </c>
      <c r="S470" s="1">
        <v>0</v>
      </c>
      <c r="T470" s="9" t="s">
        <v>21</v>
      </c>
    </row>
    <row r="471" spans="1:20" x14ac:dyDescent="0.25">
      <c r="A471" s="10" t="s">
        <v>18</v>
      </c>
      <c r="B471" t="b">
        <v>0</v>
      </c>
      <c r="C471" t="b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f t="shared" si="19"/>
        <v>0</v>
      </c>
      <c r="K471" s="1">
        <v>0</v>
      </c>
      <c r="L471" s="1">
        <v>0</v>
      </c>
      <c r="M471" s="1">
        <v>0</v>
      </c>
      <c r="N471" s="1">
        <f t="shared" si="21"/>
        <v>0</v>
      </c>
      <c r="O471" s="9">
        <f t="shared" si="20"/>
        <v>0</v>
      </c>
      <c r="P471" s="1">
        <v>0</v>
      </c>
      <c r="Q471" s="1">
        <v>0</v>
      </c>
      <c r="R471" s="12">
        <v>44105</v>
      </c>
      <c r="S471" s="1">
        <v>0</v>
      </c>
      <c r="T471" s="9" t="s">
        <v>21</v>
      </c>
    </row>
    <row r="472" spans="1:20" x14ac:dyDescent="0.25">
      <c r="A472" s="10" t="s">
        <v>18</v>
      </c>
      <c r="B472" t="b">
        <v>0</v>
      </c>
      <c r="C472" t="b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f t="shared" si="19"/>
        <v>0</v>
      </c>
      <c r="K472" s="1">
        <v>0</v>
      </c>
      <c r="L472" s="1">
        <v>0</v>
      </c>
      <c r="M472" s="1">
        <v>0</v>
      </c>
      <c r="N472" s="1">
        <f t="shared" si="21"/>
        <v>0</v>
      </c>
      <c r="O472" s="9">
        <f t="shared" si="20"/>
        <v>0</v>
      </c>
      <c r="P472" s="1">
        <v>0</v>
      </c>
      <c r="Q472" s="1">
        <v>0</v>
      </c>
      <c r="R472" s="12">
        <v>44136</v>
      </c>
      <c r="S472" s="1">
        <v>0</v>
      </c>
      <c r="T472" s="9" t="s">
        <v>21</v>
      </c>
    </row>
    <row r="473" spans="1:20" x14ac:dyDescent="0.25">
      <c r="A473" s="10" t="s">
        <v>18</v>
      </c>
      <c r="B473" t="b">
        <v>0</v>
      </c>
      <c r="C473" t="b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f t="shared" si="19"/>
        <v>0</v>
      </c>
      <c r="K473" s="1">
        <v>0</v>
      </c>
      <c r="L473" s="1">
        <v>0</v>
      </c>
      <c r="M473" s="1">
        <v>0</v>
      </c>
      <c r="N473" s="1">
        <f t="shared" si="21"/>
        <v>0</v>
      </c>
      <c r="O473" s="9">
        <f t="shared" si="20"/>
        <v>0</v>
      </c>
      <c r="P473" s="1">
        <v>0</v>
      </c>
      <c r="Q473" s="1">
        <v>0</v>
      </c>
      <c r="R473" s="12">
        <v>44166</v>
      </c>
      <c r="S473" s="1">
        <v>0</v>
      </c>
      <c r="T473" s="9" t="s">
        <v>21</v>
      </c>
    </row>
    <row r="474" spans="1:20" x14ac:dyDescent="0.25">
      <c r="A474" s="10" t="s">
        <v>19</v>
      </c>
      <c r="B474" t="b">
        <v>0</v>
      </c>
      <c r="C474" t="b">
        <v>0</v>
      </c>
      <c r="D474" s="1">
        <v>0</v>
      </c>
      <c r="E474" s="1">
        <v>0</v>
      </c>
      <c r="F474" s="1">
        <v>0</v>
      </c>
      <c r="G474" s="1">
        <v>465</v>
      </c>
      <c r="H474" s="1">
        <v>0</v>
      </c>
      <c r="I474" s="1">
        <v>0</v>
      </c>
      <c r="J474" s="1">
        <f>D474+E474+F474+G474+H474+I474</f>
        <v>465</v>
      </c>
      <c r="K474" s="1">
        <v>194</v>
      </c>
      <c r="L474" s="1">
        <v>0</v>
      </c>
      <c r="M474" s="1">
        <v>0</v>
      </c>
      <c r="N474" s="1">
        <f t="shared" si="21"/>
        <v>194</v>
      </c>
      <c r="O474" s="9">
        <f>K474</f>
        <v>194</v>
      </c>
      <c r="P474" s="1">
        <v>0</v>
      </c>
      <c r="Q474" s="1">
        <v>0</v>
      </c>
      <c r="R474" s="12">
        <v>37073</v>
      </c>
      <c r="S474" s="1">
        <v>659</v>
      </c>
      <c r="T474" s="9" t="s">
        <v>46</v>
      </c>
    </row>
    <row r="475" spans="1:20" x14ac:dyDescent="0.25">
      <c r="A475" s="10" t="s">
        <v>19</v>
      </c>
      <c r="B475" t="b">
        <v>0</v>
      </c>
      <c r="C475" t="b">
        <v>0</v>
      </c>
      <c r="D475" s="1">
        <v>0</v>
      </c>
      <c r="E475" s="1">
        <v>0</v>
      </c>
      <c r="F475" s="1">
        <v>0</v>
      </c>
      <c r="G475" s="1">
        <v>984</v>
      </c>
      <c r="H475" s="1">
        <v>0</v>
      </c>
      <c r="I475" s="1">
        <v>0</v>
      </c>
      <c r="J475" s="1">
        <f t="shared" ref="J475:J538" si="22">D475+E475+F475+G475+H475+I475</f>
        <v>984</v>
      </c>
      <c r="K475" s="1">
        <v>0</v>
      </c>
      <c r="L475" s="1">
        <v>0</v>
      </c>
      <c r="M475" s="1">
        <v>0</v>
      </c>
      <c r="N475" s="1">
        <f t="shared" si="21"/>
        <v>0</v>
      </c>
      <c r="O475" s="9">
        <f t="shared" ref="O475:O538" si="23">K475</f>
        <v>0</v>
      </c>
      <c r="P475" s="1">
        <v>0</v>
      </c>
      <c r="Q475" s="1">
        <v>0</v>
      </c>
      <c r="R475" s="12">
        <v>37104</v>
      </c>
      <c r="S475" s="1">
        <v>984</v>
      </c>
      <c r="T475" s="9" t="s">
        <v>46</v>
      </c>
    </row>
    <row r="476" spans="1:20" x14ac:dyDescent="0.25">
      <c r="A476" s="10" t="s">
        <v>19</v>
      </c>
      <c r="B476" t="b">
        <v>0</v>
      </c>
      <c r="C476" t="b">
        <v>0</v>
      </c>
      <c r="D476" s="1">
        <v>0</v>
      </c>
      <c r="E476" s="1">
        <v>0</v>
      </c>
      <c r="F476" s="1">
        <v>0</v>
      </c>
      <c r="G476" s="1">
        <v>679</v>
      </c>
      <c r="H476" s="1">
        <v>0</v>
      </c>
      <c r="I476" s="1">
        <v>0</v>
      </c>
      <c r="J476" s="1">
        <f t="shared" si="22"/>
        <v>679</v>
      </c>
      <c r="K476" s="1">
        <v>254</v>
      </c>
      <c r="L476" s="1">
        <v>0</v>
      </c>
      <c r="M476" s="1">
        <v>0</v>
      </c>
      <c r="N476" s="1">
        <f t="shared" si="21"/>
        <v>254</v>
      </c>
      <c r="O476" s="9">
        <f t="shared" si="23"/>
        <v>254</v>
      </c>
      <c r="P476" s="1">
        <v>0</v>
      </c>
      <c r="Q476" s="1">
        <v>0</v>
      </c>
      <c r="R476" s="12">
        <v>37135</v>
      </c>
      <c r="S476" s="1">
        <v>933</v>
      </c>
      <c r="T476" s="9" t="s">
        <v>46</v>
      </c>
    </row>
    <row r="477" spans="1:20" x14ac:dyDescent="0.25">
      <c r="A477" s="10" t="s">
        <v>19</v>
      </c>
      <c r="B477" t="b">
        <v>0</v>
      </c>
      <c r="C477" t="b">
        <v>0</v>
      </c>
      <c r="D477" s="1">
        <v>0</v>
      </c>
      <c r="E477" s="1">
        <v>0</v>
      </c>
      <c r="F477" s="1">
        <v>0</v>
      </c>
      <c r="G477" s="1">
        <v>335</v>
      </c>
      <c r="H477" s="1">
        <v>0</v>
      </c>
      <c r="I477" s="1">
        <v>0</v>
      </c>
      <c r="J477" s="1">
        <f t="shared" si="22"/>
        <v>335</v>
      </c>
      <c r="K477" s="1">
        <v>126</v>
      </c>
      <c r="L477" s="1">
        <v>0</v>
      </c>
      <c r="M477" s="1">
        <v>0</v>
      </c>
      <c r="N477" s="1">
        <f t="shared" si="21"/>
        <v>126</v>
      </c>
      <c r="O477" s="9">
        <f t="shared" si="23"/>
        <v>126</v>
      </c>
      <c r="P477" s="1">
        <v>0</v>
      </c>
      <c r="Q477" s="1">
        <v>0</v>
      </c>
      <c r="R477" s="12">
        <v>37165</v>
      </c>
      <c r="S477" s="1">
        <v>461</v>
      </c>
      <c r="T477" s="9" t="s">
        <v>46</v>
      </c>
    </row>
    <row r="478" spans="1:20" x14ac:dyDescent="0.25">
      <c r="A478" s="10" t="s">
        <v>19</v>
      </c>
      <c r="B478" t="b">
        <v>0</v>
      </c>
      <c r="C478" t="b">
        <v>0</v>
      </c>
      <c r="D478" s="1">
        <v>0</v>
      </c>
      <c r="E478" s="1">
        <v>0</v>
      </c>
      <c r="F478" s="1">
        <v>0</v>
      </c>
      <c r="G478" s="1">
        <v>266</v>
      </c>
      <c r="H478" s="1">
        <v>0</v>
      </c>
      <c r="I478" s="1">
        <v>0</v>
      </c>
      <c r="J478" s="1">
        <f t="shared" si="22"/>
        <v>266</v>
      </c>
      <c r="K478" s="1">
        <v>0</v>
      </c>
      <c r="L478" s="1">
        <v>0</v>
      </c>
      <c r="M478" s="1">
        <v>0</v>
      </c>
      <c r="N478" s="1">
        <f t="shared" si="21"/>
        <v>0</v>
      </c>
      <c r="O478" s="9">
        <f t="shared" si="23"/>
        <v>0</v>
      </c>
      <c r="P478" s="1">
        <v>0</v>
      </c>
      <c r="Q478" s="1">
        <v>0</v>
      </c>
      <c r="R478" s="12">
        <v>37196</v>
      </c>
      <c r="S478" s="1">
        <v>266</v>
      </c>
      <c r="T478" s="9" t="s">
        <v>46</v>
      </c>
    </row>
    <row r="479" spans="1:20" x14ac:dyDescent="0.25">
      <c r="A479" s="10" t="s">
        <v>19</v>
      </c>
      <c r="B479" t="b">
        <v>0</v>
      </c>
      <c r="C479" t="b">
        <v>0</v>
      </c>
      <c r="D479" s="1">
        <v>0</v>
      </c>
      <c r="E479" s="1">
        <v>0</v>
      </c>
      <c r="F479" s="1">
        <v>0</v>
      </c>
      <c r="G479" s="1">
        <v>284</v>
      </c>
      <c r="H479" s="1">
        <v>0</v>
      </c>
      <c r="I479" s="1">
        <v>0</v>
      </c>
      <c r="J479" s="1">
        <f t="shared" si="22"/>
        <v>284</v>
      </c>
      <c r="K479" s="1">
        <v>140</v>
      </c>
      <c r="L479" s="1">
        <v>0</v>
      </c>
      <c r="M479" s="1">
        <v>0</v>
      </c>
      <c r="N479" s="1">
        <f t="shared" si="21"/>
        <v>140</v>
      </c>
      <c r="O479" s="9">
        <f t="shared" si="23"/>
        <v>140</v>
      </c>
      <c r="P479" s="1">
        <v>0</v>
      </c>
      <c r="Q479" s="1">
        <v>0</v>
      </c>
      <c r="R479" s="12">
        <v>37226</v>
      </c>
      <c r="S479" s="1">
        <v>424</v>
      </c>
      <c r="T479" s="9" t="s">
        <v>46</v>
      </c>
    </row>
    <row r="480" spans="1:20" x14ac:dyDescent="0.25">
      <c r="A480" s="10" t="s">
        <v>19</v>
      </c>
      <c r="B480" t="b">
        <v>0</v>
      </c>
      <c r="C480" t="b">
        <v>0</v>
      </c>
      <c r="D480" s="1">
        <v>0</v>
      </c>
      <c r="E480" s="1">
        <v>0</v>
      </c>
      <c r="F480" s="1">
        <v>0</v>
      </c>
      <c r="G480" s="1">
        <v>339</v>
      </c>
      <c r="H480" s="1">
        <v>0</v>
      </c>
      <c r="I480" s="1">
        <v>0</v>
      </c>
      <c r="J480" s="1">
        <f t="shared" si="22"/>
        <v>339</v>
      </c>
      <c r="K480" s="1">
        <v>0</v>
      </c>
      <c r="L480" s="1">
        <v>0</v>
      </c>
      <c r="M480" s="1">
        <v>0</v>
      </c>
      <c r="N480" s="1">
        <f t="shared" si="21"/>
        <v>0</v>
      </c>
      <c r="O480" s="9">
        <f t="shared" si="23"/>
        <v>0</v>
      </c>
      <c r="P480" s="1">
        <v>0</v>
      </c>
      <c r="Q480" s="1">
        <v>0</v>
      </c>
      <c r="R480" s="12">
        <v>37257</v>
      </c>
      <c r="S480" s="1">
        <v>339</v>
      </c>
      <c r="T480" s="9" t="s">
        <v>46</v>
      </c>
    </row>
    <row r="481" spans="1:20" x14ac:dyDescent="0.25">
      <c r="A481" s="10" t="s">
        <v>19</v>
      </c>
      <c r="B481" t="b">
        <v>0</v>
      </c>
      <c r="C481" t="b">
        <v>0</v>
      </c>
      <c r="D481" s="1">
        <v>0</v>
      </c>
      <c r="E481" s="1">
        <v>0</v>
      </c>
      <c r="F481" s="1">
        <v>0</v>
      </c>
      <c r="G481" s="1">
        <v>202</v>
      </c>
      <c r="H481" s="1">
        <v>0</v>
      </c>
      <c r="I481" s="1">
        <v>0</v>
      </c>
      <c r="J481" s="1">
        <f t="shared" si="22"/>
        <v>202</v>
      </c>
      <c r="K481" s="1">
        <v>73</v>
      </c>
      <c r="L481" s="1">
        <v>0</v>
      </c>
      <c r="M481" s="1">
        <v>0</v>
      </c>
      <c r="N481" s="1">
        <f t="shared" si="21"/>
        <v>73</v>
      </c>
      <c r="O481" s="9">
        <f t="shared" si="23"/>
        <v>73</v>
      </c>
      <c r="P481" s="1">
        <v>0</v>
      </c>
      <c r="Q481" s="1">
        <v>0</v>
      </c>
      <c r="R481" s="12">
        <v>37288</v>
      </c>
      <c r="S481" s="1">
        <v>275</v>
      </c>
      <c r="T481" s="9" t="s">
        <v>46</v>
      </c>
    </row>
    <row r="482" spans="1:20" x14ac:dyDescent="0.25">
      <c r="A482" s="10" t="s">
        <v>19</v>
      </c>
      <c r="B482" t="b">
        <v>0</v>
      </c>
      <c r="C482" t="b">
        <v>0</v>
      </c>
      <c r="D482" s="1">
        <v>0</v>
      </c>
      <c r="E482" s="1">
        <v>0</v>
      </c>
      <c r="F482" s="1">
        <v>0</v>
      </c>
      <c r="G482" s="1">
        <v>246</v>
      </c>
      <c r="H482" s="1">
        <v>0</v>
      </c>
      <c r="I482" s="1">
        <v>0</v>
      </c>
      <c r="J482" s="1">
        <f t="shared" si="22"/>
        <v>246</v>
      </c>
      <c r="K482" s="1">
        <v>73</v>
      </c>
      <c r="L482" s="1">
        <v>0</v>
      </c>
      <c r="M482" s="1">
        <v>0</v>
      </c>
      <c r="N482" s="1">
        <f t="shared" si="21"/>
        <v>73</v>
      </c>
      <c r="O482" s="9">
        <f t="shared" si="23"/>
        <v>73</v>
      </c>
      <c r="P482" s="1">
        <v>0</v>
      </c>
      <c r="Q482" s="1">
        <v>0</v>
      </c>
      <c r="R482" s="12">
        <v>37316</v>
      </c>
      <c r="S482" s="1">
        <v>319</v>
      </c>
      <c r="T482" s="9" t="s">
        <v>46</v>
      </c>
    </row>
    <row r="483" spans="1:20" x14ac:dyDescent="0.25">
      <c r="A483" s="10" t="s">
        <v>19</v>
      </c>
      <c r="B483" t="b">
        <v>0</v>
      </c>
      <c r="C483" t="b">
        <v>0</v>
      </c>
      <c r="D483" s="1">
        <v>0</v>
      </c>
      <c r="E483" s="1">
        <v>0</v>
      </c>
      <c r="F483" s="1">
        <v>0</v>
      </c>
      <c r="G483" s="1">
        <v>360</v>
      </c>
      <c r="H483" s="1">
        <v>0</v>
      </c>
      <c r="I483" s="1">
        <v>0</v>
      </c>
      <c r="J483" s="1">
        <f t="shared" si="22"/>
        <v>360</v>
      </c>
      <c r="K483" s="1">
        <v>55</v>
      </c>
      <c r="L483" s="1">
        <v>0</v>
      </c>
      <c r="M483" s="1">
        <v>0</v>
      </c>
      <c r="N483" s="1">
        <f t="shared" si="21"/>
        <v>55</v>
      </c>
      <c r="O483" s="9">
        <f t="shared" si="23"/>
        <v>55</v>
      </c>
      <c r="P483" s="1">
        <v>0</v>
      </c>
      <c r="Q483" s="1">
        <v>0</v>
      </c>
      <c r="R483" s="12">
        <v>37347</v>
      </c>
      <c r="S483" s="1">
        <v>415</v>
      </c>
      <c r="T483" s="9" t="s">
        <v>46</v>
      </c>
    </row>
    <row r="484" spans="1:20" x14ac:dyDescent="0.25">
      <c r="A484" s="10" t="s">
        <v>19</v>
      </c>
      <c r="B484" t="b">
        <v>0</v>
      </c>
      <c r="C484" t="b">
        <v>0</v>
      </c>
      <c r="D484" s="1">
        <v>0</v>
      </c>
      <c r="E484" s="1">
        <v>0</v>
      </c>
      <c r="F484" s="1">
        <v>0</v>
      </c>
      <c r="G484" s="1">
        <v>685</v>
      </c>
      <c r="H484" s="1">
        <v>0</v>
      </c>
      <c r="I484" s="1">
        <v>0</v>
      </c>
      <c r="J484" s="1">
        <f t="shared" si="22"/>
        <v>685</v>
      </c>
      <c r="K484" s="1">
        <v>185</v>
      </c>
      <c r="L484" s="1">
        <v>0</v>
      </c>
      <c r="M484" s="1">
        <v>0</v>
      </c>
      <c r="N484" s="1">
        <f t="shared" si="21"/>
        <v>185</v>
      </c>
      <c r="O484" s="9">
        <f t="shared" si="23"/>
        <v>185</v>
      </c>
      <c r="P484" s="1">
        <v>0</v>
      </c>
      <c r="Q484" s="1">
        <v>0</v>
      </c>
      <c r="R484" s="12">
        <v>37377</v>
      </c>
      <c r="S484" s="1">
        <v>870</v>
      </c>
      <c r="T484" s="9" t="s">
        <v>46</v>
      </c>
    </row>
    <row r="485" spans="1:20" x14ac:dyDescent="0.25">
      <c r="A485" s="10" t="s">
        <v>19</v>
      </c>
      <c r="B485" t="b">
        <v>0</v>
      </c>
      <c r="C485" t="b">
        <v>0</v>
      </c>
      <c r="D485" s="1">
        <v>0</v>
      </c>
      <c r="E485" s="1">
        <v>0</v>
      </c>
      <c r="F485" s="1">
        <v>0</v>
      </c>
      <c r="G485" s="1">
        <v>505</v>
      </c>
      <c r="H485" s="1">
        <v>0</v>
      </c>
      <c r="I485" s="1">
        <v>0</v>
      </c>
      <c r="J485" s="1">
        <f t="shared" si="22"/>
        <v>505</v>
      </c>
      <c r="K485" s="1">
        <v>96</v>
      </c>
      <c r="L485" s="1">
        <v>0</v>
      </c>
      <c r="M485" s="1">
        <v>0</v>
      </c>
      <c r="N485" s="1">
        <f t="shared" si="21"/>
        <v>96</v>
      </c>
      <c r="O485" s="9">
        <f t="shared" si="23"/>
        <v>96</v>
      </c>
      <c r="P485" s="1">
        <v>0</v>
      </c>
      <c r="Q485" s="1">
        <v>0</v>
      </c>
      <c r="R485" s="12">
        <v>37408</v>
      </c>
      <c r="S485" s="1">
        <v>601</v>
      </c>
      <c r="T485" s="9" t="s">
        <v>46</v>
      </c>
    </row>
    <row r="486" spans="1:20" x14ac:dyDescent="0.25">
      <c r="A486" s="10" t="s">
        <v>19</v>
      </c>
      <c r="B486" t="b">
        <v>0</v>
      </c>
      <c r="C486" t="b">
        <v>0</v>
      </c>
      <c r="D486" s="1">
        <v>0</v>
      </c>
      <c r="E486" s="1">
        <v>0</v>
      </c>
      <c r="F486" s="1">
        <v>0</v>
      </c>
      <c r="G486" s="1">
        <v>570</v>
      </c>
      <c r="H486" s="1">
        <v>0</v>
      </c>
      <c r="I486" s="1">
        <v>0</v>
      </c>
      <c r="J486" s="1">
        <f t="shared" si="22"/>
        <v>570</v>
      </c>
      <c r="K486" s="1">
        <v>0</v>
      </c>
      <c r="L486" s="1">
        <v>0</v>
      </c>
      <c r="M486" s="1">
        <v>0</v>
      </c>
      <c r="N486" s="1">
        <f t="shared" si="21"/>
        <v>0</v>
      </c>
      <c r="O486" s="9">
        <f t="shared" si="23"/>
        <v>0</v>
      </c>
      <c r="P486" s="1">
        <v>0</v>
      </c>
      <c r="Q486" s="1">
        <v>0</v>
      </c>
      <c r="R486" s="12">
        <v>37438</v>
      </c>
      <c r="S486" s="1">
        <v>570</v>
      </c>
      <c r="T486" s="9" t="s">
        <v>46</v>
      </c>
    </row>
    <row r="487" spans="1:20" x14ac:dyDescent="0.25">
      <c r="A487" s="10" t="s">
        <v>19</v>
      </c>
      <c r="B487" t="b">
        <v>0</v>
      </c>
      <c r="C487" t="b">
        <v>0</v>
      </c>
      <c r="D487" s="1">
        <v>0</v>
      </c>
      <c r="E487" s="1">
        <v>0</v>
      </c>
      <c r="F487" s="1">
        <v>0</v>
      </c>
      <c r="G487" s="1">
        <v>1193</v>
      </c>
      <c r="H487" s="1">
        <v>0</v>
      </c>
      <c r="I487" s="1">
        <v>0</v>
      </c>
      <c r="J487" s="1">
        <f t="shared" si="22"/>
        <v>1193</v>
      </c>
      <c r="K487" s="1">
        <v>286</v>
      </c>
      <c r="L487" s="1">
        <v>0</v>
      </c>
      <c r="M487" s="1">
        <v>0</v>
      </c>
      <c r="N487" s="1">
        <f t="shared" si="21"/>
        <v>286</v>
      </c>
      <c r="O487" s="9">
        <f t="shared" si="23"/>
        <v>286</v>
      </c>
      <c r="P487" s="1">
        <v>0</v>
      </c>
      <c r="Q487" s="1">
        <v>0</v>
      </c>
      <c r="R487" s="12">
        <v>37469</v>
      </c>
      <c r="S487" s="1">
        <v>1479</v>
      </c>
      <c r="T487" s="9" t="s">
        <v>46</v>
      </c>
    </row>
    <row r="488" spans="1:20" x14ac:dyDescent="0.25">
      <c r="A488" s="10" t="s">
        <v>19</v>
      </c>
      <c r="B488" t="b">
        <v>0</v>
      </c>
      <c r="C488" t="b">
        <v>0</v>
      </c>
      <c r="D488" s="1">
        <v>0</v>
      </c>
      <c r="E488" s="1">
        <v>0</v>
      </c>
      <c r="F488" s="1">
        <v>0</v>
      </c>
      <c r="G488" s="1">
        <v>872</v>
      </c>
      <c r="H488" s="1">
        <v>0</v>
      </c>
      <c r="I488" s="1">
        <v>0</v>
      </c>
      <c r="J488" s="1">
        <f t="shared" si="22"/>
        <v>872</v>
      </c>
      <c r="K488" s="1">
        <v>423</v>
      </c>
      <c r="L488" s="1">
        <v>0</v>
      </c>
      <c r="M488" s="1">
        <v>0</v>
      </c>
      <c r="N488" s="1">
        <f t="shared" si="21"/>
        <v>423</v>
      </c>
      <c r="O488" s="9">
        <f t="shared" si="23"/>
        <v>423</v>
      </c>
      <c r="P488" s="1">
        <v>0</v>
      </c>
      <c r="Q488" s="1">
        <v>0</v>
      </c>
      <c r="R488" s="12">
        <v>37500</v>
      </c>
      <c r="S488" s="1">
        <v>1295</v>
      </c>
      <c r="T488" s="9" t="s">
        <v>46</v>
      </c>
    </row>
    <row r="489" spans="1:20" x14ac:dyDescent="0.25">
      <c r="A489" s="10" t="s">
        <v>19</v>
      </c>
      <c r="B489" t="b">
        <v>0</v>
      </c>
      <c r="C489" t="b">
        <v>0</v>
      </c>
      <c r="D489" s="1">
        <v>0</v>
      </c>
      <c r="E489" s="1">
        <v>0</v>
      </c>
      <c r="F489" s="1">
        <v>0</v>
      </c>
      <c r="G489" s="1">
        <v>567</v>
      </c>
      <c r="H489" s="1">
        <v>0</v>
      </c>
      <c r="I489" s="1">
        <v>0</v>
      </c>
      <c r="J489" s="1">
        <f t="shared" si="22"/>
        <v>567</v>
      </c>
      <c r="K489" s="1">
        <v>219</v>
      </c>
      <c r="L489" s="1">
        <v>0</v>
      </c>
      <c r="M489" s="1">
        <v>0</v>
      </c>
      <c r="N489" s="1">
        <f t="shared" si="21"/>
        <v>219</v>
      </c>
      <c r="O489" s="9">
        <f t="shared" si="23"/>
        <v>219</v>
      </c>
      <c r="P489" s="1">
        <v>0</v>
      </c>
      <c r="Q489" s="1">
        <v>0</v>
      </c>
      <c r="R489" s="12">
        <v>37530</v>
      </c>
      <c r="S489" s="1">
        <v>786</v>
      </c>
      <c r="T489" s="9" t="s">
        <v>46</v>
      </c>
    </row>
    <row r="490" spans="1:20" x14ac:dyDescent="0.25">
      <c r="A490" s="10" t="s">
        <v>19</v>
      </c>
      <c r="B490" t="b">
        <v>0</v>
      </c>
      <c r="C490" t="b">
        <v>0</v>
      </c>
      <c r="D490" s="1">
        <v>0</v>
      </c>
      <c r="E490" s="1">
        <v>0</v>
      </c>
      <c r="F490" s="1">
        <v>0</v>
      </c>
      <c r="G490" s="1">
        <v>378</v>
      </c>
      <c r="H490" s="1">
        <v>0</v>
      </c>
      <c r="I490" s="1">
        <v>0</v>
      </c>
      <c r="J490" s="1">
        <f t="shared" si="22"/>
        <v>378</v>
      </c>
      <c r="K490" s="1">
        <v>181</v>
      </c>
      <c r="L490" s="1">
        <v>0</v>
      </c>
      <c r="M490" s="1">
        <v>0</v>
      </c>
      <c r="N490" s="1">
        <f t="shared" si="21"/>
        <v>181</v>
      </c>
      <c r="O490" s="9">
        <f t="shared" si="23"/>
        <v>181</v>
      </c>
      <c r="P490" s="1">
        <v>0</v>
      </c>
      <c r="Q490" s="1">
        <v>0</v>
      </c>
      <c r="R490" s="12">
        <v>37561</v>
      </c>
      <c r="S490" s="1">
        <v>559</v>
      </c>
      <c r="T490" s="9" t="s">
        <v>46</v>
      </c>
    </row>
    <row r="491" spans="1:20" x14ac:dyDescent="0.25">
      <c r="A491" s="10" t="s">
        <v>19</v>
      </c>
      <c r="B491" t="b">
        <v>0</v>
      </c>
      <c r="C491" t="b">
        <v>0</v>
      </c>
      <c r="D491" s="1">
        <v>0</v>
      </c>
      <c r="E491" s="1">
        <v>0</v>
      </c>
      <c r="F491" s="1">
        <v>0</v>
      </c>
      <c r="G491" s="1">
        <v>393</v>
      </c>
      <c r="H491" s="1">
        <v>0</v>
      </c>
      <c r="I491" s="1">
        <v>0</v>
      </c>
      <c r="J491" s="1">
        <f t="shared" si="22"/>
        <v>393</v>
      </c>
      <c r="K491" s="1">
        <v>228</v>
      </c>
      <c r="L491" s="1">
        <v>0</v>
      </c>
      <c r="M491" s="1">
        <v>0</v>
      </c>
      <c r="N491" s="1">
        <f t="shared" si="21"/>
        <v>228</v>
      </c>
      <c r="O491" s="9">
        <f t="shared" si="23"/>
        <v>228</v>
      </c>
      <c r="P491" s="1">
        <v>0</v>
      </c>
      <c r="Q491" s="1">
        <v>0</v>
      </c>
      <c r="R491" s="12">
        <v>37591</v>
      </c>
      <c r="S491" s="1">
        <v>621</v>
      </c>
      <c r="T491" s="9" t="s">
        <v>46</v>
      </c>
    </row>
    <row r="492" spans="1:20" x14ac:dyDescent="0.25">
      <c r="A492" s="10" t="s">
        <v>19</v>
      </c>
      <c r="B492" t="b">
        <v>0</v>
      </c>
      <c r="C492" t="b">
        <v>0</v>
      </c>
      <c r="D492" s="1">
        <v>0</v>
      </c>
      <c r="E492" s="1">
        <v>0</v>
      </c>
      <c r="F492" s="1">
        <v>0</v>
      </c>
      <c r="G492" s="1">
        <v>420</v>
      </c>
      <c r="H492" s="1">
        <v>0</v>
      </c>
      <c r="I492" s="1">
        <v>0</v>
      </c>
      <c r="J492" s="1">
        <f t="shared" si="22"/>
        <v>420</v>
      </c>
      <c r="K492" s="1">
        <v>140</v>
      </c>
      <c r="L492" s="1">
        <v>0</v>
      </c>
      <c r="M492" s="1">
        <v>0</v>
      </c>
      <c r="N492" s="1">
        <f t="shared" si="21"/>
        <v>140</v>
      </c>
      <c r="O492" s="9">
        <f t="shared" si="23"/>
        <v>140</v>
      </c>
      <c r="P492" s="1">
        <v>0</v>
      </c>
      <c r="Q492" s="1">
        <v>0</v>
      </c>
      <c r="R492" s="12">
        <v>37622</v>
      </c>
      <c r="S492" s="1">
        <v>560</v>
      </c>
      <c r="T492" s="9" t="s">
        <v>21</v>
      </c>
    </row>
    <row r="493" spans="1:20" x14ac:dyDescent="0.25">
      <c r="A493" s="10" t="s">
        <v>19</v>
      </c>
      <c r="B493" t="b">
        <v>0</v>
      </c>
      <c r="C493" t="b">
        <v>0</v>
      </c>
      <c r="D493" s="1">
        <v>0</v>
      </c>
      <c r="E493" s="1">
        <v>0</v>
      </c>
      <c r="F493" s="1">
        <v>0</v>
      </c>
      <c r="G493" s="1">
        <v>411</v>
      </c>
      <c r="H493" s="1">
        <v>0</v>
      </c>
      <c r="I493" s="1">
        <v>0</v>
      </c>
      <c r="J493" s="1">
        <f t="shared" si="22"/>
        <v>411</v>
      </c>
      <c r="K493" s="1">
        <v>12</v>
      </c>
      <c r="L493" s="1">
        <v>0</v>
      </c>
      <c r="M493" s="1">
        <v>0</v>
      </c>
      <c r="N493" s="1">
        <f t="shared" si="21"/>
        <v>12</v>
      </c>
      <c r="O493" s="9">
        <f t="shared" si="23"/>
        <v>12</v>
      </c>
      <c r="P493" s="1">
        <v>0</v>
      </c>
      <c r="Q493" s="1">
        <v>0</v>
      </c>
      <c r="R493" s="12">
        <v>37653</v>
      </c>
      <c r="S493" s="1">
        <v>423</v>
      </c>
      <c r="T493" s="9" t="s">
        <v>21</v>
      </c>
    </row>
    <row r="494" spans="1:20" x14ac:dyDescent="0.25">
      <c r="A494" s="10" t="s">
        <v>19</v>
      </c>
      <c r="B494" t="b">
        <v>0</v>
      </c>
      <c r="C494" t="b">
        <v>0</v>
      </c>
      <c r="D494" s="1">
        <v>0</v>
      </c>
      <c r="E494" s="1">
        <v>0</v>
      </c>
      <c r="F494" s="1">
        <v>0</v>
      </c>
      <c r="G494" s="1">
        <v>410</v>
      </c>
      <c r="H494" s="1">
        <v>0</v>
      </c>
      <c r="I494" s="1">
        <v>0</v>
      </c>
      <c r="J494" s="1">
        <f t="shared" si="22"/>
        <v>410</v>
      </c>
      <c r="K494" s="1">
        <v>161</v>
      </c>
      <c r="L494" s="1">
        <v>0</v>
      </c>
      <c r="M494" s="1">
        <v>0</v>
      </c>
      <c r="N494" s="1">
        <f t="shared" si="21"/>
        <v>161</v>
      </c>
      <c r="O494" s="9">
        <f t="shared" si="23"/>
        <v>161</v>
      </c>
      <c r="P494" s="1">
        <v>0</v>
      </c>
      <c r="Q494" s="1">
        <v>0</v>
      </c>
      <c r="R494" s="12">
        <v>37681</v>
      </c>
      <c r="S494" s="1">
        <v>571</v>
      </c>
      <c r="T494" s="9" t="s">
        <v>21</v>
      </c>
    </row>
    <row r="495" spans="1:20" x14ac:dyDescent="0.25">
      <c r="A495" s="10" t="s">
        <v>19</v>
      </c>
      <c r="B495" t="b">
        <v>0</v>
      </c>
      <c r="C495" t="b">
        <v>0</v>
      </c>
      <c r="D495" s="1">
        <v>0</v>
      </c>
      <c r="E495" s="1">
        <v>0</v>
      </c>
      <c r="F495" s="1">
        <v>0</v>
      </c>
      <c r="G495" s="1">
        <v>448</v>
      </c>
      <c r="H495" s="1">
        <v>0</v>
      </c>
      <c r="I495" s="1">
        <v>0</v>
      </c>
      <c r="J495" s="1">
        <f t="shared" si="22"/>
        <v>448</v>
      </c>
      <c r="K495" s="1">
        <v>143</v>
      </c>
      <c r="L495" s="1">
        <v>0</v>
      </c>
      <c r="M495" s="1">
        <v>0</v>
      </c>
      <c r="N495" s="1">
        <f t="shared" si="21"/>
        <v>143</v>
      </c>
      <c r="O495" s="9">
        <f t="shared" si="23"/>
        <v>143</v>
      </c>
      <c r="P495" s="1">
        <v>0</v>
      </c>
      <c r="Q495" s="1">
        <v>0</v>
      </c>
      <c r="R495" s="12">
        <v>37712</v>
      </c>
      <c r="S495" s="1">
        <v>591</v>
      </c>
      <c r="T495" s="9" t="s">
        <v>21</v>
      </c>
    </row>
    <row r="496" spans="1:20" x14ac:dyDescent="0.25">
      <c r="A496" s="10" t="s">
        <v>19</v>
      </c>
      <c r="B496" t="b">
        <v>0</v>
      </c>
      <c r="C496" t="b">
        <v>0</v>
      </c>
      <c r="D496" s="1">
        <v>0</v>
      </c>
      <c r="E496" s="1">
        <v>0</v>
      </c>
      <c r="F496" s="1">
        <v>0</v>
      </c>
      <c r="G496" s="1">
        <v>899</v>
      </c>
      <c r="H496" s="1">
        <v>0</v>
      </c>
      <c r="I496" s="1">
        <v>0</v>
      </c>
      <c r="J496" s="1">
        <f t="shared" si="22"/>
        <v>899</v>
      </c>
      <c r="K496" s="1">
        <v>305</v>
      </c>
      <c r="L496" s="1">
        <v>0</v>
      </c>
      <c r="M496" s="1">
        <v>0</v>
      </c>
      <c r="N496" s="1">
        <f t="shared" si="21"/>
        <v>305</v>
      </c>
      <c r="O496" s="9">
        <f t="shared" si="23"/>
        <v>305</v>
      </c>
      <c r="P496" s="1">
        <v>0</v>
      </c>
      <c r="Q496" s="1">
        <v>0</v>
      </c>
      <c r="R496" s="12">
        <v>37742</v>
      </c>
      <c r="S496" s="1">
        <v>1204</v>
      </c>
      <c r="T496" s="9" t="s">
        <v>21</v>
      </c>
    </row>
    <row r="497" spans="1:20" x14ac:dyDescent="0.25">
      <c r="A497" s="10" t="s">
        <v>19</v>
      </c>
      <c r="B497" t="b">
        <v>0</v>
      </c>
      <c r="C497" t="b">
        <v>0</v>
      </c>
      <c r="D497" s="1">
        <v>0</v>
      </c>
      <c r="E497" s="1">
        <v>0</v>
      </c>
      <c r="F497" s="1">
        <v>0</v>
      </c>
      <c r="G497" s="1">
        <v>851</v>
      </c>
      <c r="H497" s="1">
        <v>0</v>
      </c>
      <c r="I497" s="1">
        <v>0</v>
      </c>
      <c r="J497" s="1">
        <f t="shared" si="22"/>
        <v>851</v>
      </c>
      <c r="K497" s="1">
        <v>210</v>
      </c>
      <c r="L497" s="1">
        <v>0</v>
      </c>
      <c r="M497" s="1">
        <v>0</v>
      </c>
      <c r="N497" s="1">
        <f t="shared" si="21"/>
        <v>210</v>
      </c>
      <c r="O497" s="9">
        <f t="shared" si="23"/>
        <v>210</v>
      </c>
      <c r="P497" s="1">
        <v>0</v>
      </c>
      <c r="Q497" s="1">
        <v>0</v>
      </c>
      <c r="R497" s="12">
        <v>37773</v>
      </c>
      <c r="S497" s="1">
        <v>1061</v>
      </c>
      <c r="T497" s="9" t="s">
        <v>21</v>
      </c>
    </row>
    <row r="498" spans="1:20" x14ac:dyDescent="0.25">
      <c r="A498" s="10" t="s">
        <v>19</v>
      </c>
      <c r="B498" t="b">
        <v>0</v>
      </c>
      <c r="C498" t="b">
        <v>0</v>
      </c>
      <c r="D498" s="1">
        <v>0</v>
      </c>
      <c r="E498" s="1">
        <v>0</v>
      </c>
      <c r="F498" s="1">
        <v>0</v>
      </c>
      <c r="G498" s="1">
        <v>701</v>
      </c>
      <c r="H498" s="1">
        <v>0</v>
      </c>
      <c r="I498" s="1">
        <v>0</v>
      </c>
      <c r="J498" s="1">
        <f t="shared" si="22"/>
        <v>701</v>
      </c>
      <c r="K498" s="1">
        <v>266</v>
      </c>
      <c r="L498" s="1">
        <v>0</v>
      </c>
      <c r="M498" s="1">
        <v>0</v>
      </c>
      <c r="N498" s="1">
        <f t="shared" si="21"/>
        <v>266</v>
      </c>
      <c r="O498" s="9">
        <f t="shared" si="23"/>
        <v>266</v>
      </c>
      <c r="P498" s="1">
        <v>0</v>
      </c>
      <c r="Q498" s="1">
        <v>0</v>
      </c>
      <c r="R498" s="12">
        <v>37803</v>
      </c>
      <c r="S498" s="1">
        <v>967</v>
      </c>
      <c r="T498" s="9" t="s">
        <v>21</v>
      </c>
    </row>
    <row r="499" spans="1:20" x14ac:dyDescent="0.25">
      <c r="A499" s="10" t="s">
        <v>19</v>
      </c>
      <c r="B499" t="b">
        <v>0</v>
      </c>
      <c r="C499" t="b">
        <v>0</v>
      </c>
      <c r="D499" s="1">
        <v>0</v>
      </c>
      <c r="E499" s="1">
        <v>0</v>
      </c>
      <c r="F499" s="1">
        <v>0</v>
      </c>
      <c r="G499" s="1">
        <v>1280</v>
      </c>
      <c r="H499" s="1">
        <v>0</v>
      </c>
      <c r="I499" s="1">
        <v>0</v>
      </c>
      <c r="J499" s="1">
        <f t="shared" si="22"/>
        <v>1280</v>
      </c>
      <c r="K499" s="1">
        <v>258</v>
      </c>
      <c r="L499" s="1">
        <v>0</v>
      </c>
      <c r="M499" s="1">
        <v>0</v>
      </c>
      <c r="N499" s="1">
        <f t="shared" si="21"/>
        <v>258</v>
      </c>
      <c r="O499" s="9">
        <f t="shared" si="23"/>
        <v>258</v>
      </c>
      <c r="P499" s="1">
        <v>0</v>
      </c>
      <c r="Q499" s="1">
        <v>0</v>
      </c>
      <c r="R499" s="12">
        <v>37834</v>
      </c>
      <c r="S499" s="1">
        <v>1538</v>
      </c>
      <c r="T499" s="9" t="s">
        <v>21</v>
      </c>
    </row>
    <row r="500" spans="1:20" x14ac:dyDescent="0.25">
      <c r="A500" s="10" t="s">
        <v>19</v>
      </c>
      <c r="B500" t="b">
        <v>0</v>
      </c>
      <c r="C500" t="b">
        <v>0</v>
      </c>
      <c r="D500" s="1">
        <v>0</v>
      </c>
      <c r="E500" s="1">
        <v>0</v>
      </c>
      <c r="F500" s="1">
        <v>0</v>
      </c>
      <c r="G500" s="1">
        <v>894</v>
      </c>
      <c r="H500" s="1">
        <v>0</v>
      </c>
      <c r="I500" s="1">
        <v>0</v>
      </c>
      <c r="J500" s="1">
        <f t="shared" si="22"/>
        <v>894</v>
      </c>
      <c r="K500" s="1">
        <v>429</v>
      </c>
      <c r="L500" s="1">
        <v>0</v>
      </c>
      <c r="M500" s="1">
        <v>0</v>
      </c>
      <c r="N500" s="1">
        <f t="shared" si="21"/>
        <v>429</v>
      </c>
      <c r="O500" s="9">
        <f t="shared" si="23"/>
        <v>429</v>
      </c>
      <c r="P500" s="1">
        <v>0</v>
      </c>
      <c r="Q500" s="1">
        <v>0</v>
      </c>
      <c r="R500" s="12">
        <v>37865</v>
      </c>
      <c r="S500" s="1">
        <v>1323</v>
      </c>
      <c r="T500" s="9" t="s">
        <v>21</v>
      </c>
    </row>
    <row r="501" spans="1:20" x14ac:dyDescent="0.25">
      <c r="A501" s="10" t="s">
        <v>19</v>
      </c>
      <c r="B501" t="b">
        <v>0</v>
      </c>
      <c r="C501" t="b">
        <v>0</v>
      </c>
      <c r="D501" s="1">
        <v>0</v>
      </c>
      <c r="E501" s="1">
        <v>0</v>
      </c>
      <c r="F501" s="1">
        <v>0</v>
      </c>
      <c r="G501" s="1">
        <v>754</v>
      </c>
      <c r="H501" s="1">
        <v>0</v>
      </c>
      <c r="I501" s="1">
        <v>0</v>
      </c>
      <c r="J501" s="1">
        <f t="shared" si="22"/>
        <v>754</v>
      </c>
      <c r="K501" s="1">
        <v>310</v>
      </c>
      <c r="L501" s="1">
        <v>0</v>
      </c>
      <c r="M501" s="1">
        <v>0</v>
      </c>
      <c r="N501" s="1">
        <f>K501+L501+M501</f>
        <v>310</v>
      </c>
      <c r="O501" s="9">
        <f t="shared" si="23"/>
        <v>310</v>
      </c>
      <c r="P501" s="1">
        <v>0</v>
      </c>
      <c r="Q501" s="1">
        <v>0</v>
      </c>
      <c r="R501" s="12">
        <v>37895</v>
      </c>
      <c r="S501" s="1">
        <v>1064</v>
      </c>
      <c r="T501" s="9" t="s">
        <v>21</v>
      </c>
    </row>
    <row r="502" spans="1:20" x14ac:dyDescent="0.25">
      <c r="A502" s="10" t="s">
        <v>19</v>
      </c>
      <c r="B502" t="b">
        <v>0</v>
      </c>
      <c r="C502" t="b">
        <v>0</v>
      </c>
      <c r="D502" s="1">
        <v>0</v>
      </c>
      <c r="E502" s="1">
        <v>0</v>
      </c>
      <c r="F502" s="1">
        <v>0</v>
      </c>
      <c r="G502" s="1">
        <v>337</v>
      </c>
      <c r="H502" s="1">
        <v>0</v>
      </c>
      <c r="I502" s="1">
        <v>0</v>
      </c>
      <c r="J502" s="1">
        <f t="shared" si="22"/>
        <v>337</v>
      </c>
      <c r="K502" s="1">
        <v>0</v>
      </c>
      <c r="L502" s="1">
        <v>0</v>
      </c>
      <c r="M502" s="1">
        <v>0</v>
      </c>
      <c r="N502" s="1">
        <f t="shared" ref="N502:N565" si="24">K502+L502+M502</f>
        <v>0</v>
      </c>
      <c r="O502" s="9">
        <f t="shared" si="23"/>
        <v>0</v>
      </c>
      <c r="P502" s="1">
        <v>0</v>
      </c>
      <c r="Q502" s="1">
        <v>0</v>
      </c>
      <c r="R502" s="12">
        <v>37926</v>
      </c>
      <c r="S502" s="1">
        <v>337</v>
      </c>
      <c r="T502" s="9" t="s">
        <v>21</v>
      </c>
    </row>
    <row r="503" spans="1:20" x14ac:dyDescent="0.25">
      <c r="A503" s="10" t="s">
        <v>19</v>
      </c>
      <c r="B503" t="b">
        <v>0</v>
      </c>
      <c r="C503" t="b">
        <v>0</v>
      </c>
      <c r="D503" s="1">
        <v>0</v>
      </c>
      <c r="E503" s="1">
        <v>0</v>
      </c>
      <c r="F503" s="1">
        <v>0</v>
      </c>
      <c r="G503" s="1">
        <v>606</v>
      </c>
      <c r="H503" s="1">
        <v>0</v>
      </c>
      <c r="I503" s="1">
        <v>0</v>
      </c>
      <c r="J503" s="1">
        <f t="shared" si="22"/>
        <v>606</v>
      </c>
      <c r="K503" s="1">
        <v>0</v>
      </c>
      <c r="L503" s="1">
        <v>0</v>
      </c>
      <c r="M503" s="1">
        <v>0</v>
      </c>
      <c r="N503" s="1">
        <f t="shared" si="24"/>
        <v>0</v>
      </c>
      <c r="O503" s="9">
        <f t="shared" si="23"/>
        <v>0</v>
      </c>
      <c r="P503" s="1">
        <v>0</v>
      </c>
      <c r="Q503" s="1">
        <v>0</v>
      </c>
      <c r="R503" s="12">
        <v>37956</v>
      </c>
      <c r="S503" s="1">
        <v>606</v>
      </c>
      <c r="T503" s="9" t="s">
        <v>21</v>
      </c>
    </row>
    <row r="504" spans="1:20" x14ac:dyDescent="0.25">
      <c r="A504" s="10" t="s">
        <v>19</v>
      </c>
      <c r="B504" t="b">
        <v>0</v>
      </c>
      <c r="C504" t="b">
        <v>0</v>
      </c>
      <c r="D504" s="1">
        <v>0</v>
      </c>
      <c r="E504" s="1">
        <v>0</v>
      </c>
      <c r="F504" s="1">
        <v>0</v>
      </c>
      <c r="G504" s="1">
        <v>1106</v>
      </c>
      <c r="H504" s="1">
        <v>0</v>
      </c>
      <c r="I504" s="1">
        <v>0</v>
      </c>
      <c r="J504" s="1">
        <f t="shared" si="22"/>
        <v>1106</v>
      </c>
      <c r="K504" s="1">
        <v>134</v>
      </c>
      <c r="L504" s="1">
        <v>0</v>
      </c>
      <c r="M504" s="1">
        <v>0</v>
      </c>
      <c r="N504" s="1">
        <f t="shared" si="24"/>
        <v>134</v>
      </c>
      <c r="O504" s="9">
        <f t="shared" si="23"/>
        <v>134</v>
      </c>
      <c r="P504" s="1">
        <v>0</v>
      </c>
      <c r="Q504" s="1">
        <v>0</v>
      </c>
      <c r="R504" s="12">
        <v>37987</v>
      </c>
      <c r="S504" s="1">
        <v>1240</v>
      </c>
      <c r="T504" s="9" t="s">
        <v>41</v>
      </c>
    </row>
    <row r="505" spans="1:20" x14ac:dyDescent="0.25">
      <c r="A505" s="10" t="s">
        <v>19</v>
      </c>
      <c r="B505" t="b">
        <v>0</v>
      </c>
      <c r="C505" t="b">
        <v>0</v>
      </c>
      <c r="D505" s="1">
        <v>0</v>
      </c>
      <c r="E505" s="1">
        <v>0</v>
      </c>
      <c r="F505" s="1">
        <v>0</v>
      </c>
      <c r="G505" s="1">
        <v>1173</v>
      </c>
      <c r="H505" s="1">
        <v>0</v>
      </c>
      <c r="I505" s="1">
        <v>0</v>
      </c>
      <c r="J505" s="1">
        <f t="shared" si="22"/>
        <v>1173</v>
      </c>
      <c r="K505" s="1">
        <v>0</v>
      </c>
      <c r="L505" s="1">
        <v>0</v>
      </c>
      <c r="M505" s="1">
        <v>0</v>
      </c>
      <c r="N505" s="1">
        <f t="shared" si="24"/>
        <v>0</v>
      </c>
      <c r="O505" s="9">
        <f t="shared" si="23"/>
        <v>0</v>
      </c>
      <c r="P505" s="1">
        <v>0</v>
      </c>
      <c r="Q505" s="1">
        <v>0</v>
      </c>
      <c r="R505" s="12">
        <v>38018</v>
      </c>
      <c r="S505" s="1">
        <v>1173</v>
      </c>
      <c r="T505" s="9" t="s">
        <v>41</v>
      </c>
    </row>
    <row r="506" spans="1:20" x14ac:dyDescent="0.25">
      <c r="A506" s="10" t="s">
        <v>19</v>
      </c>
      <c r="B506" t="b">
        <v>0</v>
      </c>
      <c r="C506" t="b">
        <v>0</v>
      </c>
      <c r="D506" s="1">
        <v>0</v>
      </c>
      <c r="E506" s="1">
        <v>0</v>
      </c>
      <c r="F506" s="1">
        <v>0</v>
      </c>
      <c r="G506" s="1">
        <v>571</v>
      </c>
      <c r="H506" s="1">
        <v>0</v>
      </c>
      <c r="I506" s="1">
        <v>0</v>
      </c>
      <c r="J506" s="1">
        <f t="shared" si="22"/>
        <v>571</v>
      </c>
      <c r="K506" s="1">
        <v>204</v>
      </c>
      <c r="L506" s="1">
        <v>0</v>
      </c>
      <c r="M506" s="1">
        <v>0</v>
      </c>
      <c r="N506" s="1">
        <f t="shared" si="24"/>
        <v>204</v>
      </c>
      <c r="O506" s="9">
        <f t="shared" si="23"/>
        <v>204</v>
      </c>
      <c r="P506" s="1">
        <v>0</v>
      </c>
      <c r="Q506" s="1">
        <v>0</v>
      </c>
      <c r="R506" s="12">
        <v>38047</v>
      </c>
      <c r="S506" s="1">
        <v>775</v>
      </c>
      <c r="T506" s="9" t="s">
        <v>41</v>
      </c>
    </row>
    <row r="507" spans="1:20" x14ac:dyDescent="0.25">
      <c r="A507" s="10" t="s">
        <v>19</v>
      </c>
      <c r="B507" t="b">
        <v>0</v>
      </c>
      <c r="C507" t="b">
        <v>0</v>
      </c>
      <c r="D507" s="1">
        <v>0</v>
      </c>
      <c r="E507" s="1">
        <v>0</v>
      </c>
      <c r="F507" s="1">
        <v>0</v>
      </c>
      <c r="G507" s="1">
        <v>737</v>
      </c>
      <c r="H507" s="1">
        <v>0</v>
      </c>
      <c r="I507" s="1">
        <v>0</v>
      </c>
      <c r="J507" s="1">
        <f t="shared" si="22"/>
        <v>737</v>
      </c>
      <c r="K507" s="1">
        <v>254</v>
      </c>
      <c r="L507" s="1">
        <v>0</v>
      </c>
      <c r="M507" s="1">
        <v>0</v>
      </c>
      <c r="N507" s="1">
        <f t="shared" si="24"/>
        <v>254</v>
      </c>
      <c r="O507" s="9">
        <f t="shared" si="23"/>
        <v>254</v>
      </c>
      <c r="P507" s="1">
        <v>0</v>
      </c>
      <c r="Q507" s="1">
        <v>0</v>
      </c>
      <c r="R507" s="12">
        <v>38078</v>
      </c>
      <c r="S507" s="1">
        <v>991</v>
      </c>
      <c r="T507" s="9" t="s">
        <v>41</v>
      </c>
    </row>
    <row r="508" spans="1:20" x14ac:dyDescent="0.25">
      <c r="A508" s="10" t="s">
        <v>19</v>
      </c>
      <c r="B508" t="b">
        <v>0</v>
      </c>
      <c r="C508" t="b">
        <v>0</v>
      </c>
      <c r="D508" s="1">
        <v>0</v>
      </c>
      <c r="E508" s="1">
        <v>0</v>
      </c>
      <c r="F508" s="1">
        <v>0</v>
      </c>
      <c r="G508" s="1">
        <v>1068</v>
      </c>
      <c r="H508" s="1">
        <v>0</v>
      </c>
      <c r="I508" s="1">
        <v>0</v>
      </c>
      <c r="J508" s="1">
        <f t="shared" si="22"/>
        <v>1068</v>
      </c>
      <c r="K508" s="1">
        <v>266</v>
      </c>
      <c r="L508" s="1">
        <v>0</v>
      </c>
      <c r="M508" s="1">
        <v>0</v>
      </c>
      <c r="N508" s="1">
        <f t="shared" si="24"/>
        <v>266</v>
      </c>
      <c r="O508" s="9">
        <f t="shared" si="23"/>
        <v>266</v>
      </c>
      <c r="P508" s="1">
        <v>0</v>
      </c>
      <c r="Q508" s="1">
        <v>0</v>
      </c>
      <c r="R508" s="12">
        <v>38108</v>
      </c>
      <c r="S508" s="1">
        <v>1334</v>
      </c>
      <c r="T508" s="9" t="s">
        <v>41</v>
      </c>
    </row>
    <row r="509" spans="1:20" x14ac:dyDescent="0.25">
      <c r="A509" s="10" t="s">
        <v>19</v>
      </c>
      <c r="B509" t="b">
        <v>0</v>
      </c>
      <c r="C509" t="b">
        <v>0</v>
      </c>
      <c r="D509" s="1">
        <v>0</v>
      </c>
      <c r="E509" s="1">
        <v>0</v>
      </c>
      <c r="F509" s="1">
        <v>0</v>
      </c>
      <c r="G509" s="1">
        <v>957</v>
      </c>
      <c r="H509" s="1">
        <v>0</v>
      </c>
      <c r="I509" s="1">
        <v>0</v>
      </c>
      <c r="J509" s="1">
        <f t="shared" si="22"/>
        <v>957</v>
      </c>
      <c r="K509" s="1">
        <v>252</v>
      </c>
      <c r="L509" s="1">
        <v>0</v>
      </c>
      <c r="M509" s="1">
        <v>0</v>
      </c>
      <c r="N509" s="1">
        <f t="shared" si="24"/>
        <v>252</v>
      </c>
      <c r="O509" s="9">
        <f t="shared" si="23"/>
        <v>252</v>
      </c>
      <c r="P509" s="1">
        <v>0</v>
      </c>
      <c r="Q509" s="1">
        <v>0</v>
      </c>
      <c r="R509" s="12">
        <v>38139</v>
      </c>
      <c r="S509" s="1">
        <v>1209</v>
      </c>
      <c r="T509" s="9" t="s">
        <v>41</v>
      </c>
    </row>
    <row r="510" spans="1:20" x14ac:dyDescent="0.25">
      <c r="A510" s="10" t="s">
        <v>19</v>
      </c>
      <c r="B510" t="b">
        <v>0</v>
      </c>
      <c r="C510" t="b">
        <v>0</v>
      </c>
      <c r="D510" s="1">
        <v>0</v>
      </c>
      <c r="E510" s="1">
        <v>0</v>
      </c>
      <c r="F510" s="1">
        <v>0</v>
      </c>
      <c r="G510" s="1">
        <v>769</v>
      </c>
      <c r="H510" s="1">
        <v>0</v>
      </c>
      <c r="I510" s="1">
        <v>0</v>
      </c>
      <c r="J510" s="1">
        <f t="shared" si="22"/>
        <v>769</v>
      </c>
      <c r="K510" s="1">
        <v>311</v>
      </c>
      <c r="L510" s="1">
        <v>0</v>
      </c>
      <c r="M510" s="1">
        <v>0</v>
      </c>
      <c r="N510" s="1">
        <f t="shared" si="24"/>
        <v>311</v>
      </c>
      <c r="O510" s="9">
        <f t="shared" si="23"/>
        <v>311</v>
      </c>
      <c r="P510" s="1">
        <v>0</v>
      </c>
      <c r="Q510" s="1">
        <v>0</v>
      </c>
      <c r="R510" s="12">
        <v>38169</v>
      </c>
      <c r="S510" s="1">
        <v>1080</v>
      </c>
      <c r="T510" s="9" t="s">
        <v>41</v>
      </c>
    </row>
    <row r="511" spans="1:20" x14ac:dyDescent="0.25">
      <c r="A511" s="10" t="s">
        <v>19</v>
      </c>
      <c r="B511" t="b">
        <v>0</v>
      </c>
      <c r="C511" t="b">
        <v>0</v>
      </c>
      <c r="D511" s="1">
        <v>0</v>
      </c>
      <c r="E511" s="1">
        <v>0</v>
      </c>
      <c r="F511" s="1">
        <v>0</v>
      </c>
      <c r="G511" s="1">
        <v>1243</v>
      </c>
      <c r="H511" s="1">
        <v>0</v>
      </c>
      <c r="I511" s="1">
        <v>0</v>
      </c>
      <c r="J511" s="1">
        <f t="shared" si="22"/>
        <v>1243</v>
      </c>
      <c r="K511" s="1">
        <v>342</v>
      </c>
      <c r="L511" s="1">
        <v>0</v>
      </c>
      <c r="M511" s="1">
        <v>0</v>
      </c>
      <c r="N511" s="1">
        <f t="shared" si="24"/>
        <v>342</v>
      </c>
      <c r="O511" s="9">
        <f t="shared" si="23"/>
        <v>342</v>
      </c>
      <c r="P511" s="1">
        <v>0</v>
      </c>
      <c r="Q511" s="1">
        <v>0</v>
      </c>
      <c r="R511" s="12">
        <v>38200</v>
      </c>
      <c r="S511" s="1">
        <v>1585</v>
      </c>
      <c r="T511" s="9" t="s">
        <v>41</v>
      </c>
    </row>
    <row r="512" spans="1:20" x14ac:dyDescent="0.25">
      <c r="A512" s="10" t="s">
        <v>19</v>
      </c>
      <c r="B512" t="b">
        <v>0</v>
      </c>
      <c r="C512" t="b">
        <v>0</v>
      </c>
      <c r="D512" s="1">
        <v>0</v>
      </c>
      <c r="E512" s="1">
        <v>0</v>
      </c>
      <c r="F512" s="1">
        <v>0</v>
      </c>
      <c r="G512" s="1">
        <v>916</v>
      </c>
      <c r="H512" s="1">
        <v>0</v>
      </c>
      <c r="I512" s="1">
        <v>0</v>
      </c>
      <c r="J512" s="1">
        <f t="shared" si="22"/>
        <v>916</v>
      </c>
      <c r="K512" s="1">
        <v>491</v>
      </c>
      <c r="L512" s="1">
        <v>0</v>
      </c>
      <c r="M512" s="1">
        <v>0</v>
      </c>
      <c r="N512" s="1">
        <f t="shared" si="24"/>
        <v>491</v>
      </c>
      <c r="O512" s="9">
        <f t="shared" si="23"/>
        <v>491</v>
      </c>
      <c r="P512" s="1">
        <v>0</v>
      </c>
      <c r="Q512" s="1">
        <v>0</v>
      </c>
      <c r="R512" s="12">
        <v>38231</v>
      </c>
      <c r="S512" s="1">
        <v>1407</v>
      </c>
      <c r="T512" s="9" t="s">
        <v>41</v>
      </c>
    </row>
    <row r="513" spans="1:20" x14ac:dyDescent="0.25">
      <c r="A513" s="10" t="s">
        <v>19</v>
      </c>
      <c r="B513" t="b">
        <v>0</v>
      </c>
      <c r="C513" t="b">
        <v>0</v>
      </c>
      <c r="D513" s="1">
        <v>0</v>
      </c>
      <c r="E513" s="1">
        <v>0</v>
      </c>
      <c r="F513" s="1">
        <v>0</v>
      </c>
      <c r="G513" s="1">
        <v>904</v>
      </c>
      <c r="H513" s="1">
        <v>0</v>
      </c>
      <c r="I513" s="1">
        <v>0</v>
      </c>
      <c r="J513" s="1">
        <f t="shared" si="22"/>
        <v>904</v>
      </c>
      <c r="K513" s="1">
        <v>388</v>
      </c>
      <c r="L513" s="1">
        <v>0</v>
      </c>
      <c r="M513" s="1">
        <v>0</v>
      </c>
      <c r="N513" s="1">
        <f t="shared" si="24"/>
        <v>388</v>
      </c>
      <c r="O513" s="9">
        <f t="shared" si="23"/>
        <v>388</v>
      </c>
      <c r="P513" s="1">
        <v>0</v>
      </c>
      <c r="Q513" s="1">
        <v>0</v>
      </c>
      <c r="R513" s="12">
        <v>38261</v>
      </c>
      <c r="S513" s="1">
        <v>1292</v>
      </c>
      <c r="T513" s="9" t="s">
        <v>41</v>
      </c>
    </row>
    <row r="514" spans="1:20" x14ac:dyDescent="0.25">
      <c r="A514" s="10" t="s">
        <v>19</v>
      </c>
      <c r="B514" t="b">
        <v>0</v>
      </c>
      <c r="C514" t="b">
        <v>0</v>
      </c>
      <c r="D514" s="1">
        <v>0</v>
      </c>
      <c r="E514" s="1">
        <v>0</v>
      </c>
      <c r="F514" s="1">
        <v>0</v>
      </c>
      <c r="G514" s="1">
        <v>451</v>
      </c>
      <c r="H514" s="1">
        <v>0</v>
      </c>
      <c r="I514" s="1">
        <v>0</v>
      </c>
      <c r="J514" s="1">
        <f t="shared" si="22"/>
        <v>451</v>
      </c>
      <c r="K514" s="1">
        <v>327</v>
      </c>
      <c r="L514" s="1">
        <v>0</v>
      </c>
      <c r="M514" s="1">
        <v>0</v>
      </c>
      <c r="N514" s="1">
        <f t="shared" si="24"/>
        <v>327</v>
      </c>
      <c r="O514" s="9">
        <f t="shared" si="23"/>
        <v>327</v>
      </c>
      <c r="P514" s="1">
        <v>0</v>
      </c>
      <c r="Q514" s="1">
        <v>0</v>
      </c>
      <c r="R514" s="12">
        <v>38292</v>
      </c>
      <c r="S514" s="1">
        <v>778</v>
      </c>
      <c r="T514" s="9" t="s">
        <v>41</v>
      </c>
    </row>
    <row r="515" spans="1:20" x14ac:dyDescent="0.25">
      <c r="A515" s="10" t="s">
        <v>19</v>
      </c>
      <c r="B515" t="b">
        <v>0</v>
      </c>
      <c r="C515" t="b">
        <v>0</v>
      </c>
      <c r="D515" s="1">
        <v>0</v>
      </c>
      <c r="E515" s="1">
        <v>0</v>
      </c>
      <c r="F515" s="1">
        <v>0</v>
      </c>
      <c r="G515" s="1">
        <v>564</v>
      </c>
      <c r="H515" s="1">
        <v>0</v>
      </c>
      <c r="I515" s="1">
        <v>0</v>
      </c>
      <c r="J515" s="1">
        <f t="shared" si="22"/>
        <v>564</v>
      </c>
      <c r="K515" s="1">
        <v>0</v>
      </c>
      <c r="L515" s="1">
        <v>0</v>
      </c>
      <c r="M515" s="1">
        <v>0</v>
      </c>
      <c r="N515" s="1">
        <f t="shared" si="24"/>
        <v>0</v>
      </c>
      <c r="O515" s="9">
        <f t="shared" si="23"/>
        <v>0</v>
      </c>
      <c r="P515" s="1">
        <v>0</v>
      </c>
      <c r="Q515" s="1">
        <v>0</v>
      </c>
      <c r="R515" s="12">
        <v>38322</v>
      </c>
      <c r="S515" s="1">
        <v>564</v>
      </c>
      <c r="T515" s="9" t="s">
        <v>41</v>
      </c>
    </row>
    <row r="516" spans="1:20" x14ac:dyDescent="0.25">
      <c r="A516" s="10" t="s">
        <v>19</v>
      </c>
      <c r="B516" t="b">
        <v>0</v>
      </c>
      <c r="C516" t="b">
        <v>0</v>
      </c>
      <c r="D516" s="1">
        <v>0</v>
      </c>
      <c r="E516" s="1">
        <v>0</v>
      </c>
      <c r="F516" s="1">
        <v>0</v>
      </c>
      <c r="G516" s="1">
        <v>526</v>
      </c>
      <c r="H516" s="1">
        <v>0</v>
      </c>
      <c r="I516" s="1">
        <v>0</v>
      </c>
      <c r="J516" s="1">
        <f t="shared" si="22"/>
        <v>526</v>
      </c>
      <c r="K516" s="1">
        <v>0</v>
      </c>
      <c r="L516" s="1">
        <v>0</v>
      </c>
      <c r="M516" s="1">
        <v>0</v>
      </c>
      <c r="N516" s="1">
        <f t="shared" si="24"/>
        <v>0</v>
      </c>
      <c r="O516" s="9">
        <f t="shared" si="23"/>
        <v>0</v>
      </c>
      <c r="P516" s="1">
        <v>0</v>
      </c>
      <c r="Q516" s="1">
        <v>0</v>
      </c>
      <c r="R516" s="12">
        <v>38353</v>
      </c>
      <c r="S516" s="1">
        <v>526</v>
      </c>
      <c r="T516" s="9" t="s">
        <v>21</v>
      </c>
    </row>
    <row r="517" spans="1:20" x14ac:dyDescent="0.25">
      <c r="A517" s="10" t="s">
        <v>19</v>
      </c>
      <c r="B517" t="b">
        <v>0</v>
      </c>
      <c r="C517" t="b">
        <v>0</v>
      </c>
      <c r="D517" s="1">
        <v>0</v>
      </c>
      <c r="E517" s="1">
        <v>0</v>
      </c>
      <c r="F517" s="1">
        <v>0</v>
      </c>
      <c r="G517" s="1">
        <v>745</v>
      </c>
      <c r="H517" s="1">
        <v>0</v>
      </c>
      <c r="I517" s="1">
        <v>0</v>
      </c>
      <c r="J517" s="1">
        <f t="shared" si="22"/>
        <v>745</v>
      </c>
      <c r="K517" s="1">
        <v>248</v>
      </c>
      <c r="L517" s="1">
        <v>0</v>
      </c>
      <c r="M517" s="1">
        <v>0</v>
      </c>
      <c r="N517" s="1">
        <f t="shared" si="24"/>
        <v>248</v>
      </c>
      <c r="O517" s="9">
        <f t="shared" si="23"/>
        <v>248</v>
      </c>
      <c r="P517" s="1">
        <v>0</v>
      </c>
      <c r="Q517" s="1">
        <v>0</v>
      </c>
      <c r="R517" s="12">
        <v>38384</v>
      </c>
      <c r="S517" s="1">
        <v>993</v>
      </c>
      <c r="T517" s="9" t="s">
        <v>21</v>
      </c>
    </row>
    <row r="518" spans="1:20" x14ac:dyDescent="0.25">
      <c r="A518" s="10" t="s">
        <v>19</v>
      </c>
      <c r="B518" t="b">
        <v>0</v>
      </c>
      <c r="C518" t="b">
        <v>0</v>
      </c>
      <c r="D518" s="1">
        <v>0</v>
      </c>
      <c r="E518" s="1">
        <v>0</v>
      </c>
      <c r="F518" s="1">
        <v>0</v>
      </c>
      <c r="G518" s="1">
        <v>401</v>
      </c>
      <c r="H518" s="1">
        <v>0</v>
      </c>
      <c r="I518" s="1">
        <v>0</v>
      </c>
      <c r="J518" s="1">
        <f t="shared" si="22"/>
        <v>401</v>
      </c>
      <c r="K518" s="1">
        <v>435</v>
      </c>
      <c r="L518" s="1">
        <v>0</v>
      </c>
      <c r="M518" s="1">
        <v>0</v>
      </c>
      <c r="N518" s="1">
        <f t="shared" si="24"/>
        <v>435</v>
      </c>
      <c r="O518" s="9">
        <f t="shared" si="23"/>
        <v>435</v>
      </c>
      <c r="P518" s="1">
        <v>0</v>
      </c>
      <c r="Q518" s="1">
        <v>0</v>
      </c>
      <c r="R518" s="12">
        <v>38412</v>
      </c>
      <c r="S518" s="1">
        <v>836</v>
      </c>
      <c r="T518" s="9" t="s">
        <v>21</v>
      </c>
    </row>
    <row r="519" spans="1:20" x14ac:dyDescent="0.25">
      <c r="A519" s="10" t="s">
        <v>19</v>
      </c>
      <c r="B519" t="b">
        <v>0</v>
      </c>
      <c r="C519" t="b">
        <v>0</v>
      </c>
      <c r="D519" s="1">
        <v>0</v>
      </c>
      <c r="E519" s="1">
        <v>0</v>
      </c>
      <c r="F519" s="1">
        <v>0</v>
      </c>
      <c r="G519" s="1">
        <v>863</v>
      </c>
      <c r="H519" s="1">
        <v>0</v>
      </c>
      <c r="I519" s="1">
        <v>0</v>
      </c>
      <c r="J519" s="1">
        <f t="shared" si="22"/>
        <v>863</v>
      </c>
      <c r="K519" s="1">
        <v>342</v>
      </c>
      <c r="L519" s="1">
        <v>0</v>
      </c>
      <c r="M519" s="1">
        <v>0</v>
      </c>
      <c r="N519" s="1">
        <f t="shared" si="24"/>
        <v>342</v>
      </c>
      <c r="O519" s="9">
        <f t="shared" si="23"/>
        <v>342</v>
      </c>
      <c r="P519" s="1">
        <v>0</v>
      </c>
      <c r="Q519" s="1">
        <v>0</v>
      </c>
      <c r="R519" s="12">
        <v>38443</v>
      </c>
      <c r="S519" s="1">
        <v>1205</v>
      </c>
      <c r="T519" s="9" t="s">
        <v>21</v>
      </c>
    </row>
    <row r="520" spans="1:20" x14ac:dyDescent="0.25">
      <c r="A520" s="10" t="s">
        <v>19</v>
      </c>
      <c r="B520" t="b">
        <v>0</v>
      </c>
      <c r="C520" t="b">
        <v>0</v>
      </c>
      <c r="D520" s="1">
        <v>0</v>
      </c>
      <c r="E520" s="1">
        <v>0</v>
      </c>
      <c r="F520" s="1">
        <v>0</v>
      </c>
      <c r="G520" s="1">
        <v>1215</v>
      </c>
      <c r="H520" s="1">
        <v>0</v>
      </c>
      <c r="I520" s="1">
        <v>0</v>
      </c>
      <c r="J520" s="1">
        <f t="shared" si="22"/>
        <v>1215</v>
      </c>
      <c r="K520" s="1">
        <v>440</v>
      </c>
      <c r="L520" s="1">
        <v>0</v>
      </c>
      <c r="M520" s="1">
        <v>0</v>
      </c>
      <c r="N520" s="1">
        <f t="shared" si="24"/>
        <v>440</v>
      </c>
      <c r="O520" s="9">
        <f t="shared" si="23"/>
        <v>440</v>
      </c>
      <c r="P520" s="1">
        <v>0</v>
      </c>
      <c r="Q520" s="1">
        <v>0</v>
      </c>
      <c r="R520" s="12">
        <v>38473</v>
      </c>
      <c r="S520" s="1">
        <v>1654</v>
      </c>
      <c r="T520" s="9" t="s">
        <v>21</v>
      </c>
    </row>
    <row r="521" spans="1:20" x14ac:dyDescent="0.25">
      <c r="A521" s="10" t="s">
        <v>19</v>
      </c>
      <c r="B521" t="b">
        <v>0</v>
      </c>
      <c r="C521" t="b">
        <v>0</v>
      </c>
      <c r="D521" s="1">
        <v>0</v>
      </c>
      <c r="E521" s="1">
        <v>0</v>
      </c>
      <c r="F521" s="1">
        <v>0</v>
      </c>
      <c r="G521" s="1">
        <v>1036</v>
      </c>
      <c r="H521" s="1">
        <v>0</v>
      </c>
      <c r="I521" s="1">
        <v>0</v>
      </c>
      <c r="J521" s="1">
        <f t="shared" si="22"/>
        <v>1036</v>
      </c>
      <c r="K521" s="1">
        <v>336</v>
      </c>
      <c r="L521" s="1">
        <v>0</v>
      </c>
      <c r="M521" s="1">
        <v>0</v>
      </c>
      <c r="N521" s="1">
        <f t="shared" si="24"/>
        <v>336</v>
      </c>
      <c r="O521" s="9">
        <f t="shared" si="23"/>
        <v>336</v>
      </c>
      <c r="P521" s="1">
        <v>0</v>
      </c>
      <c r="Q521" s="1">
        <v>0</v>
      </c>
      <c r="R521" s="12">
        <v>38504</v>
      </c>
      <c r="S521" s="1">
        <v>1372</v>
      </c>
      <c r="T521" s="9" t="s">
        <v>21</v>
      </c>
    </row>
    <row r="522" spans="1:20" x14ac:dyDescent="0.25">
      <c r="A522" s="10" t="s">
        <v>19</v>
      </c>
      <c r="B522" t="b">
        <v>0</v>
      </c>
      <c r="C522" t="b">
        <v>0</v>
      </c>
      <c r="D522" s="1">
        <v>0</v>
      </c>
      <c r="E522" s="1">
        <v>0</v>
      </c>
      <c r="F522" s="1">
        <v>0</v>
      </c>
      <c r="G522" s="1">
        <v>942</v>
      </c>
      <c r="H522" s="1">
        <v>0</v>
      </c>
      <c r="I522" s="1">
        <v>0</v>
      </c>
      <c r="J522" s="1">
        <f t="shared" si="22"/>
        <v>942</v>
      </c>
      <c r="K522" s="1">
        <v>400</v>
      </c>
      <c r="L522" s="1">
        <v>0</v>
      </c>
      <c r="M522" s="1">
        <v>0</v>
      </c>
      <c r="N522" s="1">
        <f t="shared" si="24"/>
        <v>400</v>
      </c>
      <c r="O522" s="9">
        <f t="shared" si="23"/>
        <v>400</v>
      </c>
      <c r="P522" s="1">
        <v>0</v>
      </c>
      <c r="Q522" s="1">
        <v>0</v>
      </c>
      <c r="R522" s="12">
        <v>38534</v>
      </c>
      <c r="S522" s="1">
        <v>1343</v>
      </c>
      <c r="T522" s="9" t="s">
        <v>21</v>
      </c>
    </row>
    <row r="523" spans="1:20" x14ac:dyDescent="0.25">
      <c r="A523" s="10" t="s">
        <v>19</v>
      </c>
      <c r="B523" t="b">
        <v>0</v>
      </c>
      <c r="C523" t="b">
        <v>0</v>
      </c>
      <c r="D523" s="1">
        <v>0</v>
      </c>
      <c r="E523" s="1">
        <v>0</v>
      </c>
      <c r="F523" s="1">
        <v>0</v>
      </c>
      <c r="G523" s="1">
        <v>1381</v>
      </c>
      <c r="H523" s="1">
        <v>0</v>
      </c>
      <c r="I523" s="1">
        <v>0</v>
      </c>
      <c r="J523" s="1">
        <f t="shared" si="22"/>
        <v>1381</v>
      </c>
      <c r="K523" s="1">
        <v>249</v>
      </c>
      <c r="L523" s="1">
        <v>0</v>
      </c>
      <c r="M523" s="1">
        <v>0</v>
      </c>
      <c r="N523" s="1">
        <f t="shared" si="24"/>
        <v>249</v>
      </c>
      <c r="O523" s="9">
        <f t="shared" si="23"/>
        <v>249</v>
      </c>
      <c r="P523" s="1">
        <v>0</v>
      </c>
      <c r="Q523" s="1">
        <v>0</v>
      </c>
      <c r="R523" s="12">
        <v>38565</v>
      </c>
      <c r="S523" s="1">
        <v>1630</v>
      </c>
      <c r="T523" s="9" t="s">
        <v>21</v>
      </c>
    </row>
    <row r="524" spans="1:20" x14ac:dyDescent="0.25">
      <c r="A524" s="10" t="s">
        <v>19</v>
      </c>
      <c r="B524" t="b">
        <v>0</v>
      </c>
      <c r="C524" t="b">
        <v>0</v>
      </c>
      <c r="D524" s="1">
        <v>0</v>
      </c>
      <c r="E524" s="1">
        <v>0</v>
      </c>
      <c r="F524" s="1">
        <v>0</v>
      </c>
      <c r="G524" s="1">
        <v>1091</v>
      </c>
      <c r="H524" s="1">
        <v>0</v>
      </c>
      <c r="I524" s="1">
        <v>0</v>
      </c>
      <c r="J524" s="1">
        <f t="shared" si="22"/>
        <v>1091</v>
      </c>
      <c r="K524" s="1">
        <v>506</v>
      </c>
      <c r="L524" s="1">
        <v>0</v>
      </c>
      <c r="M524" s="1">
        <v>0</v>
      </c>
      <c r="N524" s="1">
        <f t="shared" si="24"/>
        <v>506</v>
      </c>
      <c r="O524" s="9">
        <f t="shared" si="23"/>
        <v>506</v>
      </c>
      <c r="P524" s="1">
        <v>0</v>
      </c>
      <c r="Q524" s="1">
        <v>0</v>
      </c>
      <c r="R524" s="12">
        <v>38596</v>
      </c>
      <c r="S524" s="1">
        <v>1597</v>
      </c>
      <c r="T524" s="9" t="s">
        <v>21</v>
      </c>
    </row>
    <row r="525" spans="1:20" x14ac:dyDescent="0.25">
      <c r="A525" s="10" t="s">
        <v>19</v>
      </c>
      <c r="B525" t="b">
        <v>0</v>
      </c>
      <c r="C525" t="b">
        <v>0</v>
      </c>
      <c r="D525" s="1">
        <v>0</v>
      </c>
      <c r="E525" s="1">
        <v>0</v>
      </c>
      <c r="F525" s="1">
        <v>0</v>
      </c>
      <c r="G525" s="1">
        <v>906</v>
      </c>
      <c r="H525" s="1">
        <v>0</v>
      </c>
      <c r="I525" s="1">
        <v>0</v>
      </c>
      <c r="J525" s="1">
        <f t="shared" si="22"/>
        <v>906</v>
      </c>
      <c r="K525" s="1">
        <v>298</v>
      </c>
      <c r="L525" s="1">
        <v>0</v>
      </c>
      <c r="M525" s="1">
        <v>0</v>
      </c>
      <c r="N525" s="1">
        <f t="shared" si="24"/>
        <v>298</v>
      </c>
      <c r="O525" s="9">
        <f t="shared" si="23"/>
        <v>298</v>
      </c>
      <c r="P525" s="1">
        <v>0</v>
      </c>
      <c r="Q525" s="1">
        <v>0</v>
      </c>
      <c r="R525" s="12">
        <v>38626</v>
      </c>
      <c r="S525" s="1">
        <v>1204</v>
      </c>
      <c r="T525" s="9" t="s">
        <v>21</v>
      </c>
    </row>
    <row r="526" spans="1:20" x14ac:dyDescent="0.25">
      <c r="A526" s="10" t="s">
        <v>19</v>
      </c>
      <c r="B526" t="b">
        <v>0</v>
      </c>
      <c r="C526" t="b">
        <v>0</v>
      </c>
      <c r="D526" s="1">
        <v>0</v>
      </c>
      <c r="E526" s="1">
        <v>0</v>
      </c>
      <c r="F526" s="1">
        <v>0</v>
      </c>
      <c r="G526" s="1">
        <v>366</v>
      </c>
      <c r="H526" s="1">
        <v>0</v>
      </c>
      <c r="I526" s="1">
        <v>0</v>
      </c>
      <c r="J526" s="1">
        <f t="shared" si="22"/>
        <v>366</v>
      </c>
      <c r="K526" s="1">
        <v>0</v>
      </c>
      <c r="L526" s="1">
        <v>0</v>
      </c>
      <c r="M526" s="1">
        <v>0</v>
      </c>
      <c r="N526" s="1">
        <f t="shared" si="24"/>
        <v>0</v>
      </c>
      <c r="O526" s="9">
        <f t="shared" si="23"/>
        <v>0</v>
      </c>
      <c r="P526" s="1">
        <v>0</v>
      </c>
      <c r="Q526" s="1">
        <v>0</v>
      </c>
      <c r="R526" s="12">
        <v>38657</v>
      </c>
      <c r="S526" s="1">
        <v>366</v>
      </c>
      <c r="T526" s="9" t="s">
        <v>21</v>
      </c>
    </row>
    <row r="527" spans="1:20" x14ac:dyDescent="0.25">
      <c r="A527" s="10" t="s">
        <v>19</v>
      </c>
      <c r="B527" t="b">
        <v>0</v>
      </c>
      <c r="C527" t="b">
        <v>0</v>
      </c>
      <c r="D527" s="1">
        <v>0</v>
      </c>
      <c r="E527" s="1">
        <v>0</v>
      </c>
      <c r="F527" s="1">
        <v>0</v>
      </c>
      <c r="G527" s="1">
        <v>366</v>
      </c>
      <c r="H527" s="1">
        <v>0</v>
      </c>
      <c r="I527" s="1">
        <v>0</v>
      </c>
      <c r="J527" s="1">
        <f t="shared" si="22"/>
        <v>366</v>
      </c>
      <c r="K527" s="1">
        <v>0</v>
      </c>
      <c r="L527" s="1">
        <v>0</v>
      </c>
      <c r="M527" s="1">
        <v>0</v>
      </c>
      <c r="N527" s="1">
        <f t="shared" si="24"/>
        <v>0</v>
      </c>
      <c r="O527" s="9">
        <f t="shared" si="23"/>
        <v>0</v>
      </c>
      <c r="P527" s="1">
        <v>0</v>
      </c>
      <c r="Q527" s="1">
        <v>0</v>
      </c>
      <c r="R527" s="12">
        <v>38687</v>
      </c>
      <c r="S527" s="1">
        <v>366</v>
      </c>
      <c r="T527" s="9" t="s">
        <v>21</v>
      </c>
    </row>
    <row r="528" spans="1:20" x14ac:dyDescent="0.25">
      <c r="A528" s="10" t="s">
        <v>19</v>
      </c>
      <c r="B528" t="b">
        <v>0</v>
      </c>
      <c r="C528" t="b">
        <v>0</v>
      </c>
      <c r="D528" s="1">
        <v>0</v>
      </c>
      <c r="E528" s="1">
        <v>0</v>
      </c>
      <c r="F528" s="1">
        <v>0</v>
      </c>
      <c r="G528" s="1">
        <v>366</v>
      </c>
      <c r="H528" s="1">
        <v>0</v>
      </c>
      <c r="I528" s="1">
        <v>0</v>
      </c>
      <c r="J528" s="1">
        <f t="shared" si="22"/>
        <v>366</v>
      </c>
      <c r="K528" s="1">
        <v>0</v>
      </c>
      <c r="L528" s="1">
        <v>0</v>
      </c>
      <c r="M528" s="1">
        <v>0</v>
      </c>
      <c r="N528" s="1">
        <f t="shared" si="24"/>
        <v>0</v>
      </c>
      <c r="O528" s="9">
        <f t="shared" si="23"/>
        <v>0</v>
      </c>
      <c r="P528" s="1">
        <v>0</v>
      </c>
      <c r="Q528" s="1">
        <v>0</v>
      </c>
      <c r="R528" s="12">
        <v>38718</v>
      </c>
      <c r="S528" s="1">
        <v>366</v>
      </c>
      <c r="T528" s="9" t="s">
        <v>21</v>
      </c>
    </row>
    <row r="529" spans="1:20" x14ac:dyDescent="0.25">
      <c r="A529" s="10" t="s">
        <v>19</v>
      </c>
      <c r="B529" t="b">
        <v>0</v>
      </c>
      <c r="C529" t="b">
        <v>0</v>
      </c>
      <c r="D529" s="1">
        <v>0</v>
      </c>
      <c r="E529" s="1">
        <v>0</v>
      </c>
      <c r="F529" s="1">
        <v>0</v>
      </c>
      <c r="G529" s="1">
        <v>366</v>
      </c>
      <c r="H529" s="1">
        <v>0</v>
      </c>
      <c r="I529" s="1">
        <v>0</v>
      </c>
      <c r="J529" s="1">
        <f t="shared" si="22"/>
        <v>366</v>
      </c>
      <c r="K529" s="1">
        <v>0</v>
      </c>
      <c r="L529" s="1">
        <v>0</v>
      </c>
      <c r="M529" s="1">
        <v>0</v>
      </c>
      <c r="N529" s="1">
        <f t="shared" si="24"/>
        <v>0</v>
      </c>
      <c r="O529" s="9">
        <f t="shared" si="23"/>
        <v>0</v>
      </c>
      <c r="P529" s="1">
        <v>0</v>
      </c>
      <c r="Q529" s="1">
        <v>0</v>
      </c>
      <c r="R529" s="12">
        <v>38749</v>
      </c>
      <c r="S529" s="1">
        <v>366</v>
      </c>
      <c r="T529" s="9" t="s">
        <v>21</v>
      </c>
    </row>
    <row r="530" spans="1:20" x14ac:dyDescent="0.25">
      <c r="A530" s="10" t="s">
        <v>19</v>
      </c>
      <c r="B530" t="b">
        <v>0</v>
      </c>
      <c r="C530" t="b">
        <v>0</v>
      </c>
      <c r="D530" s="1">
        <v>0</v>
      </c>
      <c r="E530" s="1">
        <v>0</v>
      </c>
      <c r="F530" s="1">
        <v>0</v>
      </c>
      <c r="G530" s="1">
        <v>366</v>
      </c>
      <c r="H530" s="1">
        <v>0</v>
      </c>
      <c r="I530" s="1">
        <v>0</v>
      </c>
      <c r="J530" s="1">
        <f t="shared" si="22"/>
        <v>366</v>
      </c>
      <c r="K530" s="1">
        <v>0</v>
      </c>
      <c r="L530" s="1">
        <v>0</v>
      </c>
      <c r="M530" s="1">
        <v>0</v>
      </c>
      <c r="N530" s="1">
        <f t="shared" si="24"/>
        <v>0</v>
      </c>
      <c r="O530" s="9">
        <f t="shared" si="23"/>
        <v>0</v>
      </c>
      <c r="P530" s="1">
        <v>0</v>
      </c>
      <c r="Q530" s="1">
        <v>0</v>
      </c>
      <c r="R530" s="12">
        <v>38777</v>
      </c>
      <c r="S530" s="1">
        <v>366</v>
      </c>
      <c r="T530" s="9" t="s">
        <v>21</v>
      </c>
    </row>
    <row r="531" spans="1:20" x14ac:dyDescent="0.25">
      <c r="A531" s="10" t="s">
        <v>19</v>
      </c>
      <c r="B531" t="b">
        <v>0</v>
      </c>
      <c r="C531" t="b">
        <v>0</v>
      </c>
      <c r="D531" s="1">
        <v>0</v>
      </c>
      <c r="E531" s="1">
        <v>0</v>
      </c>
      <c r="F531" s="1">
        <v>0</v>
      </c>
      <c r="G531" s="1">
        <v>366</v>
      </c>
      <c r="H531" s="1">
        <v>0</v>
      </c>
      <c r="I531" s="1">
        <v>0</v>
      </c>
      <c r="J531" s="1">
        <f t="shared" si="22"/>
        <v>366</v>
      </c>
      <c r="K531" s="1">
        <v>0</v>
      </c>
      <c r="L531" s="1">
        <v>0</v>
      </c>
      <c r="M531" s="1">
        <v>0</v>
      </c>
      <c r="N531" s="1">
        <f t="shared" si="24"/>
        <v>0</v>
      </c>
      <c r="O531" s="9">
        <f t="shared" si="23"/>
        <v>0</v>
      </c>
      <c r="P531" s="1">
        <v>0</v>
      </c>
      <c r="Q531" s="1">
        <v>0</v>
      </c>
      <c r="R531" s="12">
        <v>38808</v>
      </c>
      <c r="S531" s="1">
        <v>366</v>
      </c>
      <c r="T531" s="9" t="s">
        <v>21</v>
      </c>
    </row>
    <row r="532" spans="1:20" x14ac:dyDescent="0.25">
      <c r="A532" s="10" t="s">
        <v>19</v>
      </c>
      <c r="B532" t="b">
        <v>0</v>
      </c>
      <c r="C532" t="b">
        <v>0</v>
      </c>
      <c r="D532" s="1">
        <v>0</v>
      </c>
      <c r="E532" s="1">
        <v>0</v>
      </c>
      <c r="F532" s="1">
        <v>0</v>
      </c>
      <c r="G532" s="1">
        <v>1345</v>
      </c>
      <c r="H532" s="1">
        <v>0</v>
      </c>
      <c r="I532" s="1">
        <v>0</v>
      </c>
      <c r="J532" s="1">
        <f t="shared" si="22"/>
        <v>1345</v>
      </c>
      <c r="K532" s="1">
        <v>524</v>
      </c>
      <c r="L532" s="1">
        <v>0</v>
      </c>
      <c r="M532" s="1">
        <v>0</v>
      </c>
      <c r="N532" s="1">
        <f t="shared" si="24"/>
        <v>524</v>
      </c>
      <c r="O532" s="9">
        <f t="shared" si="23"/>
        <v>524</v>
      </c>
      <c r="P532" s="1">
        <v>0</v>
      </c>
      <c r="Q532" s="1">
        <v>0</v>
      </c>
      <c r="R532" s="12">
        <v>38838</v>
      </c>
      <c r="S532" s="1">
        <v>1869</v>
      </c>
      <c r="T532" s="9" t="s">
        <v>21</v>
      </c>
    </row>
    <row r="533" spans="1:20" x14ac:dyDescent="0.25">
      <c r="A533" s="10" t="s">
        <v>19</v>
      </c>
      <c r="B533" t="b">
        <v>0</v>
      </c>
      <c r="C533" t="b">
        <v>0</v>
      </c>
      <c r="D533" s="1">
        <v>0</v>
      </c>
      <c r="E533" s="1">
        <v>0</v>
      </c>
      <c r="F533" s="1">
        <v>0</v>
      </c>
      <c r="G533" s="1">
        <v>1171</v>
      </c>
      <c r="H533" s="1">
        <v>0</v>
      </c>
      <c r="I533" s="1">
        <v>0</v>
      </c>
      <c r="J533" s="1">
        <f t="shared" si="22"/>
        <v>1171</v>
      </c>
      <c r="K533" s="1">
        <v>308</v>
      </c>
      <c r="L533" s="1">
        <v>0</v>
      </c>
      <c r="M533" s="1">
        <v>0</v>
      </c>
      <c r="N533" s="1">
        <f t="shared" si="24"/>
        <v>308</v>
      </c>
      <c r="O533" s="9">
        <f t="shared" si="23"/>
        <v>308</v>
      </c>
      <c r="P533" s="1">
        <v>0</v>
      </c>
      <c r="Q533" s="1">
        <v>0</v>
      </c>
      <c r="R533" s="12">
        <v>38869</v>
      </c>
      <c r="S533" s="1">
        <v>1479</v>
      </c>
      <c r="T533" s="9" t="s">
        <v>21</v>
      </c>
    </row>
    <row r="534" spans="1:20" x14ac:dyDescent="0.25">
      <c r="A534" s="10" t="s">
        <v>19</v>
      </c>
      <c r="B534" t="b">
        <v>0</v>
      </c>
      <c r="C534" t="b">
        <v>0</v>
      </c>
      <c r="D534" s="1">
        <v>0</v>
      </c>
      <c r="E534" s="1">
        <v>0</v>
      </c>
      <c r="F534" s="1">
        <v>0</v>
      </c>
      <c r="G534" s="1">
        <v>928</v>
      </c>
      <c r="H534" s="1">
        <v>0</v>
      </c>
      <c r="I534" s="1">
        <v>0</v>
      </c>
      <c r="J534" s="1">
        <f t="shared" si="22"/>
        <v>928</v>
      </c>
      <c r="K534" s="1">
        <v>297</v>
      </c>
      <c r="L534" s="1">
        <v>0</v>
      </c>
      <c r="M534" s="1">
        <v>0</v>
      </c>
      <c r="N534" s="1">
        <f t="shared" si="24"/>
        <v>297</v>
      </c>
      <c r="O534" s="9">
        <f t="shared" si="23"/>
        <v>297</v>
      </c>
      <c r="P534" s="1">
        <v>0</v>
      </c>
      <c r="Q534" s="1">
        <v>0</v>
      </c>
      <c r="R534" s="12">
        <v>38899</v>
      </c>
      <c r="S534" s="1">
        <v>1225</v>
      </c>
      <c r="T534" s="9" t="s">
        <v>21</v>
      </c>
    </row>
    <row r="535" spans="1:20" x14ac:dyDescent="0.25">
      <c r="A535" s="10" t="s">
        <v>19</v>
      </c>
      <c r="B535" t="b">
        <v>0</v>
      </c>
      <c r="C535" t="b">
        <v>0</v>
      </c>
      <c r="D535" s="1">
        <v>0</v>
      </c>
      <c r="E535" s="1">
        <v>0</v>
      </c>
      <c r="F535" s="1">
        <v>0</v>
      </c>
      <c r="G535" s="1">
        <v>1451</v>
      </c>
      <c r="H535" s="1">
        <v>0</v>
      </c>
      <c r="I535" s="1">
        <v>0</v>
      </c>
      <c r="J535" s="1">
        <f t="shared" si="22"/>
        <v>1451</v>
      </c>
      <c r="K535" s="1">
        <v>238</v>
      </c>
      <c r="L535" s="1">
        <v>0</v>
      </c>
      <c r="M535" s="1">
        <v>0</v>
      </c>
      <c r="N535" s="1">
        <f t="shared" si="24"/>
        <v>238</v>
      </c>
      <c r="O535" s="9">
        <f t="shared" si="23"/>
        <v>238</v>
      </c>
      <c r="P535" s="1">
        <v>0</v>
      </c>
      <c r="Q535" s="1">
        <v>0</v>
      </c>
      <c r="R535" s="12">
        <v>38930</v>
      </c>
      <c r="S535" s="1">
        <v>1689</v>
      </c>
      <c r="T535" s="9" t="s">
        <v>21</v>
      </c>
    </row>
    <row r="536" spans="1:20" x14ac:dyDescent="0.25">
      <c r="A536" s="10" t="s">
        <v>19</v>
      </c>
      <c r="B536" t="b">
        <v>0</v>
      </c>
      <c r="C536" t="b">
        <v>0</v>
      </c>
      <c r="D536" s="1">
        <v>0</v>
      </c>
      <c r="E536" s="1">
        <v>0</v>
      </c>
      <c r="F536" s="1">
        <v>0</v>
      </c>
      <c r="G536" s="1">
        <v>969</v>
      </c>
      <c r="H536" s="1">
        <v>0</v>
      </c>
      <c r="I536" s="1">
        <v>0</v>
      </c>
      <c r="J536" s="1">
        <f t="shared" si="22"/>
        <v>969</v>
      </c>
      <c r="K536" s="1">
        <v>277</v>
      </c>
      <c r="L536" s="1">
        <v>0</v>
      </c>
      <c r="M536" s="1">
        <v>0</v>
      </c>
      <c r="N536" s="1">
        <f t="shared" si="24"/>
        <v>277</v>
      </c>
      <c r="O536" s="9">
        <f t="shared" si="23"/>
        <v>277</v>
      </c>
      <c r="P536" s="1">
        <v>0</v>
      </c>
      <c r="Q536" s="1">
        <v>0</v>
      </c>
      <c r="R536" s="12">
        <v>38961</v>
      </c>
      <c r="S536" s="1">
        <v>1246</v>
      </c>
      <c r="T536" s="9" t="s">
        <v>21</v>
      </c>
    </row>
    <row r="537" spans="1:20" x14ac:dyDescent="0.25">
      <c r="A537" s="10" t="s">
        <v>19</v>
      </c>
      <c r="B537" t="b">
        <v>0</v>
      </c>
      <c r="C537" t="b">
        <v>0</v>
      </c>
      <c r="D537" s="1">
        <v>0</v>
      </c>
      <c r="E537" s="1">
        <v>0</v>
      </c>
      <c r="F537" s="1">
        <v>0</v>
      </c>
      <c r="G537" s="1">
        <v>366</v>
      </c>
      <c r="H537" s="1">
        <v>0</v>
      </c>
      <c r="I537" s="1">
        <v>0</v>
      </c>
      <c r="J537" s="1">
        <f t="shared" si="22"/>
        <v>366</v>
      </c>
      <c r="K537" s="1">
        <v>0</v>
      </c>
      <c r="L537" s="1">
        <v>0</v>
      </c>
      <c r="M537" s="1">
        <v>0</v>
      </c>
      <c r="N537" s="1">
        <f t="shared" si="24"/>
        <v>0</v>
      </c>
      <c r="O537" s="9">
        <f t="shared" si="23"/>
        <v>0</v>
      </c>
      <c r="P537" s="1">
        <v>0</v>
      </c>
      <c r="Q537" s="1">
        <v>0</v>
      </c>
      <c r="R537" s="12">
        <v>38991</v>
      </c>
      <c r="S537" s="1">
        <v>366</v>
      </c>
      <c r="T537" s="9" t="s">
        <v>21</v>
      </c>
    </row>
    <row r="538" spans="1:20" x14ac:dyDescent="0.25">
      <c r="A538" s="10" t="s">
        <v>19</v>
      </c>
      <c r="B538" t="b">
        <v>0</v>
      </c>
      <c r="C538" t="b">
        <v>0</v>
      </c>
      <c r="D538" s="1">
        <v>0</v>
      </c>
      <c r="E538" s="1">
        <v>0</v>
      </c>
      <c r="F538" s="1">
        <v>0</v>
      </c>
      <c r="G538" s="1">
        <v>366</v>
      </c>
      <c r="H538" s="1">
        <v>0</v>
      </c>
      <c r="I538" s="1">
        <v>0</v>
      </c>
      <c r="J538" s="1">
        <f t="shared" si="22"/>
        <v>366</v>
      </c>
      <c r="K538" s="1">
        <v>0</v>
      </c>
      <c r="L538" s="1">
        <v>0</v>
      </c>
      <c r="M538" s="1">
        <v>0</v>
      </c>
      <c r="N538" s="1">
        <f t="shared" si="24"/>
        <v>0</v>
      </c>
      <c r="O538" s="9">
        <f t="shared" si="23"/>
        <v>0</v>
      </c>
      <c r="P538" s="1">
        <v>0</v>
      </c>
      <c r="Q538" s="1">
        <v>0</v>
      </c>
      <c r="R538" s="12">
        <v>39022</v>
      </c>
      <c r="S538" s="1">
        <v>366</v>
      </c>
      <c r="T538" s="9" t="s">
        <v>21</v>
      </c>
    </row>
    <row r="539" spans="1:20" x14ac:dyDescent="0.25">
      <c r="A539" s="10" t="s">
        <v>19</v>
      </c>
      <c r="B539" t="b">
        <v>0</v>
      </c>
      <c r="C539" t="b">
        <v>0</v>
      </c>
      <c r="D539" s="1">
        <v>0</v>
      </c>
      <c r="E539" s="1">
        <v>0</v>
      </c>
      <c r="F539" s="1">
        <v>0</v>
      </c>
      <c r="G539" s="1">
        <v>366</v>
      </c>
      <c r="H539" s="1">
        <v>0</v>
      </c>
      <c r="I539" s="1">
        <v>0</v>
      </c>
      <c r="J539" s="1">
        <f t="shared" ref="J539:J602" si="25">D539+E539+F539+G539+H539+I539</f>
        <v>366</v>
      </c>
      <c r="K539" s="1">
        <v>0</v>
      </c>
      <c r="L539" s="1">
        <v>0</v>
      </c>
      <c r="M539" s="1">
        <v>0</v>
      </c>
      <c r="N539" s="1">
        <f t="shared" si="24"/>
        <v>0</v>
      </c>
      <c r="O539" s="9">
        <f t="shared" ref="O539:O602" si="26">K539</f>
        <v>0</v>
      </c>
      <c r="P539" s="1">
        <v>0</v>
      </c>
      <c r="Q539" s="1">
        <v>0</v>
      </c>
      <c r="R539" s="12">
        <v>39052</v>
      </c>
      <c r="S539" s="1">
        <v>366</v>
      </c>
      <c r="T539" s="9" t="s">
        <v>21</v>
      </c>
    </row>
    <row r="540" spans="1:20" x14ac:dyDescent="0.25">
      <c r="A540" s="10" t="s">
        <v>19</v>
      </c>
      <c r="B540" t="b">
        <v>0</v>
      </c>
      <c r="C540" t="b">
        <v>0</v>
      </c>
      <c r="D540" s="1">
        <v>0</v>
      </c>
      <c r="E540" s="1">
        <v>0</v>
      </c>
      <c r="F540" s="1">
        <v>0</v>
      </c>
      <c r="G540" s="1">
        <v>366</v>
      </c>
      <c r="H540" s="1">
        <v>0</v>
      </c>
      <c r="I540" s="1">
        <v>0</v>
      </c>
      <c r="J540" s="1">
        <f t="shared" si="25"/>
        <v>366</v>
      </c>
      <c r="K540" s="1">
        <v>0</v>
      </c>
      <c r="L540" s="1">
        <v>0</v>
      </c>
      <c r="M540" s="1">
        <v>0</v>
      </c>
      <c r="N540" s="1">
        <f t="shared" si="24"/>
        <v>0</v>
      </c>
      <c r="O540" s="9">
        <f t="shared" si="26"/>
        <v>0</v>
      </c>
      <c r="P540" s="1">
        <v>0</v>
      </c>
      <c r="Q540" s="1">
        <v>0</v>
      </c>
      <c r="R540" s="12">
        <v>39083</v>
      </c>
      <c r="S540" s="1">
        <v>366</v>
      </c>
      <c r="T540" s="9" t="s">
        <v>41</v>
      </c>
    </row>
    <row r="541" spans="1:20" x14ac:dyDescent="0.25">
      <c r="A541" s="10" t="s">
        <v>19</v>
      </c>
      <c r="B541" t="b">
        <v>0</v>
      </c>
      <c r="C541" t="b">
        <v>0</v>
      </c>
      <c r="D541" s="1">
        <v>0</v>
      </c>
      <c r="E541" s="1">
        <v>0</v>
      </c>
      <c r="F541" s="1">
        <v>0</v>
      </c>
      <c r="G541" s="1">
        <v>366</v>
      </c>
      <c r="H541" s="1">
        <v>0</v>
      </c>
      <c r="I541" s="1">
        <v>0</v>
      </c>
      <c r="J541" s="1">
        <f t="shared" si="25"/>
        <v>366</v>
      </c>
      <c r="K541" s="1">
        <v>0</v>
      </c>
      <c r="L541" s="1">
        <v>0</v>
      </c>
      <c r="M541" s="1">
        <v>0</v>
      </c>
      <c r="N541" s="1">
        <f t="shared" si="24"/>
        <v>0</v>
      </c>
      <c r="O541" s="9">
        <f t="shared" si="26"/>
        <v>0</v>
      </c>
      <c r="P541" s="1">
        <v>0</v>
      </c>
      <c r="Q541" s="1">
        <v>0</v>
      </c>
      <c r="R541" s="12">
        <v>39114</v>
      </c>
      <c r="S541" s="1">
        <v>366</v>
      </c>
      <c r="T541" s="9" t="s">
        <v>41</v>
      </c>
    </row>
    <row r="542" spans="1:20" x14ac:dyDescent="0.25">
      <c r="A542" s="10" t="s">
        <v>19</v>
      </c>
      <c r="B542" t="b">
        <v>0</v>
      </c>
      <c r="C542" t="b">
        <v>0</v>
      </c>
      <c r="D542" s="1">
        <v>0</v>
      </c>
      <c r="E542" s="1">
        <v>0</v>
      </c>
      <c r="F542" s="1">
        <v>0</v>
      </c>
      <c r="G542" s="1">
        <v>388</v>
      </c>
      <c r="H542" s="1">
        <v>0</v>
      </c>
      <c r="I542" s="1">
        <v>0</v>
      </c>
      <c r="J542" s="1">
        <f t="shared" si="25"/>
        <v>388</v>
      </c>
      <c r="K542" s="1">
        <v>228</v>
      </c>
      <c r="L542" s="1">
        <v>0</v>
      </c>
      <c r="M542" s="1">
        <v>0</v>
      </c>
      <c r="N542" s="1">
        <f t="shared" si="24"/>
        <v>228</v>
      </c>
      <c r="O542" s="9">
        <f t="shared" si="26"/>
        <v>228</v>
      </c>
      <c r="P542" s="1">
        <v>0</v>
      </c>
      <c r="Q542" s="1">
        <v>0</v>
      </c>
      <c r="R542" s="12">
        <v>39142</v>
      </c>
      <c r="S542" s="1">
        <v>616</v>
      </c>
      <c r="T542" s="9" t="s">
        <v>41</v>
      </c>
    </row>
    <row r="543" spans="1:20" x14ac:dyDescent="0.25">
      <c r="A543" s="10" t="s">
        <v>19</v>
      </c>
      <c r="B543" t="b">
        <v>0</v>
      </c>
      <c r="C543" t="b">
        <v>0</v>
      </c>
      <c r="D543" s="1">
        <v>0</v>
      </c>
      <c r="E543" s="1">
        <v>0</v>
      </c>
      <c r="F543" s="1">
        <v>0</v>
      </c>
      <c r="G543" s="1">
        <v>652</v>
      </c>
      <c r="H543" s="1">
        <v>0</v>
      </c>
      <c r="I543" s="1">
        <v>0</v>
      </c>
      <c r="J543" s="1">
        <f t="shared" si="25"/>
        <v>652</v>
      </c>
      <c r="K543" s="1">
        <v>219</v>
      </c>
      <c r="L543" s="1">
        <v>0</v>
      </c>
      <c r="M543" s="1">
        <v>0</v>
      </c>
      <c r="N543" s="1">
        <f t="shared" si="24"/>
        <v>219</v>
      </c>
      <c r="O543" s="9">
        <f t="shared" si="26"/>
        <v>219</v>
      </c>
      <c r="P543" s="1">
        <v>0</v>
      </c>
      <c r="Q543" s="1">
        <v>0</v>
      </c>
      <c r="R543" s="12">
        <v>39173</v>
      </c>
      <c r="S543" s="1">
        <v>871</v>
      </c>
      <c r="T543" s="9" t="s">
        <v>41</v>
      </c>
    </row>
    <row r="544" spans="1:20" x14ac:dyDescent="0.25">
      <c r="A544" s="10" t="s">
        <v>19</v>
      </c>
      <c r="B544" t="b">
        <v>0</v>
      </c>
      <c r="C544" t="b">
        <v>0</v>
      </c>
      <c r="D544" s="1">
        <v>0</v>
      </c>
      <c r="E544" s="1">
        <v>0</v>
      </c>
      <c r="F544" s="1">
        <v>0</v>
      </c>
      <c r="G544" s="1">
        <v>1405</v>
      </c>
      <c r="H544" s="1">
        <v>0</v>
      </c>
      <c r="I544" s="1">
        <v>0</v>
      </c>
      <c r="J544" s="1">
        <f t="shared" si="25"/>
        <v>1405</v>
      </c>
      <c r="K544" s="1">
        <v>468</v>
      </c>
      <c r="L544" s="1">
        <v>0</v>
      </c>
      <c r="M544" s="1">
        <v>0</v>
      </c>
      <c r="N544" s="1">
        <f t="shared" si="24"/>
        <v>468</v>
      </c>
      <c r="O544" s="9">
        <f t="shared" si="26"/>
        <v>468</v>
      </c>
      <c r="P544" s="1">
        <v>0</v>
      </c>
      <c r="Q544" s="1">
        <v>0</v>
      </c>
      <c r="R544" s="12">
        <v>39203</v>
      </c>
      <c r="S544" s="1">
        <v>1873</v>
      </c>
      <c r="T544" s="9" t="s">
        <v>41</v>
      </c>
    </row>
    <row r="545" spans="1:20" x14ac:dyDescent="0.25">
      <c r="A545" s="10" t="s">
        <v>19</v>
      </c>
      <c r="B545" t="b">
        <v>0</v>
      </c>
      <c r="C545" t="b">
        <v>0</v>
      </c>
      <c r="D545" s="1">
        <v>0</v>
      </c>
      <c r="E545" s="1">
        <v>0</v>
      </c>
      <c r="F545" s="1">
        <v>0</v>
      </c>
      <c r="G545" s="1">
        <v>1092</v>
      </c>
      <c r="H545" s="1">
        <v>0</v>
      </c>
      <c r="I545" s="1">
        <v>0</v>
      </c>
      <c r="J545" s="1">
        <f t="shared" si="25"/>
        <v>1092</v>
      </c>
      <c r="K545" s="1">
        <v>370</v>
      </c>
      <c r="L545" s="1">
        <v>0</v>
      </c>
      <c r="M545" s="1">
        <v>0</v>
      </c>
      <c r="N545" s="1">
        <f t="shared" si="24"/>
        <v>370</v>
      </c>
      <c r="O545" s="9">
        <f t="shared" si="26"/>
        <v>370</v>
      </c>
      <c r="P545" s="1">
        <v>0</v>
      </c>
      <c r="Q545" s="1">
        <v>0</v>
      </c>
      <c r="R545" s="12">
        <v>39234</v>
      </c>
      <c r="S545" s="1">
        <v>1462</v>
      </c>
      <c r="T545" s="9" t="s">
        <v>41</v>
      </c>
    </row>
    <row r="546" spans="1:20" x14ac:dyDescent="0.25">
      <c r="A546" s="10" t="s">
        <v>19</v>
      </c>
      <c r="B546" t="b">
        <v>0</v>
      </c>
      <c r="C546" t="b">
        <v>0</v>
      </c>
      <c r="D546" s="1">
        <v>0</v>
      </c>
      <c r="E546" s="1">
        <v>0</v>
      </c>
      <c r="F546" s="1">
        <v>0</v>
      </c>
      <c r="G546" s="1">
        <v>1003</v>
      </c>
      <c r="H546" s="1">
        <v>0</v>
      </c>
      <c r="I546" s="1">
        <v>0</v>
      </c>
      <c r="J546" s="1">
        <f t="shared" si="25"/>
        <v>1003</v>
      </c>
      <c r="K546" s="1">
        <v>384</v>
      </c>
      <c r="L546" s="1">
        <v>0</v>
      </c>
      <c r="M546" s="1">
        <v>0</v>
      </c>
      <c r="N546" s="1">
        <f t="shared" si="24"/>
        <v>384</v>
      </c>
      <c r="O546" s="9">
        <f t="shared" si="26"/>
        <v>384</v>
      </c>
      <c r="P546" s="1">
        <v>0</v>
      </c>
      <c r="Q546" s="1">
        <v>0</v>
      </c>
      <c r="R546" s="12">
        <v>39264</v>
      </c>
      <c r="S546" s="1">
        <v>1387</v>
      </c>
      <c r="T546" s="9" t="s">
        <v>41</v>
      </c>
    </row>
    <row r="547" spans="1:20" x14ac:dyDescent="0.25">
      <c r="A547" s="10" t="s">
        <v>19</v>
      </c>
      <c r="B547" t="b">
        <v>0</v>
      </c>
      <c r="C547" t="b">
        <v>0</v>
      </c>
      <c r="D547" s="1">
        <v>0</v>
      </c>
      <c r="E547" s="1">
        <v>0</v>
      </c>
      <c r="F547" s="1">
        <v>0</v>
      </c>
      <c r="G547" s="1">
        <v>1528</v>
      </c>
      <c r="H547" s="1">
        <v>0</v>
      </c>
      <c r="I547" s="1">
        <v>0</v>
      </c>
      <c r="J547" s="1">
        <f t="shared" si="25"/>
        <v>1528</v>
      </c>
      <c r="K547" s="1">
        <v>325</v>
      </c>
      <c r="L547" s="1">
        <v>0</v>
      </c>
      <c r="M547" s="1">
        <v>0</v>
      </c>
      <c r="N547" s="1">
        <f t="shared" si="24"/>
        <v>325</v>
      </c>
      <c r="O547" s="9">
        <f t="shared" si="26"/>
        <v>325</v>
      </c>
      <c r="P547" s="1">
        <v>0</v>
      </c>
      <c r="Q547" s="1">
        <v>0</v>
      </c>
      <c r="R547" s="12">
        <v>39295</v>
      </c>
      <c r="S547" s="1">
        <v>1853</v>
      </c>
      <c r="T547" s="9" t="s">
        <v>41</v>
      </c>
    </row>
    <row r="548" spans="1:20" x14ac:dyDescent="0.25">
      <c r="A548" s="10" t="s">
        <v>19</v>
      </c>
      <c r="B548" t="b">
        <v>0</v>
      </c>
      <c r="C548" t="b">
        <v>0</v>
      </c>
      <c r="D548" s="1">
        <v>0</v>
      </c>
      <c r="E548" s="1">
        <v>0</v>
      </c>
      <c r="F548" s="1">
        <v>0</v>
      </c>
      <c r="G548" s="1">
        <v>1123</v>
      </c>
      <c r="H548" s="1">
        <v>0</v>
      </c>
      <c r="I548" s="1">
        <v>0</v>
      </c>
      <c r="J548" s="1">
        <f t="shared" si="25"/>
        <v>1123</v>
      </c>
      <c r="K548" s="1">
        <v>365</v>
      </c>
      <c r="L548" s="1">
        <v>0</v>
      </c>
      <c r="M548" s="1">
        <v>0</v>
      </c>
      <c r="N548" s="1">
        <f t="shared" si="24"/>
        <v>365</v>
      </c>
      <c r="O548" s="9">
        <f t="shared" si="26"/>
        <v>365</v>
      </c>
      <c r="P548" s="1">
        <v>0</v>
      </c>
      <c r="Q548" s="1">
        <v>0</v>
      </c>
      <c r="R548" s="12">
        <v>39326</v>
      </c>
      <c r="S548" s="1">
        <v>1488</v>
      </c>
      <c r="T548" s="9" t="s">
        <v>41</v>
      </c>
    </row>
    <row r="549" spans="1:20" x14ac:dyDescent="0.25">
      <c r="A549" s="10" t="s">
        <v>19</v>
      </c>
      <c r="B549" t="b">
        <v>0</v>
      </c>
      <c r="C549" t="b">
        <v>0</v>
      </c>
      <c r="D549" s="1">
        <v>0</v>
      </c>
      <c r="E549" s="1">
        <v>0</v>
      </c>
      <c r="F549" s="1">
        <v>0</v>
      </c>
      <c r="G549" s="1">
        <v>1000</v>
      </c>
      <c r="H549" s="1">
        <v>495</v>
      </c>
      <c r="I549" s="1">
        <v>0</v>
      </c>
      <c r="J549" s="1">
        <f t="shared" si="25"/>
        <v>1495</v>
      </c>
      <c r="K549" s="1">
        <v>298</v>
      </c>
      <c r="L549" s="1">
        <v>128</v>
      </c>
      <c r="M549" s="1">
        <v>0</v>
      </c>
      <c r="N549" s="1">
        <f t="shared" si="24"/>
        <v>426</v>
      </c>
      <c r="O549" s="9">
        <f t="shared" si="26"/>
        <v>298</v>
      </c>
      <c r="P549" s="1">
        <v>0</v>
      </c>
      <c r="Q549" s="1">
        <v>0</v>
      </c>
      <c r="R549" s="12">
        <v>39356</v>
      </c>
      <c r="S549" s="1">
        <v>1921</v>
      </c>
      <c r="T549" s="9" t="s">
        <v>41</v>
      </c>
    </row>
    <row r="550" spans="1:20" x14ac:dyDescent="0.25">
      <c r="A550" s="10" t="s">
        <v>19</v>
      </c>
      <c r="B550" t="b">
        <v>0</v>
      </c>
      <c r="C550" t="b">
        <v>0</v>
      </c>
      <c r="D550" s="1">
        <v>0</v>
      </c>
      <c r="E550" s="1">
        <v>0</v>
      </c>
      <c r="F550" s="1">
        <v>0</v>
      </c>
      <c r="G550" s="1">
        <v>362</v>
      </c>
      <c r="H550" s="1">
        <v>0</v>
      </c>
      <c r="I550" s="1">
        <v>0</v>
      </c>
      <c r="J550" s="1">
        <f t="shared" si="25"/>
        <v>362</v>
      </c>
      <c r="K550" s="1">
        <v>0</v>
      </c>
      <c r="L550" s="1">
        <v>16</v>
      </c>
      <c r="M550" s="1">
        <v>0</v>
      </c>
      <c r="N550" s="1">
        <f t="shared" si="24"/>
        <v>16</v>
      </c>
      <c r="O550" s="9">
        <f t="shared" si="26"/>
        <v>0</v>
      </c>
      <c r="P550" s="1">
        <v>0</v>
      </c>
      <c r="Q550" s="1">
        <v>0</v>
      </c>
      <c r="R550" s="12">
        <v>39387</v>
      </c>
      <c r="S550" s="1">
        <v>378</v>
      </c>
      <c r="T550" s="9" t="s">
        <v>41</v>
      </c>
    </row>
    <row r="551" spans="1:20" x14ac:dyDescent="0.25">
      <c r="A551" s="10" t="s">
        <v>19</v>
      </c>
      <c r="B551" t="b">
        <v>0</v>
      </c>
      <c r="C551" t="b">
        <v>0</v>
      </c>
      <c r="D551" s="1">
        <v>0</v>
      </c>
      <c r="E551" s="1">
        <v>0</v>
      </c>
      <c r="F551" s="1">
        <v>0</v>
      </c>
      <c r="G551" s="1">
        <v>337</v>
      </c>
      <c r="H551" s="1">
        <v>0</v>
      </c>
      <c r="I551" s="1">
        <v>0</v>
      </c>
      <c r="J551" s="1">
        <f t="shared" si="25"/>
        <v>337</v>
      </c>
      <c r="K551" s="1">
        <v>0</v>
      </c>
      <c r="L551" s="1">
        <v>10</v>
      </c>
      <c r="M551" s="1">
        <v>0</v>
      </c>
      <c r="N551" s="1">
        <f t="shared" si="24"/>
        <v>10</v>
      </c>
      <c r="O551" s="9">
        <f t="shared" si="26"/>
        <v>0</v>
      </c>
      <c r="P551" s="1">
        <v>0</v>
      </c>
      <c r="Q551" s="1">
        <v>0</v>
      </c>
      <c r="R551" s="12">
        <v>39417</v>
      </c>
      <c r="S551" s="1">
        <v>347</v>
      </c>
      <c r="T551" s="9" t="s">
        <v>41</v>
      </c>
    </row>
    <row r="552" spans="1:20" x14ac:dyDescent="0.25">
      <c r="A552" s="10" t="s">
        <v>19</v>
      </c>
      <c r="B552" t="b">
        <v>0</v>
      </c>
      <c r="C552" t="b">
        <v>0</v>
      </c>
      <c r="D552" s="1">
        <v>0</v>
      </c>
      <c r="E552" s="1">
        <v>0</v>
      </c>
      <c r="F552" s="1">
        <v>0</v>
      </c>
      <c r="G552" s="1">
        <v>208</v>
      </c>
      <c r="H552" s="1">
        <v>0</v>
      </c>
      <c r="I552" s="1">
        <v>0</v>
      </c>
      <c r="J552" s="1">
        <f t="shared" si="25"/>
        <v>208</v>
      </c>
      <c r="K552" s="1">
        <v>0</v>
      </c>
      <c r="L552" s="1">
        <v>13</v>
      </c>
      <c r="M552" s="1">
        <v>0</v>
      </c>
      <c r="N552" s="1">
        <f t="shared" si="24"/>
        <v>13</v>
      </c>
      <c r="O552" s="9">
        <f t="shared" si="26"/>
        <v>0</v>
      </c>
      <c r="P552" s="1">
        <v>0</v>
      </c>
      <c r="Q552" s="1">
        <v>0</v>
      </c>
      <c r="R552" s="12">
        <v>39448</v>
      </c>
      <c r="S552" s="1">
        <v>221</v>
      </c>
      <c r="T552" s="9" t="s">
        <v>46</v>
      </c>
    </row>
    <row r="553" spans="1:20" x14ac:dyDescent="0.25">
      <c r="A553" s="10" t="s">
        <v>19</v>
      </c>
      <c r="B553" t="b">
        <v>0</v>
      </c>
      <c r="C553" t="b">
        <v>0</v>
      </c>
      <c r="D553" s="1">
        <v>0</v>
      </c>
      <c r="E553" s="1">
        <v>0</v>
      </c>
      <c r="F553" s="1">
        <v>0</v>
      </c>
      <c r="G553" s="1">
        <v>289</v>
      </c>
      <c r="H553" s="1">
        <v>0</v>
      </c>
      <c r="I553" s="1">
        <v>0</v>
      </c>
      <c r="J553" s="1">
        <f t="shared" si="25"/>
        <v>289</v>
      </c>
      <c r="K553" s="1">
        <v>0</v>
      </c>
      <c r="L553" s="1">
        <v>0</v>
      </c>
      <c r="M553" s="1">
        <v>0</v>
      </c>
      <c r="N553" s="1">
        <f t="shared" si="24"/>
        <v>0</v>
      </c>
      <c r="O553" s="9">
        <f t="shared" si="26"/>
        <v>0</v>
      </c>
      <c r="P553" s="1">
        <v>0</v>
      </c>
      <c r="Q553" s="1">
        <v>0</v>
      </c>
      <c r="R553" s="12">
        <v>39479</v>
      </c>
      <c r="S553" s="1">
        <v>289</v>
      </c>
      <c r="T553" s="9" t="s">
        <v>46</v>
      </c>
    </row>
    <row r="554" spans="1:20" x14ac:dyDescent="0.25">
      <c r="A554" s="10" t="s">
        <v>19</v>
      </c>
      <c r="B554" t="b">
        <v>0</v>
      </c>
      <c r="C554" t="b">
        <v>0</v>
      </c>
      <c r="D554" s="1">
        <v>0</v>
      </c>
      <c r="E554" s="1">
        <v>0</v>
      </c>
      <c r="F554" s="1">
        <v>0</v>
      </c>
      <c r="G554" s="1">
        <v>483</v>
      </c>
      <c r="H554" s="1">
        <v>0</v>
      </c>
      <c r="I554" s="1">
        <v>0</v>
      </c>
      <c r="J554" s="1">
        <f t="shared" si="25"/>
        <v>483</v>
      </c>
      <c r="K554" s="1">
        <v>312</v>
      </c>
      <c r="L554" s="1">
        <v>0</v>
      </c>
      <c r="M554" s="1">
        <v>0</v>
      </c>
      <c r="N554" s="1">
        <f t="shared" si="24"/>
        <v>312</v>
      </c>
      <c r="O554" s="9">
        <f t="shared" si="26"/>
        <v>312</v>
      </c>
      <c r="P554" s="1">
        <v>0</v>
      </c>
      <c r="Q554" s="1">
        <v>0</v>
      </c>
      <c r="R554" s="12">
        <v>39508</v>
      </c>
      <c r="S554" s="1">
        <v>795</v>
      </c>
      <c r="T554" s="9" t="s">
        <v>46</v>
      </c>
    </row>
    <row r="555" spans="1:20" x14ac:dyDescent="0.25">
      <c r="A555" s="10" t="s">
        <v>19</v>
      </c>
      <c r="B555" t="b">
        <v>0</v>
      </c>
      <c r="C555" t="b">
        <v>0</v>
      </c>
      <c r="D555" s="1">
        <v>0</v>
      </c>
      <c r="E555" s="1">
        <v>0</v>
      </c>
      <c r="F555" s="1">
        <v>0</v>
      </c>
      <c r="G555" s="1">
        <v>773</v>
      </c>
      <c r="H555" s="1">
        <v>0</v>
      </c>
      <c r="I555" s="1">
        <v>0</v>
      </c>
      <c r="J555" s="1">
        <f t="shared" si="25"/>
        <v>773</v>
      </c>
      <c r="K555" s="1">
        <v>267</v>
      </c>
      <c r="L555" s="1">
        <v>0</v>
      </c>
      <c r="M555" s="1">
        <v>0</v>
      </c>
      <c r="N555" s="1">
        <f t="shared" si="24"/>
        <v>267</v>
      </c>
      <c r="O555" s="9">
        <f t="shared" si="26"/>
        <v>267</v>
      </c>
      <c r="P555" s="1">
        <v>0</v>
      </c>
      <c r="Q555" s="1">
        <v>0</v>
      </c>
      <c r="R555" s="12">
        <v>39539</v>
      </c>
      <c r="S555" s="1">
        <v>1040</v>
      </c>
      <c r="T555" s="9" t="s">
        <v>46</v>
      </c>
    </row>
    <row r="556" spans="1:20" x14ac:dyDescent="0.25">
      <c r="A556" s="10" t="s">
        <v>19</v>
      </c>
      <c r="B556" t="b">
        <v>0</v>
      </c>
      <c r="C556" t="b">
        <v>0</v>
      </c>
      <c r="D556" s="1">
        <v>0</v>
      </c>
      <c r="E556" s="1">
        <v>0</v>
      </c>
      <c r="F556" s="1">
        <v>0</v>
      </c>
      <c r="G556" s="1">
        <v>1641</v>
      </c>
      <c r="H556" s="1">
        <v>0</v>
      </c>
      <c r="I556" s="1">
        <v>0</v>
      </c>
      <c r="J556" s="1">
        <f t="shared" si="25"/>
        <v>1641</v>
      </c>
      <c r="K556" s="1">
        <v>578</v>
      </c>
      <c r="L556" s="1">
        <v>0</v>
      </c>
      <c r="M556" s="1">
        <v>0</v>
      </c>
      <c r="N556" s="1">
        <f t="shared" si="24"/>
        <v>578</v>
      </c>
      <c r="O556" s="9">
        <f t="shared" si="26"/>
        <v>578</v>
      </c>
      <c r="P556" s="1">
        <v>0</v>
      </c>
      <c r="Q556" s="1">
        <v>0</v>
      </c>
      <c r="R556" s="12">
        <v>39569</v>
      </c>
      <c r="S556" s="1">
        <v>2219</v>
      </c>
      <c r="T556" s="9" t="s">
        <v>46</v>
      </c>
    </row>
    <row r="557" spans="1:20" x14ac:dyDescent="0.25">
      <c r="A557" s="10" t="s">
        <v>19</v>
      </c>
      <c r="B557" t="b">
        <v>0</v>
      </c>
      <c r="C557" t="b">
        <v>0</v>
      </c>
      <c r="D557" s="1">
        <v>0</v>
      </c>
      <c r="E557" s="1">
        <v>0</v>
      </c>
      <c r="F557" s="1">
        <v>0</v>
      </c>
      <c r="G557" s="1">
        <v>1295</v>
      </c>
      <c r="H557" s="1">
        <v>0</v>
      </c>
      <c r="I557" s="1">
        <v>0</v>
      </c>
      <c r="J557" s="1">
        <f t="shared" si="25"/>
        <v>1295</v>
      </c>
      <c r="K557" s="1">
        <v>473</v>
      </c>
      <c r="L557" s="1">
        <v>0</v>
      </c>
      <c r="M557" s="1">
        <v>0</v>
      </c>
      <c r="N557" s="1">
        <f t="shared" si="24"/>
        <v>473</v>
      </c>
      <c r="O557" s="9">
        <f t="shared" si="26"/>
        <v>473</v>
      </c>
      <c r="P557" s="1">
        <v>0</v>
      </c>
      <c r="Q557" s="1">
        <v>0</v>
      </c>
      <c r="R557" s="12">
        <v>39600</v>
      </c>
      <c r="S557" s="1">
        <v>1768</v>
      </c>
      <c r="T557" s="9" t="s">
        <v>46</v>
      </c>
    </row>
    <row r="558" spans="1:20" x14ac:dyDescent="0.25">
      <c r="A558" s="10" t="s">
        <v>19</v>
      </c>
      <c r="B558" t="b">
        <v>0</v>
      </c>
      <c r="C558" t="b">
        <v>0</v>
      </c>
      <c r="D558" s="1">
        <v>0</v>
      </c>
      <c r="E558" s="1">
        <v>0</v>
      </c>
      <c r="F558" s="1">
        <v>0</v>
      </c>
      <c r="G558" s="1">
        <v>1451</v>
      </c>
      <c r="H558" s="1">
        <v>0</v>
      </c>
      <c r="I558" s="1">
        <v>0</v>
      </c>
      <c r="J558" s="1">
        <f t="shared" si="25"/>
        <v>1451</v>
      </c>
      <c r="K558" s="1">
        <v>552</v>
      </c>
      <c r="L558" s="1">
        <v>0</v>
      </c>
      <c r="M558" s="1">
        <v>0</v>
      </c>
      <c r="N558" s="1">
        <f t="shared" si="24"/>
        <v>552</v>
      </c>
      <c r="O558" s="9">
        <f t="shared" si="26"/>
        <v>552</v>
      </c>
      <c r="P558" s="1">
        <v>0</v>
      </c>
      <c r="Q558" s="1">
        <v>0</v>
      </c>
      <c r="R558" s="12">
        <v>39630</v>
      </c>
      <c r="S558" s="1">
        <v>2003</v>
      </c>
      <c r="T558" s="9" t="s">
        <v>46</v>
      </c>
    </row>
    <row r="559" spans="1:20" x14ac:dyDescent="0.25">
      <c r="A559" s="10" t="s">
        <v>19</v>
      </c>
      <c r="B559" t="b">
        <v>0</v>
      </c>
      <c r="C559" t="b">
        <v>0</v>
      </c>
      <c r="D559" s="1">
        <v>0</v>
      </c>
      <c r="E559" s="1">
        <v>0</v>
      </c>
      <c r="F559" s="1">
        <v>0</v>
      </c>
      <c r="G559" s="1">
        <v>1677</v>
      </c>
      <c r="H559" s="1">
        <v>0</v>
      </c>
      <c r="I559" s="1">
        <v>0</v>
      </c>
      <c r="J559" s="1">
        <f t="shared" si="25"/>
        <v>1677</v>
      </c>
      <c r="K559" s="1">
        <v>409</v>
      </c>
      <c r="L559" s="1">
        <v>0</v>
      </c>
      <c r="M559" s="1">
        <v>0</v>
      </c>
      <c r="N559" s="1">
        <f t="shared" si="24"/>
        <v>409</v>
      </c>
      <c r="O559" s="9">
        <f t="shared" si="26"/>
        <v>409</v>
      </c>
      <c r="P559" s="1">
        <v>0</v>
      </c>
      <c r="Q559" s="1">
        <v>0</v>
      </c>
      <c r="R559" s="12">
        <v>39661</v>
      </c>
      <c r="S559" s="1">
        <v>2086</v>
      </c>
      <c r="T559" s="9" t="s">
        <v>46</v>
      </c>
    </row>
    <row r="560" spans="1:20" x14ac:dyDescent="0.25">
      <c r="A560" s="10" t="s">
        <v>19</v>
      </c>
      <c r="B560" t="b">
        <v>0</v>
      </c>
      <c r="C560" t="b">
        <v>0</v>
      </c>
      <c r="D560" s="1">
        <v>0</v>
      </c>
      <c r="E560" s="1">
        <v>0</v>
      </c>
      <c r="F560" s="1">
        <v>0</v>
      </c>
      <c r="G560" s="1">
        <v>1150</v>
      </c>
      <c r="H560" s="1">
        <v>0</v>
      </c>
      <c r="I560" s="1">
        <v>0</v>
      </c>
      <c r="J560" s="1">
        <f t="shared" si="25"/>
        <v>1150</v>
      </c>
      <c r="K560" s="1">
        <v>434</v>
      </c>
      <c r="L560" s="1">
        <v>0</v>
      </c>
      <c r="M560" s="1">
        <v>0</v>
      </c>
      <c r="N560" s="1">
        <f t="shared" si="24"/>
        <v>434</v>
      </c>
      <c r="O560" s="9">
        <f t="shared" si="26"/>
        <v>434</v>
      </c>
      <c r="P560" s="1">
        <v>0</v>
      </c>
      <c r="Q560" s="1">
        <v>0</v>
      </c>
      <c r="R560" s="12">
        <v>39692</v>
      </c>
      <c r="S560" s="1">
        <v>1584</v>
      </c>
      <c r="T560" s="9" t="s">
        <v>46</v>
      </c>
    </row>
    <row r="561" spans="1:20" x14ac:dyDescent="0.25">
      <c r="A561" s="10" t="s">
        <v>19</v>
      </c>
      <c r="B561" t="b">
        <v>0</v>
      </c>
      <c r="C561" t="b">
        <v>0</v>
      </c>
      <c r="D561" s="1">
        <v>0</v>
      </c>
      <c r="E561" s="1">
        <v>0</v>
      </c>
      <c r="F561" s="1">
        <v>0</v>
      </c>
      <c r="G561" s="1">
        <v>1070</v>
      </c>
      <c r="H561" s="1">
        <v>0</v>
      </c>
      <c r="I561" s="1">
        <v>0</v>
      </c>
      <c r="J561" s="1">
        <f t="shared" si="25"/>
        <v>1070</v>
      </c>
      <c r="K561" s="1">
        <v>378</v>
      </c>
      <c r="L561" s="1">
        <v>0</v>
      </c>
      <c r="M561" s="1">
        <v>0</v>
      </c>
      <c r="N561" s="1">
        <f t="shared" si="24"/>
        <v>378</v>
      </c>
      <c r="O561" s="9">
        <f t="shared" si="26"/>
        <v>378</v>
      </c>
      <c r="P561" s="1">
        <v>0</v>
      </c>
      <c r="Q561" s="1">
        <v>0</v>
      </c>
      <c r="R561" s="12">
        <v>39722</v>
      </c>
      <c r="S561" s="1">
        <v>1448</v>
      </c>
      <c r="T561" s="9" t="s">
        <v>46</v>
      </c>
    </row>
    <row r="562" spans="1:20" x14ac:dyDescent="0.25">
      <c r="A562" s="10" t="s">
        <v>19</v>
      </c>
      <c r="B562" t="b">
        <v>0</v>
      </c>
      <c r="C562" t="b">
        <v>0</v>
      </c>
      <c r="D562" s="1">
        <v>0</v>
      </c>
      <c r="E562" s="1">
        <v>0</v>
      </c>
      <c r="F562" s="1">
        <v>0</v>
      </c>
      <c r="G562" s="1">
        <v>991</v>
      </c>
      <c r="H562" s="1">
        <v>0</v>
      </c>
      <c r="I562" s="1">
        <v>0</v>
      </c>
      <c r="J562" s="1">
        <f t="shared" si="25"/>
        <v>991</v>
      </c>
      <c r="K562" s="1">
        <v>53</v>
      </c>
      <c r="L562" s="1">
        <v>0</v>
      </c>
      <c r="M562" s="1">
        <v>0</v>
      </c>
      <c r="N562" s="1">
        <f t="shared" si="24"/>
        <v>53</v>
      </c>
      <c r="O562" s="9">
        <f t="shared" si="26"/>
        <v>53</v>
      </c>
      <c r="P562" s="1">
        <v>0</v>
      </c>
      <c r="Q562" s="1">
        <v>0</v>
      </c>
      <c r="R562" s="12">
        <v>39753</v>
      </c>
      <c r="S562" s="1">
        <v>1044</v>
      </c>
      <c r="T562" s="9" t="s">
        <v>46</v>
      </c>
    </row>
    <row r="563" spans="1:20" x14ac:dyDescent="0.25">
      <c r="A563" s="10" t="s">
        <v>19</v>
      </c>
      <c r="B563" t="b">
        <v>0</v>
      </c>
      <c r="C563" t="b">
        <v>0</v>
      </c>
      <c r="D563" s="1">
        <v>0</v>
      </c>
      <c r="E563" s="1">
        <v>0</v>
      </c>
      <c r="F563" s="1">
        <v>0</v>
      </c>
      <c r="G563" s="1">
        <v>863</v>
      </c>
      <c r="H563" s="1">
        <v>0</v>
      </c>
      <c r="I563" s="1">
        <v>0</v>
      </c>
      <c r="J563" s="1">
        <f t="shared" si="25"/>
        <v>863</v>
      </c>
      <c r="K563" s="1">
        <v>28</v>
      </c>
      <c r="L563" s="1">
        <v>0</v>
      </c>
      <c r="M563" s="1">
        <v>0</v>
      </c>
      <c r="N563" s="1">
        <f t="shared" si="24"/>
        <v>28</v>
      </c>
      <c r="O563" s="9">
        <f t="shared" si="26"/>
        <v>28</v>
      </c>
      <c r="P563" s="1">
        <v>0</v>
      </c>
      <c r="Q563" s="1">
        <v>0</v>
      </c>
      <c r="R563" s="12">
        <v>39783</v>
      </c>
      <c r="S563" s="1">
        <v>891</v>
      </c>
      <c r="T563" s="9" t="s">
        <v>46</v>
      </c>
    </row>
    <row r="564" spans="1:20" x14ac:dyDescent="0.25">
      <c r="A564" s="10" t="s">
        <v>19</v>
      </c>
      <c r="B564" t="b">
        <v>0</v>
      </c>
      <c r="C564" t="b">
        <v>0</v>
      </c>
      <c r="D564" s="1">
        <v>0</v>
      </c>
      <c r="E564" s="1">
        <v>0</v>
      </c>
      <c r="F564" s="1">
        <v>0</v>
      </c>
      <c r="G564" s="1">
        <v>911</v>
      </c>
      <c r="H564" s="1">
        <v>0</v>
      </c>
      <c r="I564" s="1">
        <v>0</v>
      </c>
      <c r="J564" s="1">
        <f t="shared" si="25"/>
        <v>911</v>
      </c>
      <c r="K564" s="1">
        <v>39</v>
      </c>
      <c r="L564" s="1">
        <v>0</v>
      </c>
      <c r="M564" s="1">
        <v>0</v>
      </c>
      <c r="N564" s="1">
        <f t="shared" si="24"/>
        <v>39</v>
      </c>
      <c r="O564" s="9">
        <f t="shared" si="26"/>
        <v>39</v>
      </c>
      <c r="P564" s="1">
        <v>0</v>
      </c>
      <c r="Q564" s="1">
        <v>0</v>
      </c>
      <c r="R564" s="12">
        <v>39814</v>
      </c>
      <c r="S564" s="1">
        <v>950</v>
      </c>
      <c r="T564" s="9" t="s">
        <v>41</v>
      </c>
    </row>
    <row r="565" spans="1:20" x14ac:dyDescent="0.25">
      <c r="A565" s="10" t="s">
        <v>19</v>
      </c>
      <c r="B565" t="b">
        <v>0</v>
      </c>
      <c r="C565" t="b">
        <v>0</v>
      </c>
      <c r="D565" s="1">
        <v>0</v>
      </c>
      <c r="E565" s="1">
        <v>0</v>
      </c>
      <c r="F565" s="1">
        <v>0</v>
      </c>
      <c r="G565" s="1">
        <v>1295</v>
      </c>
      <c r="H565" s="1">
        <v>0</v>
      </c>
      <c r="I565" s="1">
        <v>0</v>
      </c>
      <c r="J565" s="1">
        <f t="shared" si="25"/>
        <v>1295</v>
      </c>
      <c r="K565" s="1">
        <v>17</v>
      </c>
      <c r="L565" s="1">
        <v>0</v>
      </c>
      <c r="M565" s="1">
        <v>0</v>
      </c>
      <c r="N565" s="1">
        <f t="shared" si="24"/>
        <v>17</v>
      </c>
      <c r="O565" s="9">
        <f t="shared" si="26"/>
        <v>17</v>
      </c>
      <c r="P565" s="1">
        <v>0</v>
      </c>
      <c r="Q565" s="1">
        <v>0</v>
      </c>
      <c r="R565" s="12">
        <v>39845</v>
      </c>
      <c r="S565" s="1">
        <v>1312</v>
      </c>
      <c r="T565" s="9" t="s">
        <v>41</v>
      </c>
    </row>
    <row r="566" spans="1:20" x14ac:dyDescent="0.25">
      <c r="A566" s="10" t="s">
        <v>19</v>
      </c>
      <c r="B566" t="b">
        <v>0</v>
      </c>
      <c r="C566" t="b">
        <v>0</v>
      </c>
      <c r="D566" s="1">
        <v>0</v>
      </c>
      <c r="E566" s="1">
        <v>0</v>
      </c>
      <c r="F566" s="1">
        <v>0</v>
      </c>
      <c r="G566" s="1">
        <v>1827</v>
      </c>
      <c r="H566" s="1">
        <v>0</v>
      </c>
      <c r="I566" s="1">
        <v>0</v>
      </c>
      <c r="J566" s="1">
        <f t="shared" si="25"/>
        <v>1827</v>
      </c>
      <c r="K566" s="1">
        <v>0</v>
      </c>
      <c r="L566" s="1">
        <v>0</v>
      </c>
      <c r="M566" s="1">
        <v>0</v>
      </c>
      <c r="N566" s="1">
        <f t="shared" ref="N566:N629" si="27">K566+L566+M566</f>
        <v>0</v>
      </c>
      <c r="O566" s="9">
        <f t="shared" si="26"/>
        <v>0</v>
      </c>
      <c r="P566" s="1">
        <v>0</v>
      </c>
      <c r="Q566" s="1">
        <v>0</v>
      </c>
      <c r="R566" s="12">
        <v>39873</v>
      </c>
      <c r="S566" s="1">
        <v>1827</v>
      </c>
      <c r="T566" s="9" t="s">
        <v>41</v>
      </c>
    </row>
    <row r="567" spans="1:20" x14ac:dyDescent="0.25">
      <c r="A567" s="10" t="s">
        <v>19</v>
      </c>
      <c r="B567" t="b">
        <v>0</v>
      </c>
      <c r="C567" t="b">
        <v>0</v>
      </c>
      <c r="D567" s="1">
        <v>0</v>
      </c>
      <c r="E567" s="1">
        <v>0</v>
      </c>
      <c r="F567" s="1">
        <v>0</v>
      </c>
      <c r="G567" s="1">
        <v>2047</v>
      </c>
      <c r="H567" s="1">
        <v>0</v>
      </c>
      <c r="I567" s="1">
        <v>0</v>
      </c>
      <c r="J567" s="1">
        <f t="shared" si="25"/>
        <v>2047</v>
      </c>
      <c r="K567" s="1">
        <v>17</v>
      </c>
      <c r="L567" s="1">
        <v>0</v>
      </c>
      <c r="M567" s="1">
        <v>0</v>
      </c>
      <c r="N567" s="1">
        <f t="shared" si="27"/>
        <v>17</v>
      </c>
      <c r="O567" s="9">
        <f t="shared" si="26"/>
        <v>17</v>
      </c>
      <c r="P567" s="1">
        <v>0</v>
      </c>
      <c r="Q567" s="1">
        <v>0</v>
      </c>
      <c r="R567" s="12">
        <v>39904</v>
      </c>
      <c r="S567" s="1">
        <v>2064</v>
      </c>
      <c r="T567" s="9" t="s">
        <v>41</v>
      </c>
    </row>
    <row r="568" spans="1:20" x14ac:dyDescent="0.25">
      <c r="A568" s="10" t="s">
        <v>19</v>
      </c>
      <c r="B568" t="b">
        <v>0</v>
      </c>
      <c r="C568" t="b">
        <v>0</v>
      </c>
      <c r="D568" s="1">
        <v>0</v>
      </c>
      <c r="E568" s="1">
        <v>0</v>
      </c>
      <c r="F568" s="1">
        <v>0</v>
      </c>
      <c r="G568" s="1">
        <v>3180</v>
      </c>
      <c r="H568" s="1">
        <v>0</v>
      </c>
      <c r="I568" s="1">
        <v>0</v>
      </c>
      <c r="J568" s="1">
        <f t="shared" si="25"/>
        <v>3180</v>
      </c>
      <c r="K568" s="1">
        <v>34</v>
      </c>
      <c r="L568" s="1">
        <v>0</v>
      </c>
      <c r="M568" s="1">
        <v>0</v>
      </c>
      <c r="N568" s="1">
        <f t="shared" si="27"/>
        <v>34</v>
      </c>
      <c r="O568" s="9">
        <f t="shared" si="26"/>
        <v>34</v>
      </c>
      <c r="P568" s="1">
        <v>0</v>
      </c>
      <c r="Q568" s="1">
        <v>0</v>
      </c>
      <c r="R568" s="12">
        <v>39934</v>
      </c>
      <c r="S568" s="1">
        <v>3305</v>
      </c>
      <c r="T568" s="9" t="s">
        <v>41</v>
      </c>
    </row>
    <row r="569" spans="1:20" x14ac:dyDescent="0.25">
      <c r="A569" s="10" t="s">
        <v>19</v>
      </c>
      <c r="B569" t="b">
        <v>0</v>
      </c>
      <c r="C569" t="b">
        <v>0</v>
      </c>
      <c r="D569" s="1">
        <v>0</v>
      </c>
      <c r="E569" s="1">
        <v>0</v>
      </c>
      <c r="F569" s="1">
        <v>0</v>
      </c>
      <c r="G569" s="1">
        <v>2471</v>
      </c>
      <c r="H569" s="1">
        <v>0</v>
      </c>
      <c r="I569" s="1">
        <v>0</v>
      </c>
      <c r="J569" s="1">
        <f t="shared" si="25"/>
        <v>2471</v>
      </c>
      <c r="K569" s="1">
        <v>194</v>
      </c>
      <c r="L569" s="1">
        <v>0</v>
      </c>
      <c r="M569" s="1">
        <v>0</v>
      </c>
      <c r="N569" s="1">
        <f t="shared" si="27"/>
        <v>194</v>
      </c>
      <c r="O569" s="9">
        <f t="shared" si="26"/>
        <v>194</v>
      </c>
      <c r="P569" s="1">
        <v>0</v>
      </c>
      <c r="Q569" s="1">
        <v>0</v>
      </c>
      <c r="R569" s="12">
        <v>39965</v>
      </c>
      <c r="S569" s="1">
        <v>2746</v>
      </c>
      <c r="T569" s="9" t="s">
        <v>41</v>
      </c>
    </row>
    <row r="570" spans="1:20" x14ac:dyDescent="0.25">
      <c r="A570" s="10" t="s">
        <v>19</v>
      </c>
      <c r="B570" t="b">
        <v>0</v>
      </c>
      <c r="C570" t="b">
        <v>0</v>
      </c>
      <c r="D570" s="1">
        <v>0</v>
      </c>
      <c r="E570" s="1">
        <v>0</v>
      </c>
      <c r="F570" s="1">
        <v>0</v>
      </c>
      <c r="G570" s="1">
        <v>1012</v>
      </c>
      <c r="H570" s="1">
        <v>722</v>
      </c>
      <c r="I570" s="1">
        <v>0</v>
      </c>
      <c r="J570" s="1">
        <f t="shared" si="25"/>
        <v>1734</v>
      </c>
      <c r="K570" s="1">
        <v>266</v>
      </c>
      <c r="L570" s="1">
        <v>0</v>
      </c>
      <c r="M570" s="1">
        <v>0</v>
      </c>
      <c r="N570" s="1">
        <f t="shared" si="27"/>
        <v>266</v>
      </c>
      <c r="O570" s="9">
        <f t="shared" si="26"/>
        <v>266</v>
      </c>
      <c r="P570" s="1">
        <v>0</v>
      </c>
      <c r="Q570" s="1">
        <v>0</v>
      </c>
      <c r="R570" s="12">
        <v>39995</v>
      </c>
      <c r="S570" s="1">
        <v>2000</v>
      </c>
      <c r="T570" s="9" t="s">
        <v>41</v>
      </c>
    </row>
    <row r="571" spans="1:20" x14ac:dyDescent="0.25">
      <c r="A571" s="10" t="s">
        <v>19</v>
      </c>
      <c r="B571" t="b">
        <v>0</v>
      </c>
      <c r="C571" t="b">
        <v>0</v>
      </c>
      <c r="D571" s="1">
        <v>0</v>
      </c>
      <c r="E571" s="1">
        <v>0</v>
      </c>
      <c r="F571" s="1">
        <v>0</v>
      </c>
      <c r="G571" s="1">
        <v>1326</v>
      </c>
      <c r="H571" s="1">
        <v>700</v>
      </c>
      <c r="I571" s="1">
        <v>0</v>
      </c>
      <c r="J571" s="1">
        <f t="shared" si="25"/>
        <v>2026</v>
      </c>
      <c r="K571" s="1">
        <v>32</v>
      </c>
      <c r="L571" s="1">
        <v>0</v>
      </c>
      <c r="M571" s="1">
        <v>0</v>
      </c>
      <c r="N571" s="1">
        <f t="shared" si="27"/>
        <v>32</v>
      </c>
      <c r="O571" s="9">
        <f t="shared" si="26"/>
        <v>32</v>
      </c>
      <c r="P571" s="1">
        <v>0</v>
      </c>
      <c r="Q571" s="1">
        <v>0</v>
      </c>
      <c r="R571" s="12">
        <v>40026</v>
      </c>
      <c r="S571" s="1">
        <v>2058</v>
      </c>
      <c r="T571" s="9" t="s">
        <v>41</v>
      </c>
    </row>
    <row r="572" spans="1:20" x14ac:dyDescent="0.25">
      <c r="A572" s="10" t="s">
        <v>19</v>
      </c>
      <c r="B572" t="b">
        <v>0</v>
      </c>
      <c r="C572" t="b">
        <v>0</v>
      </c>
      <c r="D572" s="1">
        <v>0</v>
      </c>
      <c r="E572" s="1">
        <v>0</v>
      </c>
      <c r="F572" s="1">
        <v>0</v>
      </c>
      <c r="G572" s="1">
        <v>964</v>
      </c>
      <c r="H572" s="1">
        <v>477</v>
      </c>
      <c r="I572" s="1">
        <v>0</v>
      </c>
      <c r="J572" s="1">
        <f t="shared" si="25"/>
        <v>1441</v>
      </c>
      <c r="K572" s="1">
        <v>40</v>
      </c>
      <c r="L572" s="1">
        <v>0</v>
      </c>
      <c r="M572" s="1">
        <v>0</v>
      </c>
      <c r="N572" s="1">
        <f t="shared" si="27"/>
        <v>40</v>
      </c>
      <c r="O572" s="9">
        <f t="shared" si="26"/>
        <v>40</v>
      </c>
      <c r="P572" s="1">
        <v>0</v>
      </c>
      <c r="Q572" s="1">
        <v>0</v>
      </c>
      <c r="R572" s="12">
        <v>40057</v>
      </c>
      <c r="S572" s="1">
        <v>1481</v>
      </c>
      <c r="T572" s="9" t="s">
        <v>41</v>
      </c>
    </row>
    <row r="573" spans="1:20" x14ac:dyDescent="0.25">
      <c r="A573" s="10" t="s">
        <v>19</v>
      </c>
      <c r="B573" t="b">
        <v>0</v>
      </c>
      <c r="C573" t="b">
        <v>0</v>
      </c>
      <c r="D573" s="1">
        <v>0</v>
      </c>
      <c r="E573" s="1">
        <v>0</v>
      </c>
      <c r="F573" s="1">
        <v>0</v>
      </c>
      <c r="G573" s="1">
        <v>1552</v>
      </c>
      <c r="H573" s="1">
        <v>0</v>
      </c>
      <c r="I573" s="1">
        <v>0</v>
      </c>
      <c r="J573" s="1">
        <f t="shared" si="25"/>
        <v>1552</v>
      </c>
      <c r="K573" s="1">
        <v>28</v>
      </c>
      <c r="L573" s="1">
        <v>0</v>
      </c>
      <c r="M573" s="1">
        <v>0</v>
      </c>
      <c r="N573" s="1">
        <f t="shared" si="27"/>
        <v>28</v>
      </c>
      <c r="O573" s="9">
        <f t="shared" si="26"/>
        <v>28</v>
      </c>
      <c r="P573" s="1">
        <v>0</v>
      </c>
      <c r="Q573" s="1">
        <v>0</v>
      </c>
      <c r="R573" s="12">
        <v>40087</v>
      </c>
      <c r="S573" s="1">
        <v>1580</v>
      </c>
      <c r="T573" s="9" t="s">
        <v>41</v>
      </c>
    </row>
    <row r="574" spans="1:20" x14ac:dyDescent="0.25">
      <c r="A574" s="10" t="s">
        <v>19</v>
      </c>
      <c r="B574" t="b">
        <v>0</v>
      </c>
      <c r="C574" t="b">
        <v>0</v>
      </c>
      <c r="D574" s="1">
        <v>0</v>
      </c>
      <c r="E574" s="1">
        <v>0</v>
      </c>
      <c r="F574" s="1">
        <v>0</v>
      </c>
      <c r="G574" s="1">
        <v>1786</v>
      </c>
      <c r="H574" s="1">
        <v>0</v>
      </c>
      <c r="I574" s="1">
        <v>0</v>
      </c>
      <c r="J574" s="1">
        <f t="shared" si="25"/>
        <v>1786</v>
      </c>
      <c r="K574" s="1">
        <v>17</v>
      </c>
      <c r="L574" s="1">
        <v>0</v>
      </c>
      <c r="M574" s="1">
        <v>0</v>
      </c>
      <c r="N574" s="1">
        <f t="shared" si="27"/>
        <v>17</v>
      </c>
      <c r="O574" s="9">
        <f t="shared" si="26"/>
        <v>17</v>
      </c>
      <c r="P574" s="1">
        <v>0</v>
      </c>
      <c r="Q574" s="1">
        <v>0</v>
      </c>
      <c r="R574" s="12">
        <v>40118</v>
      </c>
      <c r="S574" s="1">
        <v>1803</v>
      </c>
      <c r="T574" s="9" t="s">
        <v>41</v>
      </c>
    </row>
    <row r="575" spans="1:20" x14ac:dyDescent="0.25">
      <c r="A575" s="10" t="s">
        <v>19</v>
      </c>
      <c r="B575" t="b">
        <v>0</v>
      </c>
      <c r="C575" t="b">
        <v>0</v>
      </c>
      <c r="D575" s="1">
        <v>0</v>
      </c>
      <c r="E575" s="1">
        <v>0</v>
      </c>
      <c r="F575" s="1">
        <v>0</v>
      </c>
      <c r="G575" s="1">
        <v>1152</v>
      </c>
      <c r="H575" s="1">
        <v>0</v>
      </c>
      <c r="I575" s="1">
        <v>0</v>
      </c>
      <c r="J575" s="1">
        <f t="shared" si="25"/>
        <v>1152</v>
      </c>
      <c r="K575" s="1">
        <v>0</v>
      </c>
      <c r="L575" s="1">
        <v>13</v>
      </c>
      <c r="M575" s="1">
        <v>0</v>
      </c>
      <c r="N575" s="1">
        <f t="shared" si="27"/>
        <v>13</v>
      </c>
      <c r="O575" s="9">
        <f t="shared" si="26"/>
        <v>0</v>
      </c>
      <c r="P575" s="1">
        <v>0</v>
      </c>
      <c r="Q575" s="1">
        <v>0</v>
      </c>
      <c r="R575" s="12">
        <v>40148</v>
      </c>
      <c r="S575" s="1">
        <v>1183</v>
      </c>
      <c r="T575" s="9" t="s">
        <v>41</v>
      </c>
    </row>
    <row r="576" spans="1:20" x14ac:dyDescent="0.25">
      <c r="A576" s="10" t="s">
        <v>19</v>
      </c>
      <c r="B576" t="b">
        <v>0</v>
      </c>
      <c r="C576" t="b">
        <v>0</v>
      </c>
      <c r="D576" s="1">
        <v>0</v>
      </c>
      <c r="E576" s="1">
        <v>0</v>
      </c>
      <c r="F576" s="1">
        <v>0</v>
      </c>
      <c r="G576" s="1">
        <v>666</v>
      </c>
      <c r="H576" s="1">
        <v>0</v>
      </c>
      <c r="I576" s="1">
        <v>0</v>
      </c>
      <c r="J576" s="1">
        <f t="shared" si="25"/>
        <v>666</v>
      </c>
      <c r="K576" s="1">
        <v>0</v>
      </c>
      <c r="L576" s="1">
        <v>0</v>
      </c>
      <c r="M576" s="1">
        <v>0</v>
      </c>
      <c r="N576" s="1">
        <f t="shared" si="27"/>
        <v>0</v>
      </c>
      <c r="O576" s="9">
        <f t="shared" si="26"/>
        <v>0</v>
      </c>
      <c r="P576" s="1">
        <v>0</v>
      </c>
      <c r="Q576" s="1">
        <v>0</v>
      </c>
      <c r="R576" s="12">
        <v>40179</v>
      </c>
      <c r="S576" s="1">
        <v>666</v>
      </c>
      <c r="T576" s="9" t="s">
        <v>21</v>
      </c>
    </row>
    <row r="577" spans="1:20" x14ac:dyDescent="0.25">
      <c r="A577" s="10" t="s">
        <v>19</v>
      </c>
      <c r="B577" t="b">
        <v>0</v>
      </c>
      <c r="C577" t="b">
        <v>0</v>
      </c>
      <c r="D577" s="1">
        <v>0</v>
      </c>
      <c r="E577" s="1">
        <v>0</v>
      </c>
      <c r="F577" s="1">
        <v>0</v>
      </c>
      <c r="G577" s="1">
        <v>1171</v>
      </c>
      <c r="H577" s="1">
        <v>0</v>
      </c>
      <c r="I577" s="1">
        <v>0</v>
      </c>
      <c r="J577" s="1">
        <f t="shared" si="25"/>
        <v>1171</v>
      </c>
      <c r="K577" s="1">
        <v>0</v>
      </c>
      <c r="L577" s="1">
        <v>0</v>
      </c>
      <c r="M577" s="1">
        <v>0</v>
      </c>
      <c r="N577" s="1">
        <f t="shared" si="27"/>
        <v>0</v>
      </c>
      <c r="O577" s="9">
        <f t="shared" si="26"/>
        <v>0</v>
      </c>
      <c r="P577" s="1">
        <v>0</v>
      </c>
      <c r="Q577" s="1">
        <v>0</v>
      </c>
      <c r="R577" s="12">
        <v>40210</v>
      </c>
      <c r="S577" s="1">
        <v>1171</v>
      </c>
      <c r="T577" s="9" t="s">
        <v>21</v>
      </c>
    </row>
    <row r="578" spans="1:20" x14ac:dyDescent="0.25">
      <c r="A578" s="10" t="s">
        <v>19</v>
      </c>
      <c r="B578" t="b">
        <v>0</v>
      </c>
      <c r="C578" t="b">
        <v>0</v>
      </c>
      <c r="D578" s="1">
        <v>0</v>
      </c>
      <c r="E578" s="1">
        <v>0</v>
      </c>
      <c r="F578" s="1">
        <v>0</v>
      </c>
      <c r="G578" s="1">
        <v>1355</v>
      </c>
      <c r="H578" s="1">
        <v>0</v>
      </c>
      <c r="I578" s="1">
        <v>0</v>
      </c>
      <c r="J578" s="1">
        <f t="shared" si="25"/>
        <v>1355</v>
      </c>
      <c r="K578" s="1">
        <v>0</v>
      </c>
      <c r="L578" s="1">
        <v>0</v>
      </c>
      <c r="M578" s="1">
        <v>0</v>
      </c>
      <c r="N578" s="1">
        <f t="shared" si="27"/>
        <v>0</v>
      </c>
      <c r="O578" s="9">
        <f t="shared" si="26"/>
        <v>0</v>
      </c>
      <c r="P578" s="1">
        <v>0</v>
      </c>
      <c r="Q578" s="1">
        <v>0</v>
      </c>
      <c r="R578" s="12">
        <v>40238</v>
      </c>
      <c r="S578" s="1">
        <v>1355</v>
      </c>
      <c r="T578" s="9" t="s">
        <v>21</v>
      </c>
    </row>
    <row r="579" spans="1:20" x14ac:dyDescent="0.25">
      <c r="A579" s="10" t="s">
        <v>19</v>
      </c>
      <c r="B579" t="b">
        <v>0</v>
      </c>
      <c r="C579" t="b">
        <v>0</v>
      </c>
      <c r="D579" s="1">
        <v>0</v>
      </c>
      <c r="E579" s="1">
        <v>0</v>
      </c>
      <c r="F579" s="1">
        <v>0</v>
      </c>
      <c r="G579" s="1">
        <v>1087</v>
      </c>
      <c r="H579" s="1">
        <v>0</v>
      </c>
      <c r="I579" s="1">
        <v>0</v>
      </c>
      <c r="J579" s="1">
        <f t="shared" si="25"/>
        <v>1087</v>
      </c>
      <c r="K579" s="1">
        <v>0</v>
      </c>
      <c r="L579" s="1">
        <v>0</v>
      </c>
      <c r="M579" s="1">
        <v>0</v>
      </c>
      <c r="N579" s="1">
        <f t="shared" si="27"/>
        <v>0</v>
      </c>
      <c r="O579" s="9">
        <f t="shared" si="26"/>
        <v>0</v>
      </c>
      <c r="P579" s="1">
        <v>0</v>
      </c>
      <c r="Q579" s="1">
        <v>0</v>
      </c>
      <c r="R579" s="12">
        <v>40269</v>
      </c>
      <c r="S579" s="1">
        <v>1087</v>
      </c>
      <c r="T579" s="9" t="s">
        <v>21</v>
      </c>
    </row>
    <row r="580" spans="1:20" x14ac:dyDescent="0.25">
      <c r="A580" s="10" t="s">
        <v>19</v>
      </c>
      <c r="B580" t="b">
        <v>0</v>
      </c>
      <c r="C580" t="b">
        <v>0</v>
      </c>
      <c r="D580" s="1">
        <v>0</v>
      </c>
      <c r="E580" s="1">
        <v>0</v>
      </c>
      <c r="F580" s="1">
        <v>0</v>
      </c>
      <c r="G580" s="1">
        <v>2046</v>
      </c>
      <c r="H580" s="1">
        <v>0</v>
      </c>
      <c r="I580" s="1">
        <v>0</v>
      </c>
      <c r="J580" s="1">
        <f t="shared" si="25"/>
        <v>2046</v>
      </c>
      <c r="K580" s="1">
        <v>0</v>
      </c>
      <c r="L580" s="1">
        <v>0</v>
      </c>
      <c r="M580" s="1">
        <v>0</v>
      </c>
      <c r="N580" s="1">
        <f t="shared" si="27"/>
        <v>0</v>
      </c>
      <c r="O580" s="9">
        <f t="shared" si="26"/>
        <v>0</v>
      </c>
      <c r="P580" s="1">
        <v>0</v>
      </c>
      <c r="Q580" s="1">
        <v>0</v>
      </c>
      <c r="R580" s="12">
        <v>40299</v>
      </c>
      <c r="S580" s="1">
        <v>2046</v>
      </c>
      <c r="T580" s="9" t="s">
        <v>21</v>
      </c>
    </row>
    <row r="581" spans="1:20" x14ac:dyDescent="0.25">
      <c r="A581" s="10" t="s">
        <v>19</v>
      </c>
      <c r="B581" t="b">
        <v>0</v>
      </c>
      <c r="C581" t="b">
        <v>0</v>
      </c>
      <c r="D581" s="1">
        <v>0</v>
      </c>
      <c r="E581" s="1">
        <v>0</v>
      </c>
      <c r="F581" s="1">
        <v>0</v>
      </c>
      <c r="G581" s="1">
        <v>2109</v>
      </c>
      <c r="H581" s="1">
        <v>0</v>
      </c>
      <c r="I581" s="1">
        <v>0</v>
      </c>
      <c r="J581" s="1">
        <f t="shared" si="25"/>
        <v>2109</v>
      </c>
      <c r="K581" s="1">
        <v>0</v>
      </c>
      <c r="L581" s="1">
        <v>0</v>
      </c>
      <c r="M581" s="1">
        <v>0</v>
      </c>
      <c r="N581" s="1">
        <f t="shared" si="27"/>
        <v>0</v>
      </c>
      <c r="O581" s="9">
        <f t="shared" si="26"/>
        <v>0</v>
      </c>
      <c r="P581" s="1">
        <v>0</v>
      </c>
      <c r="Q581" s="1">
        <v>0</v>
      </c>
      <c r="R581" s="12">
        <v>40330</v>
      </c>
      <c r="S581" s="1">
        <v>2109</v>
      </c>
      <c r="T581" s="9" t="s">
        <v>21</v>
      </c>
    </row>
    <row r="582" spans="1:20" x14ac:dyDescent="0.25">
      <c r="A582" s="10" t="s">
        <v>19</v>
      </c>
      <c r="B582" t="b">
        <v>0</v>
      </c>
      <c r="C582" t="b">
        <v>0</v>
      </c>
      <c r="D582" s="1">
        <v>0</v>
      </c>
      <c r="E582" s="1">
        <v>0</v>
      </c>
      <c r="F582" s="1">
        <v>0</v>
      </c>
      <c r="G582" s="1">
        <v>4521</v>
      </c>
      <c r="H582" s="1">
        <v>0</v>
      </c>
      <c r="I582" s="1">
        <v>0</v>
      </c>
      <c r="J582" s="1">
        <f t="shared" si="25"/>
        <v>4521</v>
      </c>
      <c r="K582" s="1">
        <v>0</v>
      </c>
      <c r="L582" s="1">
        <v>0</v>
      </c>
      <c r="M582" s="1">
        <v>0</v>
      </c>
      <c r="N582" s="1">
        <f t="shared" si="27"/>
        <v>0</v>
      </c>
      <c r="O582" s="9">
        <f t="shared" si="26"/>
        <v>0</v>
      </c>
      <c r="P582" s="1">
        <v>0</v>
      </c>
      <c r="Q582" s="1">
        <v>0</v>
      </c>
      <c r="R582" s="12">
        <v>40360</v>
      </c>
      <c r="S582" s="1">
        <v>4521</v>
      </c>
      <c r="T582" s="9" t="s">
        <v>21</v>
      </c>
    </row>
    <row r="583" spans="1:20" x14ac:dyDescent="0.25">
      <c r="A583" s="10" t="s">
        <v>19</v>
      </c>
      <c r="B583" t="b">
        <v>0</v>
      </c>
      <c r="C583" t="b">
        <v>0</v>
      </c>
      <c r="D583" s="1">
        <v>0</v>
      </c>
      <c r="E583" s="1">
        <v>0</v>
      </c>
      <c r="F583" s="1">
        <v>0</v>
      </c>
      <c r="G583" s="1">
        <v>4152</v>
      </c>
      <c r="H583" s="1">
        <v>0</v>
      </c>
      <c r="I583" s="1">
        <v>0</v>
      </c>
      <c r="J583" s="1">
        <f t="shared" si="25"/>
        <v>4152</v>
      </c>
      <c r="K583" s="1">
        <v>0</v>
      </c>
      <c r="L583" s="1">
        <v>0</v>
      </c>
      <c r="M583" s="1">
        <v>0</v>
      </c>
      <c r="N583" s="1">
        <f t="shared" si="27"/>
        <v>0</v>
      </c>
      <c r="O583" s="9">
        <f t="shared" si="26"/>
        <v>0</v>
      </c>
      <c r="P583" s="1">
        <v>0</v>
      </c>
      <c r="Q583" s="1">
        <v>0</v>
      </c>
      <c r="R583" s="12">
        <v>40391</v>
      </c>
      <c r="S583" s="1">
        <v>4152</v>
      </c>
      <c r="T583" s="9" t="s">
        <v>21</v>
      </c>
    </row>
    <row r="584" spans="1:20" x14ac:dyDescent="0.25">
      <c r="A584" s="10" t="s">
        <v>19</v>
      </c>
      <c r="B584" t="b">
        <v>0</v>
      </c>
      <c r="C584" t="b">
        <v>0</v>
      </c>
      <c r="D584" s="1">
        <v>0</v>
      </c>
      <c r="E584" s="1">
        <v>0</v>
      </c>
      <c r="F584" s="1">
        <v>0</v>
      </c>
      <c r="G584" s="1">
        <v>263</v>
      </c>
      <c r="H584" s="1">
        <v>422</v>
      </c>
      <c r="I584" s="1">
        <v>0</v>
      </c>
      <c r="J584" s="1">
        <f t="shared" si="25"/>
        <v>685</v>
      </c>
      <c r="K584" s="1">
        <v>0</v>
      </c>
      <c r="L584" s="1">
        <v>0</v>
      </c>
      <c r="M584" s="1">
        <v>0</v>
      </c>
      <c r="N584" s="1">
        <f t="shared" si="27"/>
        <v>0</v>
      </c>
      <c r="O584" s="9">
        <f t="shared" si="26"/>
        <v>0</v>
      </c>
      <c r="P584" s="1">
        <v>0</v>
      </c>
      <c r="Q584" s="1">
        <v>0</v>
      </c>
      <c r="R584" s="12">
        <v>40422</v>
      </c>
      <c r="S584" s="1">
        <v>685</v>
      </c>
      <c r="T584" s="9" t="s">
        <v>21</v>
      </c>
    </row>
    <row r="585" spans="1:20" x14ac:dyDescent="0.25">
      <c r="A585" s="10" t="s">
        <v>19</v>
      </c>
      <c r="B585" t="b">
        <v>0</v>
      </c>
      <c r="C585" t="b">
        <v>0</v>
      </c>
      <c r="D585" s="1">
        <v>0</v>
      </c>
      <c r="E585" s="1">
        <v>0</v>
      </c>
      <c r="F585" s="1">
        <v>0</v>
      </c>
      <c r="G585" s="1">
        <v>200</v>
      </c>
      <c r="H585" s="1">
        <v>0</v>
      </c>
      <c r="I585" s="1">
        <v>0</v>
      </c>
      <c r="J585" s="1">
        <f t="shared" si="25"/>
        <v>200</v>
      </c>
      <c r="K585" s="1">
        <v>0</v>
      </c>
      <c r="L585" s="1">
        <v>0</v>
      </c>
      <c r="M585" s="1">
        <v>0</v>
      </c>
      <c r="N585" s="1">
        <f t="shared" si="27"/>
        <v>0</v>
      </c>
      <c r="O585" s="9">
        <f t="shared" si="26"/>
        <v>0</v>
      </c>
      <c r="P585" s="1">
        <v>0</v>
      </c>
      <c r="Q585" s="1">
        <v>0</v>
      </c>
      <c r="R585" s="12">
        <v>40452</v>
      </c>
      <c r="S585" s="1">
        <v>200</v>
      </c>
      <c r="T585" s="9" t="s">
        <v>21</v>
      </c>
    </row>
    <row r="586" spans="1:20" x14ac:dyDescent="0.25">
      <c r="A586" s="10" t="s">
        <v>19</v>
      </c>
      <c r="B586" t="b">
        <v>0</v>
      </c>
      <c r="C586" t="b">
        <v>0</v>
      </c>
      <c r="D586" s="1">
        <v>0</v>
      </c>
      <c r="E586" s="1">
        <v>0</v>
      </c>
      <c r="F586" s="1">
        <v>0</v>
      </c>
      <c r="G586" s="1">
        <v>566</v>
      </c>
      <c r="H586" s="1">
        <v>0</v>
      </c>
      <c r="I586" s="1">
        <v>0</v>
      </c>
      <c r="J586" s="1">
        <f t="shared" si="25"/>
        <v>566</v>
      </c>
      <c r="K586" s="1">
        <v>0</v>
      </c>
      <c r="L586" s="1">
        <v>0</v>
      </c>
      <c r="M586" s="1">
        <v>0</v>
      </c>
      <c r="N586" s="1">
        <f t="shared" si="27"/>
        <v>0</v>
      </c>
      <c r="O586" s="9">
        <f t="shared" si="26"/>
        <v>0</v>
      </c>
      <c r="P586" s="1">
        <v>0</v>
      </c>
      <c r="Q586" s="1">
        <v>0</v>
      </c>
      <c r="R586" s="12">
        <v>40483</v>
      </c>
      <c r="S586" s="1">
        <v>566</v>
      </c>
      <c r="T586" s="9" t="s">
        <v>21</v>
      </c>
    </row>
    <row r="587" spans="1:20" x14ac:dyDescent="0.25">
      <c r="A587" s="10" t="s">
        <v>19</v>
      </c>
      <c r="B587" t="b">
        <v>0</v>
      </c>
      <c r="C587" t="b">
        <v>0</v>
      </c>
      <c r="D587" s="1">
        <v>0</v>
      </c>
      <c r="E587" s="1">
        <v>0</v>
      </c>
      <c r="F587" s="1">
        <v>0</v>
      </c>
      <c r="G587" s="1">
        <v>607</v>
      </c>
      <c r="H587" s="1">
        <v>0</v>
      </c>
      <c r="I587" s="1">
        <v>0</v>
      </c>
      <c r="J587" s="1">
        <f t="shared" si="25"/>
        <v>607</v>
      </c>
      <c r="K587" s="1">
        <v>0</v>
      </c>
      <c r="L587" s="1">
        <v>0</v>
      </c>
      <c r="M587" s="1">
        <v>0</v>
      </c>
      <c r="N587" s="1">
        <f t="shared" si="27"/>
        <v>0</v>
      </c>
      <c r="O587" s="9">
        <f t="shared" si="26"/>
        <v>0</v>
      </c>
      <c r="P587" s="1">
        <v>0</v>
      </c>
      <c r="Q587" s="1">
        <v>0</v>
      </c>
      <c r="R587" s="12">
        <v>40513</v>
      </c>
      <c r="S587" s="1">
        <v>607</v>
      </c>
      <c r="T587" s="9" t="s">
        <v>21</v>
      </c>
    </row>
    <row r="588" spans="1:20" x14ac:dyDescent="0.25">
      <c r="A588" s="10" t="s">
        <v>19</v>
      </c>
      <c r="B588" t="b">
        <v>0</v>
      </c>
      <c r="C588" t="b">
        <v>0</v>
      </c>
      <c r="D588" s="1">
        <v>0</v>
      </c>
      <c r="E588" s="1">
        <v>0</v>
      </c>
      <c r="F588" s="1">
        <v>0</v>
      </c>
      <c r="G588" s="1">
        <v>1005</v>
      </c>
      <c r="H588" s="1">
        <v>0</v>
      </c>
      <c r="I588" s="1">
        <v>0</v>
      </c>
      <c r="J588" s="1">
        <f t="shared" si="25"/>
        <v>1005</v>
      </c>
      <c r="K588" s="1">
        <v>0</v>
      </c>
      <c r="L588" s="1">
        <v>0</v>
      </c>
      <c r="M588" s="1">
        <v>0</v>
      </c>
      <c r="N588" s="1">
        <f t="shared" si="27"/>
        <v>0</v>
      </c>
      <c r="O588" s="9">
        <f t="shared" si="26"/>
        <v>0</v>
      </c>
      <c r="P588" s="1">
        <v>0</v>
      </c>
      <c r="Q588" s="1">
        <v>0</v>
      </c>
      <c r="R588" s="12">
        <v>40544</v>
      </c>
      <c r="S588" s="1">
        <v>1005</v>
      </c>
      <c r="T588" s="9" t="s">
        <v>21</v>
      </c>
    </row>
    <row r="589" spans="1:20" x14ac:dyDescent="0.25">
      <c r="A589" s="10" t="s">
        <v>19</v>
      </c>
      <c r="B589" t="b">
        <v>0</v>
      </c>
      <c r="C589" t="b">
        <v>0</v>
      </c>
      <c r="D589" s="1">
        <v>0</v>
      </c>
      <c r="E589" s="1">
        <v>0</v>
      </c>
      <c r="F589" s="1">
        <v>0</v>
      </c>
      <c r="G589" s="1">
        <v>737</v>
      </c>
      <c r="H589" s="1">
        <v>0</v>
      </c>
      <c r="I589" s="1">
        <v>0</v>
      </c>
      <c r="J589" s="1">
        <f t="shared" si="25"/>
        <v>737</v>
      </c>
      <c r="K589" s="1">
        <v>0</v>
      </c>
      <c r="L589" s="1">
        <v>0</v>
      </c>
      <c r="M589" s="1">
        <v>0</v>
      </c>
      <c r="N589" s="1">
        <f t="shared" si="27"/>
        <v>0</v>
      </c>
      <c r="O589" s="9">
        <f t="shared" si="26"/>
        <v>0</v>
      </c>
      <c r="P589" s="1">
        <v>0</v>
      </c>
      <c r="Q589" s="1">
        <v>0</v>
      </c>
      <c r="R589" s="12">
        <v>40575</v>
      </c>
      <c r="S589" s="1">
        <v>737</v>
      </c>
      <c r="T589" s="9" t="s">
        <v>21</v>
      </c>
    </row>
    <row r="590" spans="1:20" x14ac:dyDescent="0.25">
      <c r="A590" s="10" t="s">
        <v>19</v>
      </c>
      <c r="B590" t="b">
        <v>0</v>
      </c>
      <c r="C590" t="b">
        <v>0</v>
      </c>
      <c r="D590" s="1">
        <v>0</v>
      </c>
      <c r="E590" s="1">
        <v>0</v>
      </c>
      <c r="F590" s="1">
        <v>0</v>
      </c>
      <c r="G590" s="1">
        <v>800</v>
      </c>
      <c r="H590" s="1">
        <v>0</v>
      </c>
      <c r="I590" s="1">
        <v>0</v>
      </c>
      <c r="J590" s="1">
        <f t="shared" si="25"/>
        <v>800</v>
      </c>
      <c r="K590" s="1">
        <v>0</v>
      </c>
      <c r="L590" s="1">
        <v>0</v>
      </c>
      <c r="M590" s="1">
        <v>0</v>
      </c>
      <c r="N590" s="1">
        <f t="shared" si="27"/>
        <v>0</v>
      </c>
      <c r="O590" s="9">
        <f t="shared" si="26"/>
        <v>0</v>
      </c>
      <c r="P590" s="1">
        <v>0</v>
      </c>
      <c r="Q590" s="1">
        <v>0</v>
      </c>
      <c r="R590" s="12">
        <v>40603</v>
      </c>
      <c r="S590" s="1">
        <v>800</v>
      </c>
      <c r="T590" s="9" t="s">
        <v>21</v>
      </c>
    </row>
    <row r="591" spans="1:20" x14ac:dyDescent="0.25">
      <c r="A591" s="10" t="s">
        <v>19</v>
      </c>
      <c r="B591" t="b">
        <v>0</v>
      </c>
      <c r="C591" t="b">
        <v>0</v>
      </c>
      <c r="D591" s="1">
        <v>0</v>
      </c>
      <c r="E591" s="1">
        <v>0</v>
      </c>
      <c r="F591" s="1">
        <v>0</v>
      </c>
      <c r="G591" s="1">
        <v>1174</v>
      </c>
      <c r="H591" s="1">
        <v>0</v>
      </c>
      <c r="I591" s="1">
        <v>0</v>
      </c>
      <c r="J591" s="1">
        <f t="shared" si="25"/>
        <v>1174</v>
      </c>
      <c r="K591" s="1">
        <v>0</v>
      </c>
      <c r="L591" s="1">
        <v>0</v>
      </c>
      <c r="M591" s="1">
        <v>0</v>
      </c>
      <c r="N591" s="1">
        <f t="shared" si="27"/>
        <v>0</v>
      </c>
      <c r="O591" s="9">
        <f t="shared" si="26"/>
        <v>0</v>
      </c>
      <c r="P591" s="1">
        <v>0</v>
      </c>
      <c r="Q591" s="1">
        <v>0</v>
      </c>
      <c r="R591" s="12">
        <v>40634</v>
      </c>
      <c r="S591" s="1">
        <v>1174</v>
      </c>
      <c r="T591" s="9" t="s">
        <v>21</v>
      </c>
    </row>
    <row r="592" spans="1:20" x14ac:dyDescent="0.25">
      <c r="A592" s="10" t="s">
        <v>19</v>
      </c>
      <c r="B592" t="b">
        <v>1</v>
      </c>
      <c r="C592" t="b">
        <v>0</v>
      </c>
      <c r="D592" s="1">
        <v>0</v>
      </c>
      <c r="E592" s="1">
        <v>0</v>
      </c>
      <c r="F592" s="1">
        <v>0</v>
      </c>
      <c r="G592" s="1">
        <v>1130</v>
      </c>
      <c r="H592" s="1">
        <v>0</v>
      </c>
      <c r="I592" s="1">
        <v>0</v>
      </c>
      <c r="J592" s="1">
        <f t="shared" si="25"/>
        <v>1130</v>
      </c>
      <c r="K592" s="1">
        <v>0</v>
      </c>
      <c r="L592" s="1">
        <v>0</v>
      </c>
      <c r="M592" s="1">
        <v>0</v>
      </c>
      <c r="N592" s="1">
        <f t="shared" si="27"/>
        <v>0</v>
      </c>
      <c r="O592" s="9">
        <f t="shared" si="26"/>
        <v>0</v>
      </c>
      <c r="P592" s="1">
        <v>0</v>
      </c>
      <c r="Q592" s="1">
        <v>0</v>
      </c>
      <c r="R592" s="12">
        <v>40664</v>
      </c>
      <c r="S592" s="1">
        <v>1130</v>
      </c>
      <c r="T592" s="9" t="s">
        <v>21</v>
      </c>
    </row>
    <row r="593" spans="1:20" x14ac:dyDescent="0.25">
      <c r="A593" s="10" t="s">
        <v>19</v>
      </c>
      <c r="B593" t="b">
        <v>1</v>
      </c>
      <c r="C593" t="b">
        <v>0</v>
      </c>
      <c r="D593" s="1">
        <v>0</v>
      </c>
      <c r="E593" s="1">
        <v>0</v>
      </c>
      <c r="F593" s="1">
        <v>0</v>
      </c>
      <c r="G593" s="1">
        <v>831</v>
      </c>
      <c r="H593" s="1">
        <v>0</v>
      </c>
      <c r="I593" s="1">
        <v>0</v>
      </c>
      <c r="J593" s="1">
        <f t="shared" si="25"/>
        <v>831</v>
      </c>
      <c r="K593" s="1">
        <v>0</v>
      </c>
      <c r="L593" s="1">
        <v>0</v>
      </c>
      <c r="M593" s="1">
        <v>0</v>
      </c>
      <c r="N593" s="1">
        <f t="shared" si="27"/>
        <v>0</v>
      </c>
      <c r="O593" s="9">
        <f t="shared" si="26"/>
        <v>0</v>
      </c>
      <c r="P593" s="1">
        <v>0</v>
      </c>
      <c r="Q593" s="1">
        <v>0</v>
      </c>
      <c r="R593" s="12">
        <v>40695</v>
      </c>
      <c r="S593" s="1">
        <v>831</v>
      </c>
      <c r="T593" s="9" t="s">
        <v>21</v>
      </c>
    </row>
    <row r="594" spans="1:20" x14ac:dyDescent="0.25">
      <c r="A594" s="10" t="s">
        <v>19</v>
      </c>
      <c r="B594" t="b">
        <v>1</v>
      </c>
      <c r="C594" t="b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f t="shared" si="25"/>
        <v>0</v>
      </c>
      <c r="K594" s="1">
        <v>0</v>
      </c>
      <c r="L594" s="1">
        <v>0</v>
      </c>
      <c r="M594" s="1">
        <v>0</v>
      </c>
      <c r="N594" s="1">
        <f t="shared" si="27"/>
        <v>0</v>
      </c>
      <c r="O594" s="9">
        <f t="shared" si="26"/>
        <v>0</v>
      </c>
      <c r="P594" s="1">
        <v>0</v>
      </c>
      <c r="Q594" s="1">
        <v>0</v>
      </c>
      <c r="R594" s="12">
        <v>40725</v>
      </c>
      <c r="S594" s="1">
        <v>0</v>
      </c>
      <c r="T594" s="9" t="s">
        <v>21</v>
      </c>
    </row>
    <row r="595" spans="1:20" x14ac:dyDescent="0.25">
      <c r="A595" s="10" t="s">
        <v>19</v>
      </c>
      <c r="B595" t="b">
        <v>0</v>
      </c>
      <c r="C595" t="b">
        <v>0</v>
      </c>
      <c r="D595" s="1">
        <v>0</v>
      </c>
      <c r="E595" s="1">
        <v>0</v>
      </c>
      <c r="F595" s="1">
        <v>0</v>
      </c>
      <c r="G595" s="1">
        <v>1147</v>
      </c>
      <c r="H595" s="1">
        <v>0</v>
      </c>
      <c r="I595" s="1">
        <v>0</v>
      </c>
      <c r="J595" s="1">
        <f t="shared" si="25"/>
        <v>1147</v>
      </c>
      <c r="K595" s="1">
        <v>0</v>
      </c>
      <c r="L595" s="1">
        <v>0</v>
      </c>
      <c r="M595" s="1">
        <v>0</v>
      </c>
      <c r="N595" s="1">
        <f t="shared" si="27"/>
        <v>0</v>
      </c>
      <c r="O595" s="9">
        <f t="shared" si="26"/>
        <v>0</v>
      </c>
      <c r="P595" s="1">
        <v>0</v>
      </c>
      <c r="Q595" s="1">
        <v>0</v>
      </c>
      <c r="R595" s="12">
        <v>40756</v>
      </c>
      <c r="S595" s="1">
        <v>1147</v>
      </c>
      <c r="T595" s="9" t="s">
        <v>21</v>
      </c>
    </row>
    <row r="596" spans="1:20" x14ac:dyDescent="0.25">
      <c r="A596" s="10" t="s">
        <v>19</v>
      </c>
      <c r="B596" t="b">
        <v>0</v>
      </c>
      <c r="C596" t="b">
        <v>0</v>
      </c>
      <c r="D596" s="1">
        <v>0</v>
      </c>
      <c r="E596" s="1">
        <v>0</v>
      </c>
      <c r="F596" s="1">
        <v>0</v>
      </c>
      <c r="G596" s="1">
        <v>867</v>
      </c>
      <c r="H596" s="1">
        <v>0</v>
      </c>
      <c r="I596" s="1">
        <v>0</v>
      </c>
      <c r="J596" s="1">
        <f t="shared" si="25"/>
        <v>867</v>
      </c>
      <c r="K596" s="1">
        <v>0</v>
      </c>
      <c r="L596" s="1">
        <v>0</v>
      </c>
      <c r="M596" s="1">
        <v>0</v>
      </c>
      <c r="N596" s="1">
        <f t="shared" si="27"/>
        <v>0</v>
      </c>
      <c r="O596" s="9">
        <f t="shared" si="26"/>
        <v>0</v>
      </c>
      <c r="P596" s="1">
        <v>0</v>
      </c>
      <c r="Q596" s="1">
        <v>0</v>
      </c>
      <c r="R596" s="12">
        <v>40787</v>
      </c>
      <c r="S596" s="1">
        <v>867</v>
      </c>
      <c r="T596" s="9" t="s">
        <v>21</v>
      </c>
    </row>
    <row r="597" spans="1:20" x14ac:dyDescent="0.25">
      <c r="A597" s="10" t="s">
        <v>19</v>
      </c>
      <c r="B597" t="b">
        <v>0</v>
      </c>
      <c r="C597" t="b">
        <v>0</v>
      </c>
      <c r="D597" s="1">
        <v>0</v>
      </c>
      <c r="E597" s="1">
        <v>0</v>
      </c>
      <c r="F597" s="1">
        <v>0</v>
      </c>
      <c r="G597" s="1">
        <v>1102</v>
      </c>
      <c r="H597" s="1">
        <v>0</v>
      </c>
      <c r="I597" s="1">
        <v>0</v>
      </c>
      <c r="J597" s="1">
        <f t="shared" si="25"/>
        <v>1102</v>
      </c>
      <c r="K597" s="1">
        <v>0</v>
      </c>
      <c r="L597" s="1">
        <v>0</v>
      </c>
      <c r="M597" s="1">
        <v>0</v>
      </c>
      <c r="N597" s="1">
        <f t="shared" si="27"/>
        <v>0</v>
      </c>
      <c r="O597" s="9">
        <f t="shared" si="26"/>
        <v>0</v>
      </c>
      <c r="P597" s="1">
        <v>0</v>
      </c>
      <c r="Q597" s="1">
        <v>0</v>
      </c>
      <c r="R597" s="12">
        <v>40817</v>
      </c>
      <c r="S597" s="1">
        <v>1102</v>
      </c>
      <c r="T597" s="9" t="s">
        <v>21</v>
      </c>
    </row>
    <row r="598" spans="1:20" x14ac:dyDescent="0.25">
      <c r="A598" s="10" t="s">
        <v>19</v>
      </c>
      <c r="B598" t="b">
        <v>0</v>
      </c>
      <c r="C598" t="b">
        <v>0</v>
      </c>
      <c r="D598" s="1">
        <v>0</v>
      </c>
      <c r="E598" s="1">
        <v>0</v>
      </c>
      <c r="F598" s="1">
        <v>0</v>
      </c>
      <c r="G598" s="1">
        <v>1193</v>
      </c>
      <c r="H598" s="1">
        <v>0</v>
      </c>
      <c r="I598" s="1">
        <v>0</v>
      </c>
      <c r="J598" s="1">
        <f t="shared" si="25"/>
        <v>1193</v>
      </c>
      <c r="K598" s="1">
        <v>0</v>
      </c>
      <c r="L598" s="1">
        <v>0</v>
      </c>
      <c r="M598" s="1">
        <v>0</v>
      </c>
      <c r="N598" s="1">
        <f t="shared" si="27"/>
        <v>0</v>
      </c>
      <c r="O598" s="9">
        <f t="shared" si="26"/>
        <v>0</v>
      </c>
      <c r="P598" s="1">
        <v>0</v>
      </c>
      <c r="Q598" s="1">
        <v>0</v>
      </c>
      <c r="R598" s="12">
        <v>40848</v>
      </c>
      <c r="S598" s="1">
        <v>1193</v>
      </c>
      <c r="T598" s="9" t="s">
        <v>21</v>
      </c>
    </row>
    <row r="599" spans="1:20" x14ac:dyDescent="0.25">
      <c r="A599" s="10" t="s">
        <v>19</v>
      </c>
      <c r="B599" t="b">
        <v>0</v>
      </c>
      <c r="C599" t="b">
        <v>0</v>
      </c>
      <c r="D599" s="1">
        <v>0</v>
      </c>
      <c r="E599" s="1">
        <v>0</v>
      </c>
      <c r="F599" s="1">
        <v>0</v>
      </c>
      <c r="G599" s="1">
        <v>828</v>
      </c>
      <c r="H599" s="1">
        <v>0</v>
      </c>
      <c r="I599" s="1">
        <v>0</v>
      </c>
      <c r="J599" s="1">
        <f t="shared" si="25"/>
        <v>828</v>
      </c>
      <c r="K599" s="1">
        <v>0</v>
      </c>
      <c r="L599" s="1">
        <v>0</v>
      </c>
      <c r="M599" s="1">
        <v>0</v>
      </c>
      <c r="N599" s="1">
        <f t="shared" si="27"/>
        <v>0</v>
      </c>
      <c r="O599" s="9">
        <f t="shared" si="26"/>
        <v>0</v>
      </c>
      <c r="P599" s="1">
        <v>0</v>
      </c>
      <c r="Q599" s="1">
        <v>0</v>
      </c>
      <c r="R599" s="12">
        <v>40878</v>
      </c>
      <c r="S599" s="1">
        <v>828</v>
      </c>
      <c r="T599" s="9" t="s">
        <v>21</v>
      </c>
    </row>
    <row r="600" spans="1:20" x14ac:dyDescent="0.25">
      <c r="A600" s="10" t="s">
        <v>19</v>
      </c>
      <c r="B600" t="b">
        <v>0</v>
      </c>
      <c r="C600" t="b">
        <v>0</v>
      </c>
      <c r="D600" s="1">
        <v>0</v>
      </c>
      <c r="E600" s="1">
        <v>0</v>
      </c>
      <c r="F600" s="1">
        <v>0</v>
      </c>
      <c r="G600" s="1">
        <v>1048</v>
      </c>
      <c r="H600" s="1">
        <v>0</v>
      </c>
      <c r="I600" s="1">
        <v>0</v>
      </c>
      <c r="J600" s="1">
        <f t="shared" si="25"/>
        <v>1048</v>
      </c>
      <c r="K600" s="1">
        <v>0</v>
      </c>
      <c r="L600" s="1">
        <v>0</v>
      </c>
      <c r="M600" s="1">
        <v>0</v>
      </c>
      <c r="N600" s="1">
        <f t="shared" si="27"/>
        <v>0</v>
      </c>
      <c r="O600" s="9">
        <f t="shared" si="26"/>
        <v>0</v>
      </c>
      <c r="P600" s="1">
        <v>0</v>
      </c>
      <c r="Q600" s="1">
        <v>0</v>
      </c>
      <c r="R600" s="12">
        <v>40909</v>
      </c>
      <c r="S600" s="1">
        <v>1048</v>
      </c>
      <c r="T600" s="9" t="s">
        <v>21</v>
      </c>
    </row>
    <row r="601" spans="1:20" x14ac:dyDescent="0.25">
      <c r="A601" s="10" t="s">
        <v>19</v>
      </c>
      <c r="B601" t="b">
        <v>0</v>
      </c>
      <c r="C601" t="b">
        <v>0</v>
      </c>
      <c r="D601" s="1">
        <v>0</v>
      </c>
      <c r="E601" s="1">
        <v>0</v>
      </c>
      <c r="F601" s="1">
        <v>0</v>
      </c>
      <c r="G601" s="1">
        <v>1000</v>
      </c>
      <c r="H601" s="1">
        <v>0</v>
      </c>
      <c r="I601" s="1">
        <v>0</v>
      </c>
      <c r="J601" s="1">
        <f t="shared" si="25"/>
        <v>1000</v>
      </c>
      <c r="K601" s="1">
        <v>0</v>
      </c>
      <c r="L601" s="1">
        <v>0</v>
      </c>
      <c r="M601" s="1">
        <v>0</v>
      </c>
      <c r="N601" s="1">
        <f t="shared" si="27"/>
        <v>0</v>
      </c>
      <c r="O601" s="9">
        <f t="shared" si="26"/>
        <v>0</v>
      </c>
      <c r="P601" s="1">
        <v>0</v>
      </c>
      <c r="Q601" s="1">
        <v>0</v>
      </c>
      <c r="R601" s="12">
        <v>40940</v>
      </c>
      <c r="S601" s="1">
        <v>1000</v>
      </c>
      <c r="T601" s="9" t="s">
        <v>21</v>
      </c>
    </row>
    <row r="602" spans="1:20" x14ac:dyDescent="0.25">
      <c r="A602" s="10" t="s">
        <v>19</v>
      </c>
      <c r="B602" t="b">
        <v>1</v>
      </c>
      <c r="C602" t="b">
        <v>0</v>
      </c>
      <c r="D602" s="1">
        <v>0</v>
      </c>
      <c r="E602" s="1">
        <v>0</v>
      </c>
      <c r="F602" s="1">
        <v>0</v>
      </c>
      <c r="G602" s="1">
        <v>817</v>
      </c>
      <c r="H602" s="1">
        <v>0</v>
      </c>
      <c r="I602" s="1">
        <v>0</v>
      </c>
      <c r="J602" s="1">
        <f t="shared" si="25"/>
        <v>817</v>
      </c>
      <c r="K602" s="1">
        <v>0</v>
      </c>
      <c r="L602" s="1">
        <v>0</v>
      </c>
      <c r="M602" s="1">
        <v>0</v>
      </c>
      <c r="N602" s="1">
        <f t="shared" si="27"/>
        <v>0</v>
      </c>
      <c r="O602" s="9">
        <f t="shared" si="26"/>
        <v>0</v>
      </c>
      <c r="P602" s="1">
        <v>0</v>
      </c>
      <c r="Q602" s="1">
        <v>0</v>
      </c>
      <c r="R602" s="12">
        <v>40969</v>
      </c>
      <c r="S602" s="1">
        <v>817</v>
      </c>
      <c r="T602" s="9" t="s">
        <v>21</v>
      </c>
    </row>
    <row r="603" spans="1:20" x14ac:dyDescent="0.25">
      <c r="A603" s="10" t="s">
        <v>19</v>
      </c>
      <c r="B603" t="b">
        <v>0</v>
      </c>
      <c r="C603" t="b">
        <v>0</v>
      </c>
      <c r="D603" s="1">
        <v>0</v>
      </c>
      <c r="E603" s="1">
        <v>0</v>
      </c>
      <c r="F603" s="1">
        <v>0</v>
      </c>
      <c r="G603" s="1">
        <v>1060</v>
      </c>
      <c r="H603" s="1">
        <v>0</v>
      </c>
      <c r="I603" s="1">
        <v>0</v>
      </c>
      <c r="J603" s="1">
        <f t="shared" ref="J603:J666" si="28">D603+E603+F603+G603+H603+I603</f>
        <v>1060</v>
      </c>
      <c r="K603" s="1">
        <v>0</v>
      </c>
      <c r="L603" s="1">
        <v>0</v>
      </c>
      <c r="M603" s="1">
        <v>0</v>
      </c>
      <c r="N603" s="1">
        <f t="shared" si="27"/>
        <v>0</v>
      </c>
      <c r="O603" s="9">
        <f t="shared" ref="O603:O666" si="29">K603</f>
        <v>0</v>
      </c>
      <c r="P603" s="1">
        <v>0</v>
      </c>
      <c r="Q603" s="1">
        <v>0</v>
      </c>
      <c r="R603" s="12">
        <v>41000</v>
      </c>
      <c r="S603" s="1">
        <v>1060</v>
      </c>
      <c r="T603" s="9" t="s">
        <v>21</v>
      </c>
    </row>
    <row r="604" spans="1:20" x14ac:dyDescent="0.25">
      <c r="A604" s="10" t="s">
        <v>19</v>
      </c>
      <c r="B604" t="b">
        <v>1</v>
      </c>
      <c r="C604" t="b">
        <v>0</v>
      </c>
      <c r="D604" s="1">
        <v>0</v>
      </c>
      <c r="E604" s="1">
        <v>0</v>
      </c>
      <c r="F604" s="1">
        <v>0</v>
      </c>
      <c r="G604" s="1">
        <v>942</v>
      </c>
      <c r="H604" s="1">
        <v>0</v>
      </c>
      <c r="I604" s="1">
        <v>0</v>
      </c>
      <c r="J604" s="1">
        <f t="shared" si="28"/>
        <v>942</v>
      </c>
      <c r="K604" s="1">
        <v>0</v>
      </c>
      <c r="L604" s="1">
        <v>0</v>
      </c>
      <c r="M604" s="1">
        <v>0</v>
      </c>
      <c r="N604" s="1">
        <f t="shared" si="27"/>
        <v>0</v>
      </c>
      <c r="O604" s="9">
        <f t="shared" si="29"/>
        <v>0</v>
      </c>
      <c r="P604" s="1">
        <v>0</v>
      </c>
      <c r="Q604" s="1">
        <v>0</v>
      </c>
      <c r="R604" s="12">
        <v>41030</v>
      </c>
      <c r="S604" s="1">
        <v>942</v>
      </c>
      <c r="T604" s="9" t="s">
        <v>21</v>
      </c>
    </row>
    <row r="605" spans="1:20" x14ac:dyDescent="0.25">
      <c r="A605" s="10" t="s">
        <v>19</v>
      </c>
      <c r="B605" t="b">
        <v>1</v>
      </c>
      <c r="C605" t="b">
        <v>0</v>
      </c>
      <c r="D605" s="1">
        <v>0</v>
      </c>
      <c r="E605" s="1">
        <v>0</v>
      </c>
      <c r="F605" s="1">
        <v>0</v>
      </c>
      <c r="G605" s="1">
        <v>1164</v>
      </c>
      <c r="H605" s="1">
        <v>0</v>
      </c>
      <c r="I605" s="1">
        <v>0</v>
      </c>
      <c r="J605" s="1">
        <f t="shared" si="28"/>
        <v>1164</v>
      </c>
      <c r="K605" s="1">
        <v>0</v>
      </c>
      <c r="L605" s="1">
        <v>0</v>
      </c>
      <c r="M605" s="1">
        <v>0</v>
      </c>
      <c r="N605" s="1">
        <f t="shared" si="27"/>
        <v>0</v>
      </c>
      <c r="O605" s="9">
        <f t="shared" si="29"/>
        <v>0</v>
      </c>
      <c r="P605" s="1">
        <v>0</v>
      </c>
      <c r="Q605" s="1">
        <v>0</v>
      </c>
      <c r="R605" s="12">
        <v>41061</v>
      </c>
      <c r="S605" s="1">
        <v>1164</v>
      </c>
      <c r="T605" s="9" t="s">
        <v>21</v>
      </c>
    </row>
    <row r="606" spans="1:20" x14ac:dyDescent="0.25">
      <c r="A606" s="10" t="s">
        <v>19</v>
      </c>
      <c r="B606" t="b">
        <v>0</v>
      </c>
      <c r="C606" t="b">
        <v>0</v>
      </c>
      <c r="D606" s="1">
        <v>0</v>
      </c>
      <c r="E606" s="1">
        <v>0</v>
      </c>
      <c r="F606" s="1">
        <v>0</v>
      </c>
      <c r="G606" s="1">
        <v>1552</v>
      </c>
      <c r="H606" s="1">
        <v>0</v>
      </c>
      <c r="I606" s="1">
        <v>0</v>
      </c>
      <c r="J606" s="1">
        <f t="shared" si="28"/>
        <v>1552</v>
      </c>
      <c r="K606" s="1">
        <v>0</v>
      </c>
      <c r="L606" s="1">
        <v>0</v>
      </c>
      <c r="M606" s="1">
        <v>0</v>
      </c>
      <c r="N606" s="1">
        <f t="shared" si="27"/>
        <v>0</v>
      </c>
      <c r="O606" s="9">
        <f t="shared" si="29"/>
        <v>0</v>
      </c>
      <c r="P606" s="1">
        <v>0</v>
      </c>
      <c r="Q606" s="1">
        <v>0</v>
      </c>
      <c r="R606" s="12">
        <v>41091</v>
      </c>
      <c r="S606" s="1">
        <v>1552</v>
      </c>
      <c r="T606" s="9" t="s">
        <v>21</v>
      </c>
    </row>
    <row r="607" spans="1:20" x14ac:dyDescent="0.25">
      <c r="A607" s="10" t="s">
        <v>19</v>
      </c>
      <c r="B607" t="b">
        <v>0</v>
      </c>
      <c r="C607" t="b">
        <v>0</v>
      </c>
      <c r="D607" s="1">
        <v>0</v>
      </c>
      <c r="E607" s="1">
        <v>0</v>
      </c>
      <c r="F607" s="1">
        <v>0</v>
      </c>
      <c r="G607" s="1">
        <v>1135</v>
      </c>
      <c r="H607" s="1">
        <v>0</v>
      </c>
      <c r="I607" s="1">
        <v>0</v>
      </c>
      <c r="J607" s="1">
        <f t="shared" si="28"/>
        <v>1135</v>
      </c>
      <c r="K607" s="1">
        <v>0</v>
      </c>
      <c r="L607" s="1">
        <v>0</v>
      </c>
      <c r="M607" s="1">
        <v>0</v>
      </c>
      <c r="N607" s="1">
        <f t="shared" si="27"/>
        <v>0</v>
      </c>
      <c r="O607" s="9">
        <f t="shared" si="29"/>
        <v>0</v>
      </c>
      <c r="P607" s="1">
        <v>0</v>
      </c>
      <c r="Q607" s="1">
        <v>0</v>
      </c>
      <c r="R607" s="12">
        <v>41122</v>
      </c>
      <c r="S607" s="1">
        <v>1135</v>
      </c>
      <c r="T607" s="9" t="s">
        <v>21</v>
      </c>
    </row>
    <row r="608" spans="1:20" x14ac:dyDescent="0.25">
      <c r="A608" s="10" t="s">
        <v>19</v>
      </c>
      <c r="B608" t="b">
        <v>0</v>
      </c>
      <c r="C608" t="b">
        <v>0</v>
      </c>
      <c r="D608" s="1">
        <v>0</v>
      </c>
      <c r="E608" s="1">
        <v>0</v>
      </c>
      <c r="F608" s="1">
        <v>0</v>
      </c>
      <c r="G608" s="1">
        <v>1111</v>
      </c>
      <c r="H608" s="1">
        <v>0</v>
      </c>
      <c r="I608" s="1">
        <v>0</v>
      </c>
      <c r="J608" s="1">
        <f t="shared" si="28"/>
        <v>1111</v>
      </c>
      <c r="K608" s="1">
        <v>0</v>
      </c>
      <c r="L608" s="1">
        <v>0</v>
      </c>
      <c r="M608" s="1">
        <v>0</v>
      </c>
      <c r="N608" s="1">
        <f t="shared" si="27"/>
        <v>0</v>
      </c>
      <c r="O608" s="9">
        <f t="shared" si="29"/>
        <v>0</v>
      </c>
      <c r="P608" s="1">
        <v>0</v>
      </c>
      <c r="Q608" s="1">
        <v>0</v>
      </c>
      <c r="R608" s="12">
        <v>41153</v>
      </c>
      <c r="S608" s="1">
        <v>1111</v>
      </c>
      <c r="T608" s="9" t="s">
        <v>21</v>
      </c>
    </row>
    <row r="609" spans="1:20" x14ac:dyDescent="0.25">
      <c r="A609" s="10" t="s">
        <v>19</v>
      </c>
      <c r="B609" t="b">
        <v>0</v>
      </c>
      <c r="C609" t="b">
        <v>0</v>
      </c>
      <c r="D609" s="1">
        <v>0</v>
      </c>
      <c r="E609" s="1">
        <v>0</v>
      </c>
      <c r="F609" s="1">
        <v>0</v>
      </c>
      <c r="G609" s="1">
        <v>1024</v>
      </c>
      <c r="H609" s="1">
        <v>0</v>
      </c>
      <c r="I609" s="1">
        <v>0</v>
      </c>
      <c r="J609" s="1">
        <f t="shared" si="28"/>
        <v>1024</v>
      </c>
      <c r="K609" s="1">
        <v>0</v>
      </c>
      <c r="L609" s="1">
        <v>0</v>
      </c>
      <c r="M609" s="1">
        <v>0</v>
      </c>
      <c r="N609" s="1">
        <f t="shared" si="27"/>
        <v>0</v>
      </c>
      <c r="O609" s="9">
        <f t="shared" si="29"/>
        <v>0</v>
      </c>
      <c r="P609" s="1">
        <v>0</v>
      </c>
      <c r="Q609" s="1">
        <v>0</v>
      </c>
      <c r="R609" s="12">
        <v>41183</v>
      </c>
      <c r="S609" s="1">
        <v>1024</v>
      </c>
      <c r="T609" s="9" t="s">
        <v>21</v>
      </c>
    </row>
    <row r="610" spans="1:20" x14ac:dyDescent="0.25">
      <c r="A610" s="10" t="s">
        <v>19</v>
      </c>
      <c r="B610" t="b">
        <v>0</v>
      </c>
      <c r="C610" t="b">
        <v>0</v>
      </c>
      <c r="D610" s="1">
        <v>0</v>
      </c>
      <c r="E610" s="1">
        <v>0</v>
      </c>
      <c r="F610" s="1">
        <v>0</v>
      </c>
      <c r="G610" s="1">
        <v>911</v>
      </c>
      <c r="H610" s="1">
        <v>0</v>
      </c>
      <c r="I610" s="1">
        <v>0</v>
      </c>
      <c r="J610" s="1">
        <f t="shared" si="28"/>
        <v>911</v>
      </c>
      <c r="K610" s="1">
        <v>0</v>
      </c>
      <c r="L610" s="1">
        <v>0</v>
      </c>
      <c r="M610" s="1">
        <v>0</v>
      </c>
      <c r="N610" s="1">
        <f t="shared" si="27"/>
        <v>0</v>
      </c>
      <c r="O610" s="9">
        <f t="shared" si="29"/>
        <v>0</v>
      </c>
      <c r="P610" s="1">
        <v>0</v>
      </c>
      <c r="Q610" s="1">
        <v>0</v>
      </c>
      <c r="R610" s="12">
        <v>41214</v>
      </c>
      <c r="S610" s="1">
        <v>911</v>
      </c>
      <c r="T610" s="9" t="s">
        <v>21</v>
      </c>
    </row>
    <row r="611" spans="1:20" x14ac:dyDescent="0.25">
      <c r="A611" s="10" t="s">
        <v>19</v>
      </c>
      <c r="B611" t="b">
        <v>0</v>
      </c>
      <c r="C611" t="b">
        <v>0</v>
      </c>
      <c r="D611" s="1">
        <v>0</v>
      </c>
      <c r="E611" s="1">
        <v>0</v>
      </c>
      <c r="F611" s="1">
        <v>0</v>
      </c>
      <c r="G611" s="1">
        <v>470</v>
      </c>
      <c r="H611" s="1">
        <v>0</v>
      </c>
      <c r="I611" s="1">
        <v>0</v>
      </c>
      <c r="J611" s="1">
        <f t="shared" si="28"/>
        <v>470</v>
      </c>
      <c r="K611" s="1">
        <v>0</v>
      </c>
      <c r="L611" s="1">
        <v>0</v>
      </c>
      <c r="M611" s="1">
        <v>0</v>
      </c>
      <c r="N611" s="1">
        <f t="shared" si="27"/>
        <v>0</v>
      </c>
      <c r="O611" s="9">
        <f t="shared" si="29"/>
        <v>0</v>
      </c>
      <c r="P611" s="1">
        <v>0</v>
      </c>
      <c r="Q611" s="1">
        <v>0</v>
      </c>
      <c r="R611" s="12">
        <v>41244</v>
      </c>
      <c r="S611" s="1">
        <v>470</v>
      </c>
      <c r="T611" s="9" t="s">
        <v>21</v>
      </c>
    </row>
    <row r="612" spans="1:20" x14ac:dyDescent="0.25">
      <c r="A612" s="10" t="s">
        <v>19</v>
      </c>
      <c r="B612" t="b">
        <v>0</v>
      </c>
      <c r="C612" t="b">
        <v>0</v>
      </c>
      <c r="D612" s="1">
        <v>0</v>
      </c>
      <c r="E612" s="1">
        <v>0</v>
      </c>
      <c r="F612" s="1">
        <v>0</v>
      </c>
      <c r="G612" s="1">
        <v>389</v>
      </c>
      <c r="H612" s="1">
        <v>0</v>
      </c>
      <c r="I612" s="1">
        <v>0</v>
      </c>
      <c r="J612" s="1">
        <f t="shared" si="28"/>
        <v>389</v>
      </c>
      <c r="K612" s="1">
        <v>0</v>
      </c>
      <c r="L612" s="1">
        <v>0</v>
      </c>
      <c r="M612" s="1">
        <v>0</v>
      </c>
      <c r="N612" s="1">
        <f t="shared" si="27"/>
        <v>0</v>
      </c>
      <c r="O612" s="9">
        <f t="shared" si="29"/>
        <v>0</v>
      </c>
      <c r="P612" s="1">
        <v>0</v>
      </c>
      <c r="Q612" s="1">
        <v>0</v>
      </c>
      <c r="R612" s="12">
        <v>41275</v>
      </c>
      <c r="S612" s="1">
        <v>389</v>
      </c>
      <c r="T612" s="9" t="s">
        <v>40</v>
      </c>
    </row>
    <row r="613" spans="1:20" x14ac:dyDescent="0.25">
      <c r="A613" s="10" t="s">
        <v>19</v>
      </c>
      <c r="B613" t="b">
        <v>0</v>
      </c>
      <c r="C613" t="b">
        <v>0</v>
      </c>
      <c r="D613" s="1">
        <v>0</v>
      </c>
      <c r="E613" s="1">
        <v>0</v>
      </c>
      <c r="F613" s="1">
        <v>0</v>
      </c>
      <c r="G613" s="1">
        <v>377</v>
      </c>
      <c r="H613" s="1">
        <v>0</v>
      </c>
      <c r="I613" s="1">
        <v>0</v>
      </c>
      <c r="J613" s="1">
        <f t="shared" si="28"/>
        <v>377</v>
      </c>
      <c r="K613" s="1">
        <v>0</v>
      </c>
      <c r="L613" s="1">
        <v>0</v>
      </c>
      <c r="M613" s="1">
        <v>0</v>
      </c>
      <c r="N613" s="1">
        <f t="shared" si="27"/>
        <v>0</v>
      </c>
      <c r="O613" s="9">
        <f t="shared" si="29"/>
        <v>0</v>
      </c>
      <c r="P613" s="1">
        <v>0</v>
      </c>
      <c r="Q613" s="1">
        <v>0</v>
      </c>
      <c r="R613" s="12">
        <v>41306</v>
      </c>
      <c r="S613" s="1">
        <v>377</v>
      </c>
      <c r="T613" s="9" t="s">
        <v>40</v>
      </c>
    </row>
    <row r="614" spans="1:20" x14ac:dyDescent="0.25">
      <c r="A614" s="10" t="s">
        <v>19</v>
      </c>
      <c r="B614" t="b">
        <v>0</v>
      </c>
      <c r="C614" t="b">
        <v>0</v>
      </c>
      <c r="D614" s="1">
        <v>0</v>
      </c>
      <c r="E614" s="1">
        <v>0</v>
      </c>
      <c r="F614" s="1">
        <v>0</v>
      </c>
      <c r="G614" s="1">
        <v>538</v>
      </c>
      <c r="H614" s="1">
        <v>0</v>
      </c>
      <c r="I614" s="1">
        <v>0</v>
      </c>
      <c r="J614" s="1">
        <f t="shared" si="28"/>
        <v>538</v>
      </c>
      <c r="K614" s="1">
        <v>0</v>
      </c>
      <c r="L614" s="1">
        <v>0</v>
      </c>
      <c r="M614" s="1">
        <v>0</v>
      </c>
      <c r="N614" s="1">
        <f t="shared" si="27"/>
        <v>0</v>
      </c>
      <c r="O614" s="9">
        <f t="shared" si="29"/>
        <v>0</v>
      </c>
      <c r="P614" s="1">
        <v>0</v>
      </c>
      <c r="Q614" s="1">
        <v>0</v>
      </c>
      <c r="R614" s="12">
        <v>41334</v>
      </c>
      <c r="S614" s="1">
        <v>538</v>
      </c>
      <c r="T614" s="9" t="s">
        <v>40</v>
      </c>
    </row>
    <row r="615" spans="1:20" x14ac:dyDescent="0.25">
      <c r="A615" s="10" t="s">
        <v>19</v>
      </c>
      <c r="B615" t="b">
        <v>0</v>
      </c>
      <c r="C615" t="b">
        <v>0</v>
      </c>
      <c r="D615" s="1">
        <v>0</v>
      </c>
      <c r="E615" s="1">
        <v>0</v>
      </c>
      <c r="F615" s="1">
        <v>0</v>
      </c>
      <c r="G615" s="1">
        <v>402</v>
      </c>
      <c r="H615" s="1">
        <v>0</v>
      </c>
      <c r="I615" s="1">
        <v>0</v>
      </c>
      <c r="J615" s="1">
        <f t="shared" si="28"/>
        <v>402</v>
      </c>
      <c r="K615" s="1">
        <v>0</v>
      </c>
      <c r="L615" s="1">
        <v>0</v>
      </c>
      <c r="M615" s="1">
        <v>0</v>
      </c>
      <c r="N615" s="1">
        <f t="shared" si="27"/>
        <v>0</v>
      </c>
      <c r="O615" s="9">
        <f t="shared" si="29"/>
        <v>0</v>
      </c>
      <c r="P615" s="1">
        <v>0</v>
      </c>
      <c r="Q615" s="1">
        <v>0</v>
      </c>
      <c r="R615" s="12">
        <v>41365</v>
      </c>
      <c r="S615" s="1">
        <v>402</v>
      </c>
      <c r="T615" s="9" t="s">
        <v>40</v>
      </c>
    </row>
    <row r="616" spans="1:20" x14ac:dyDescent="0.25">
      <c r="A616" s="10" t="s">
        <v>19</v>
      </c>
      <c r="B616" t="b">
        <v>0</v>
      </c>
      <c r="C616" t="b">
        <v>0</v>
      </c>
      <c r="D616" s="1">
        <v>0</v>
      </c>
      <c r="E616" s="1">
        <v>0</v>
      </c>
      <c r="F616" s="1">
        <v>0</v>
      </c>
      <c r="G616" s="1">
        <v>501</v>
      </c>
      <c r="H616" s="1">
        <v>0</v>
      </c>
      <c r="I616" s="1">
        <v>0</v>
      </c>
      <c r="J616" s="1">
        <f t="shared" si="28"/>
        <v>501</v>
      </c>
      <c r="K616" s="1">
        <v>0</v>
      </c>
      <c r="L616" s="1">
        <v>0</v>
      </c>
      <c r="M616" s="1">
        <v>0</v>
      </c>
      <c r="N616" s="1">
        <f t="shared" si="27"/>
        <v>0</v>
      </c>
      <c r="O616" s="9">
        <f t="shared" si="29"/>
        <v>0</v>
      </c>
      <c r="P616" s="1">
        <v>0</v>
      </c>
      <c r="Q616" s="1">
        <v>0</v>
      </c>
      <c r="R616" s="12">
        <v>41395</v>
      </c>
      <c r="S616" s="1">
        <v>501</v>
      </c>
      <c r="T616" s="9" t="s">
        <v>40</v>
      </c>
    </row>
    <row r="617" spans="1:20" x14ac:dyDescent="0.25">
      <c r="A617" s="10" t="s">
        <v>19</v>
      </c>
      <c r="B617" t="b">
        <v>0</v>
      </c>
      <c r="C617" t="b">
        <v>0</v>
      </c>
      <c r="D617" s="1">
        <v>0</v>
      </c>
      <c r="E617" s="1">
        <v>0</v>
      </c>
      <c r="F617" s="1">
        <v>0</v>
      </c>
      <c r="G617" s="1">
        <v>555</v>
      </c>
      <c r="H617" s="1">
        <v>0</v>
      </c>
      <c r="I617" s="1">
        <v>0</v>
      </c>
      <c r="J617" s="1">
        <f t="shared" si="28"/>
        <v>555</v>
      </c>
      <c r="K617" s="1">
        <v>0</v>
      </c>
      <c r="L617" s="1">
        <v>0</v>
      </c>
      <c r="M617" s="1">
        <v>0</v>
      </c>
      <c r="N617" s="1">
        <f t="shared" si="27"/>
        <v>0</v>
      </c>
      <c r="O617" s="9">
        <f t="shared" si="29"/>
        <v>0</v>
      </c>
      <c r="P617" s="1">
        <v>0</v>
      </c>
      <c r="Q617" s="1">
        <v>0</v>
      </c>
      <c r="R617" s="12">
        <v>41426</v>
      </c>
      <c r="S617" s="1">
        <v>555</v>
      </c>
      <c r="T617" s="9" t="s">
        <v>40</v>
      </c>
    </row>
    <row r="618" spans="1:20" x14ac:dyDescent="0.25">
      <c r="A618" s="10" t="s">
        <v>19</v>
      </c>
      <c r="B618" t="b">
        <v>0</v>
      </c>
      <c r="C618" t="b">
        <v>0</v>
      </c>
      <c r="D618" s="1">
        <v>0</v>
      </c>
      <c r="E618" s="1">
        <v>0</v>
      </c>
      <c r="F618" s="1">
        <v>0</v>
      </c>
      <c r="G618" s="1">
        <v>424</v>
      </c>
      <c r="H618" s="1">
        <v>0</v>
      </c>
      <c r="I618" s="1">
        <v>0</v>
      </c>
      <c r="J618" s="1">
        <f t="shared" si="28"/>
        <v>424</v>
      </c>
      <c r="K618" s="1">
        <v>0</v>
      </c>
      <c r="L618" s="1">
        <v>0</v>
      </c>
      <c r="M618" s="1">
        <v>0</v>
      </c>
      <c r="N618" s="1">
        <f t="shared" si="27"/>
        <v>0</v>
      </c>
      <c r="O618" s="9">
        <f t="shared" si="29"/>
        <v>0</v>
      </c>
      <c r="P618" s="1">
        <v>0</v>
      </c>
      <c r="Q618" s="1">
        <v>0</v>
      </c>
      <c r="R618" s="12">
        <v>41456</v>
      </c>
      <c r="S618" s="1">
        <v>424</v>
      </c>
      <c r="T618" s="9" t="s">
        <v>40</v>
      </c>
    </row>
    <row r="619" spans="1:20" x14ac:dyDescent="0.25">
      <c r="A619" s="10" t="s">
        <v>19</v>
      </c>
      <c r="B619" t="b">
        <v>0</v>
      </c>
      <c r="C619" t="b">
        <v>0</v>
      </c>
      <c r="D619" s="1">
        <v>0</v>
      </c>
      <c r="E619" s="1">
        <v>0</v>
      </c>
      <c r="F619" s="1">
        <v>0</v>
      </c>
      <c r="G619" s="1">
        <v>0</v>
      </c>
      <c r="H619" s="1">
        <v>581</v>
      </c>
      <c r="I619" s="1">
        <v>0</v>
      </c>
      <c r="J619" s="1">
        <f t="shared" si="28"/>
        <v>581</v>
      </c>
      <c r="K619" s="1">
        <v>0</v>
      </c>
      <c r="L619" s="1">
        <v>0</v>
      </c>
      <c r="M619" s="1">
        <v>0</v>
      </c>
      <c r="N619" s="1">
        <f t="shared" si="27"/>
        <v>0</v>
      </c>
      <c r="O619" s="9">
        <f t="shared" si="29"/>
        <v>0</v>
      </c>
      <c r="P619" s="1">
        <v>0</v>
      </c>
      <c r="Q619" s="1">
        <v>0</v>
      </c>
      <c r="R619" s="12">
        <v>41487</v>
      </c>
      <c r="S619" s="1">
        <v>581</v>
      </c>
      <c r="T619" s="9" t="s">
        <v>40</v>
      </c>
    </row>
    <row r="620" spans="1:20" x14ac:dyDescent="0.25">
      <c r="A620" s="10" t="s">
        <v>19</v>
      </c>
      <c r="B620" t="b">
        <v>0</v>
      </c>
      <c r="C620" t="b">
        <v>0</v>
      </c>
      <c r="D620" s="1">
        <v>0</v>
      </c>
      <c r="E620" s="1">
        <v>0</v>
      </c>
      <c r="F620" s="1">
        <v>0</v>
      </c>
      <c r="G620" s="1">
        <v>532</v>
      </c>
      <c r="H620" s="1">
        <v>0</v>
      </c>
      <c r="I620" s="1">
        <v>0</v>
      </c>
      <c r="J620" s="1">
        <f t="shared" si="28"/>
        <v>532</v>
      </c>
      <c r="K620" s="1">
        <v>0</v>
      </c>
      <c r="L620" s="1">
        <v>0</v>
      </c>
      <c r="M620" s="1">
        <v>0</v>
      </c>
      <c r="N620" s="1">
        <f t="shared" si="27"/>
        <v>0</v>
      </c>
      <c r="O620" s="9">
        <f t="shared" si="29"/>
        <v>0</v>
      </c>
      <c r="P620" s="1">
        <v>0</v>
      </c>
      <c r="Q620" s="1">
        <v>0</v>
      </c>
      <c r="R620" s="12">
        <v>41518</v>
      </c>
      <c r="S620" s="1">
        <v>532</v>
      </c>
      <c r="T620" s="9" t="s">
        <v>40</v>
      </c>
    </row>
    <row r="621" spans="1:20" x14ac:dyDescent="0.25">
      <c r="A621" s="10" t="s">
        <v>19</v>
      </c>
      <c r="B621" t="b">
        <v>0</v>
      </c>
      <c r="C621" t="b">
        <v>0</v>
      </c>
      <c r="D621" s="1">
        <v>0</v>
      </c>
      <c r="E621" s="1">
        <v>0</v>
      </c>
      <c r="F621" s="1">
        <v>0</v>
      </c>
      <c r="G621" s="1">
        <v>557</v>
      </c>
      <c r="H621" s="1">
        <v>0</v>
      </c>
      <c r="I621" s="1">
        <v>0</v>
      </c>
      <c r="J621" s="1">
        <f t="shared" si="28"/>
        <v>557</v>
      </c>
      <c r="K621" s="1">
        <v>0</v>
      </c>
      <c r="L621" s="1">
        <v>0</v>
      </c>
      <c r="M621" s="1">
        <v>0</v>
      </c>
      <c r="N621" s="1">
        <f t="shared" si="27"/>
        <v>0</v>
      </c>
      <c r="O621" s="9">
        <f t="shared" si="29"/>
        <v>0</v>
      </c>
      <c r="P621" s="1">
        <v>0</v>
      </c>
      <c r="Q621" s="1">
        <v>0</v>
      </c>
      <c r="R621" s="12">
        <v>41548</v>
      </c>
      <c r="S621" s="1">
        <v>557</v>
      </c>
      <c r="T621" s="9" t="s">
        <v>40</v>
      </c>
    </row>
    <row r="622" spans="1:20" x14ac:dyDescent="0.25">
      <c r="A622" s="10" t="s">
        <v>19</v>
      </c>
      <c r="B622" t="b">
        <v>0</v>
      </c>
      <c r="C622" t="b">
        <v>0</v>
      </c>
      <c r="D622" s="1">
        <v>0</v>
      </c>
      <c r="E622" s="1">
        <v>0</v>
      </c>
      <c r="F622" s="1">
        <v>0</v>
      </c>
      <c r="G622" s="1">
        <v>464</v>
      </c>
      <c r="H622" s="1">
        <v>0</v>
      </c>
      <c r="I622" s="1">
        <v>0</v>
      </c>
      <c r="J622" s="1">
        <f t="shared" si="28"/>
        <v>464</v>
      </c>
      <c r="K622" s="1">
        <v>0</v>
      </c>
      <c r="L622" s="1">
        <v>0</v>
      </c>
      <c r="M622" s="1">
        <v>0</v>
      </c>
      <c r="N622" s="1">
        <f t="shared" si="27"/>
        <v>0</v>
      </c>
      <c r="O622" s="9">
        <f t="shared" si="29"/>
        <v>0</v>
      </c>
      <c r="P622" s="1">
        <v>0</v>
      </c>
      <c r="Q622" s="1">
        <v>0</v>
      </c>
      <c r="R622" s="12">
        <v>41579</v>
      </c>
      <c r="S622" s="1">
        <v>464</v>
      </c>
      <c r="T622" s="9" t="s">
        <v>40</v>
      </c>
    </row>
    <row r="623" spans="1:20" x14ac:dyDescent="0.25">
      <c r="A623" s="10" t="s">
        <v>19</v>
      </c>
      <c r="B623" t="b">
        <v>0</v>
      </c>
      <c r="C623" t="b">
        <v>0</v>
      </c>
      <c r="D623" s="1">
        <v>0</v>
      </c>
      <c r="E623" s="1">
        <v>0</v>
      </c>
      <c r="F623" s="1">
        <v>0</v>
      </c>
      <c r="G623" s="1">
        <v>0</v>
      </c>
      <c r="H623" s="1">
        <v>287</v>
      </c>
      <c r="I623" s="1">
        <v>0</v>
      </c>
      <c r="J623" s="1">
        <f t="shared" si="28"/>
        <v>287</v>
      </c>
      <c r="K623" s="1">
        <v>0</v>
      </c>
      <c r="L623" s="1">
        <v>0</v>
      </c>
      <c r="M623" s="1">
        <v>0</v>
      </c>
      <c r="N623" s="1">
        <f t="shared" si="27"/>
        <v>0</v>
      </c>
      <c r="O623" s="9">
        <f t="shared" si="29"/>
        <v>0</v>
      </c>
      <c r="P623" s="1">
        <v>0</v>
      </c>
      <c r="Q623" s="1">
        <v>0</v>
      </c>
      <c r="R623" s="12">
        <v>41609</v>
      </c>
      <c r="S623" s="1">
        <v>287</v>
      </c>
      <c r="T623" s="9" t="s">
        <v>40</v>
      </c>
    </row>
    <row r="624" spans="1:20" x14ac:dyDescent="0.25">
      <c r="A624" s="10" t="s">
        <v>19</v>
      </c>
      <c r="B624" t="b">
        <v>0</v>
      </c>
      <c r="C624" t="b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f t="shared" si="28"/>
        <v>0</v>
      </c>
      <c r="K624" s="1">
        <v>0</v>
      </c>
      <c r="L624" s="1">
        <v>0</v>
      </c>
      <c r="M624" s="1">
        <v>0</v>
      </c>
      <c r="N624" s="1">
        <f t="shared" si="27"/>
        <v>0</v>
      </c>
      <c r="O624" s="9">
        <f t="shared" si="29"/>
        <v>0</v>
      </c>
      <c r="P624" s="1">
        <v>0</v>
      </c>
      <c r="Q624" s="1">
        <v>0</v>
      </c>
      <c r="R624" s="12">
        <v>41640</v>
      </c>
      <c r="S624" s="1">
        <v>0</v>
      </c>
      <c r="T624" s="9" t="s">
        <v>39</v>
      </c>
    </row>
    <row r="625" spans="1:20" x14ac:dyDescent="0.25">
      <c r="A625" s="10" t="s">
        <v>19</v>
      </c>
      <c r="B625" t="b">
        <v>0</v>
      </c>
      <c r="C625" t="b">
        <v>0</v>
      </c>
      <c r="D625" s="1">
        <v>0</v>
      </c>
      <c r="E625" s="1">
        <v>0</v>
      </c>
      <c r="F625" s="1">
        <v>0</v>
      </c>
      <c r="G625" s="1">
        <v>0</v>
      </c>
      <c r="H625" s="1">
        <v>325</v>
      </c>
      <c r="I625" s="1">
        <v>0</v>
      </c>
      <c r="J625" s="1">
        <f t="shared" si="28"/>
        <v>325</v>
      </c>
      <c r="K625" s="1">
        <v>0</v>
      </c>
      <c r="L625" s="1">
        <v>0</v>
      </c>
      <c r="M625" s="1">
        <v>0</v>
      </c>
      <c r="N625" s="1">
        <f t="shared" si="27"/>
        <v>0</v>
      </c>
      <c r="O625" s="9">
        <f t="shared" si="29"/>
        <v>0</v>
      </c>
      <c r="P625" s="1">
        <v>0</v>
      </c>
      <c r="Q625" s="1">
        <v>0</v>
      </c>
      <c r="R625" s="12">
        <v>41671</v>
      </c>
      <c r="S625" s="1">
        <v>325</v>
      </c>
      <c r="T625" s="9" t="s">
        <v>39</v>
      </c>
    </row>
    <row r="626" spans="1:20" x14ac:dyDescent="0.25">
      <c r="A626" s="10" t="s">
        <v>19</v>
      </c>
      <c r="B626" t="b">
        <v>0</v>
      </c>
      <c r="C626" t="b">
        <v>0</v>
      </c>
      <c r="D626" s="1">
        <v>0</v>
      </c>
      <c r="E626" s="1">
        <v>0</v>
      </c>
      <c r="F626" s="1">
        <v>0</v>
      </c>
      <c r="G626" s="1">
        <v>431</v>
      </c>
      <c r="H626" s="1">
        <v>0</v>
      </c>
      <c r="I626" s="1">
        <v>0</v>
      </c>
      <c r="J626" s="1">
        <f t="shared" si="28"/>
        <v>431</v>
      </c>
      <c r="K626" s="1">
        <v>0</v>
      </c>
      <c r="L626" s="1">
        <v>0</v>
      </c>
      <c r="M626" s="1">
        <v>0</v>
      </c>
      <c r="N626" s="1">
        <f t="shared" si="27"/>
        <v>0</v>
      </c>
      <c r="O626" s="9">
        <f t="shared" si="29"/>
        <v>0</v>
      </c>
      <c r="P626" s="1">
        <v>0</v>
      </c>
      <c r="Q626" s="1">
        <v>0</v>
      </c>
      <c r="R626" s="12">
        <v>41699</v>
      </c>
      <c r="S626" s="1">
        <v>431</v>
      </c>
      <c r="T626" s="9" t="s">
        <v>39</v>
      </c>
    </row>
    <row r="627" spans="1:20" x14ac:dyDescent="0.25">
      <c r="A627" s="10" t="s">
        <v>19</v>
      </c>
      <c r="B627" t="b">
        <v>0</v>
      </c>
      <c r="C627" t="b">
        <v>0</v>
      </c>
      <c r="D627" s="1">
        <v>0</v>
      </c>
      <c r="E627" s="1">
        <v>0</v>
      </c>
      <c r="F627" s="1">
        <v>0</v>
      </c>
      <c r="G627" s="1">
        <v>473</v>
      </c>
      <c r="H627" s="1">
        <v>0</v>
      </c>
      <c r="I627" s="1">
        <v>0</v>
      </c>
      <c r="J627" s="1">
        <f t="shared" si="28"/>
        <v>473</v>
      </c>
      <c r="K627" s="1">
        <v>0</v>
      </c>
      <c r="L627" s="1">
        <v>0</v>
      </c>
      <c r="M627" s="1">
        <v>0</v>
      </c>
      <c r="N627" s="1">
        <f t="shared" si="27"/>
        <v>0</v>
      </c>
      <c r="O627" s="9">
        <f t="shared" si="29"/>
        <v>0</v>
      </c>
      <c r="P627" s="1">
        <v>0</v>
      </c>
      <c r="Q627" s="1">
        <v>0</v>
      </c>
      <c r="R627" s="12">
        <v>41730</v>
      </c>
      <c r="S627" s="1">
        <v>473</v>
      </c>
      <c r="T627" s="9" t="s">
        <v>39</v>
      </c>
    </row>
    <row r="628" spans="1:20" x14ac:dyDescent="0.25">
      <c r="A628" s="10" t="s">
        <v>19</v>
      </c>
      <c r="B628" t="b">
        <v>0</v>
      </c>
      <c r="C628" t="b">
        <v>0</v>
      </c>
      <c r="D628" s="1">
        <v>0</v>
      </c>
      <c r="E628" s="1">
        <v>0</v>
      </c>
      <c r="F628" s="1">
        <v>0</v>
      </c>
      <c r="G628" s="1">
        <v>0</v>
      </c>
      <c r="H628" s="1">
        <v>599</v>
      </c>
      <c r="I628" s="1">
        <v>0</v>
      </c>
      <c r="J628" s="1">
        <f t="shared" si="28"/>
        <v>599</v>
      </c>
      <c r="K628" s="1">
        <v>0</v>
      </c>
      <c r="L628" s="1">
        <v>0</v>
      </c>
      <c r="M628" s="1">
        <v>0</v>
      </c>
      <c r="N628" s="1">
        <f t="shared" si="27"/>
        <v>0</v>
      </c>
      <c r="O628" s="9">
        <f t="shared" si="29"/>
        <v>0</v>
      </c>
      <c r="P628" s="1">
        <v>0</v>
      </c>
      <c r="Q628" s="1">
        <v>0</v>
      </c>
      <c r="R628" s="12">
        <v>41760</v>
      </c>
      <c r="S628" s="1">
        <v>599</v>
      </c>
      <c r="T628" s="9" t="s">
        <v>39</v>
      </c>
    </row>
    <row r="629" spans="1:20" x14ac:dyDescent="0.25">
      <c r="A629" s="10" t="s">
        <v>19</v>
      </c>
      <c r="B629" t="b">
        <v>0</v>
      </c>
      <c r="C629" t="b">
        <v>0</v>
      </c>
      <c r="D629" s="1">
        <v>0</v>
      </c>
      <c r="E629" s="1">
        <v>0</v>
      </c>
      <c r="F629" s="1">
        <v>0</v>
      </c>
      <c r="G629" s="1">
        <v>0</v>
      </c>
      <c r="H629" s="1">
        <v>439</v>
      </c>
      <c r="I629" s="1">
        <v>0</v>
      </c>
      <c r="J629" s="1">
        <f t="shared" si="28"/>
        <v>439</v>
      </c>
      <c r="K629" s="1">
        <v>0</v>
      </c>
      <c r="L629" s="1">
        <v>0</v>
      </c>
      <c r="M629" s="1">
        <v>0</v>
      </c>
      <c r="N629" s="1">
        <f t="shared" si="27"/>
        <v>0</v>
      </c>
      <c r="O629" s="9">
        <f t="shared" si="29"/>
        <v>0</v>
      </c>
      <c r="P629" s="1">
        <v>0</v>
      </c>
      <c r="Q629" s="1">
        <v>0</v>
      </c>
      <c r="R629" s="12">
        <v>41791</v>
      </c>
      <c r="S629" s="1">
        <v>439</v>
      </c>
      <c r="T629" s="9" t="s">
        <v>39</v>
      </c>
    </row>
    <row r="630" spans="1:20" x14ac:dyDescent="0.25">
      <c r="A630" s="10" t="s">
        <v>19</v>
      </c>
      <c r="B630" t="b">
        <v>0</v>
      </c>
      <c r="C630" t="b">
        <v>0</v>
      </c>
      <c r="D630" s="1">
        <v>0</v>
      </c>
      <c r="E630" s="1">
        <v>0</v>
      </c>
      <c r="F630" s="1">
        <v>0</v>
      </c>
      <c r="G630" s="1">
        <v>0</v>
      </c>
      <c r="H630" s="1">
        <v>530</v>
      </c>
      <c r="I630" s="1">
        <v>0</v>
      </c>
      <c r="J630" s="1">
        <f t="shared" si="28"/>
        <v>530</v>
      </c>
      <c r="K630" s="1">
        <v>0</v>
      </c>
      <c r="L630" s="1">
        <v>0</v>
      </c>
      <c r="M630" s="1">
        <v>0</v>
      </c>
      <c r="N630" s="1">
        <f t="shared" ref="N630:N693" si="30">K630+L630+M630</f>
        <v>0</v>
      </c>
      <c r="O630" s="9">
        <f t="shared" si="29"/>
        <v>0</v>
      </c>
      <c r="P630" s="1">
        <v>0</v>
      </c>
      <c r="Q630" s="1">
        <v>0</v>
      </c>
      <c r="R630" s="12">
        <v>41821</v>
      </c>
      <c r="S630" s="1">
        <v>530</v>
      </c>
      <c r="T630" s="9" t="s">
        <v>39</v>
      </c>
    </row>
    <row r="631" spans="1:20" x14ac:dyDescent="0.25">
      <c r="A631" s="10" t="s">
        <v>19</v>
      </c>
      <c r="B631" t="b">
        <v>0</v>
      </c>
      <c r="C631" t="b">
        <v>0</v>
      </c>
      <c r="D631" s="1">
        <v>0</v>
      </c>
      <c r="E631" s="1">
        <v>0</v>
      </c>
      <c r="F631" s="1">
        <v>0</v>
      </c>
      <c r="G631" s="1">
        <v>0</v>
      </c>
      <c r="H631" s="1">
        <v>582</v>
      </c>
      <c r="I631" s="1">
        <v>0</v>
      </c>
      <c r="J631" s="1">
        <f t="shared" si="28"/>
        <v>582</v>
      </c>
      <c r="K631" s="1">
        <v>0</v>
      </c>
      <c r="L631" s="1">
        <v>0</v>
      </c>
      <c r="M631" s="1">
        <v>0</v>
      </c>
      <c r="N631" s="1">
        <f t="shared" si="30"/>
        <v>0</v>
      </c>
      <c r="O631" s="9">
        <f t="shared" si="29"/>
        <v>0</v>
      </c>
      <c r="P631" s="1">
        <v>0</v>
      </c>
      <c r="Q631" s="1">
        <v>0</v>
      </c>
      <c r="R631" s="12">
        <v>41852</v>
      </c>
      <c r="S631" s="1">
        <v>582</v>
      </c>
      <c r="T631" s="9" t="s">
        <v>39</v>
      </c>
    </row>
    <row r="632" spans="1:20" x14ac:dyDescent="0.25">
      <c r="A632" s="10" t="s">
        <v>19</v>
      </c>
      <c r="B632" t="b">
        <v>0</v>
      </c>
      <c r="C632" t="b">
        <v>0</v>
      </c>
      <c r="D632" s="1">
        <v>0</v>
      </c>
      <c r="E632" s="1">
        <v>0</v>
      </c>
      <c r="F632" s="1">
        <v>0</v>
      </c>
      <c r="G632" s="1">
        <v>450</v>
      </c>
      <c r="H632" s="1">
        <v>0</v>
      </c>
      <c r="I632" s="1">
        <v>0</v>
      </c>
      <c r="J632" s="1">
        <f t="shared" si="28"/>
        <v>450</v>
      </c>
      <c r="K632" s="1">
        <v>0</v>
      </c>
      <c r="L632" s="1">
        <v>0</v>
      </c>
      <c r="M632" s="1">
        <v>0</v>
      </c>
      <c r="N632" s="1">
        <f t="shared" si="30"/>
        <v>0</v>
      </c>
      <c r="O632" s="9">
        <f t="shared" si="29"/>
        <v>0</v>
      </c>
      <c r="P632" s="1">
        <v>0</v>
      </c>
      <c r="Q632" s="1">
        <v>0</v>
      </c>
      <c r="R632" s="12">
        <v>41883</v>
      </c>
      <c r="S632" s="1">
        <v>450</v>
      </c>
      <c r="T632" s="9" t="s">
        <v>39</v>
      </c>
    </row>
    <row r="633" spans="1:20" x14ac:dyDescent="0.25">
      <c r="A633" s="10" t="s">
        <v>19</v>
      </c>
      <c r="B633" t="b">
        <v>0</v>
      </c>
      <c r="C633" t="b">
        <v>0</v>
      </c>
      <c r="D633" s="1">
        <v>0</v>
      </c>
      <c r="E633" s="1">
        <v>0</v>
      </c>
      <c r="F633" s="1">
        <v>0</v>
      </c>
      <c r="G633" s="1">
        <v>470</v>
      </c>
      <c r="H633" s="1">
        <v>0</v>
      </c>
      <c r="I633" s="1">
        <v>0</v>
      </c>
      <c r="J633" s="1">
        <f t="shared" si="28"/>
        <v>470</v>
      </c>
      <c r="K633" s="1">
        <v>0</v>
      </c>
      <c r="L633" s="1">
        <v>0</v>
      </c>
      <c r="M633" s="1">
        <v>0</v>
      </c>
      <c r="N633" s="1">
        <f t="shared" si="30"/>
        <v>0</v>
      </c>
      <c r="O633" s="9">
        <f t="shared" si="29"/>
        <v>0</v>
      </c>
      <c r="P633" s="1">
        <v>0</v>
      </c>
      <c r="Q633" s="1">
        <v>0</v>
      </c>
      <c r="R633" s="12">
        <v>41913</v>
      </c>
      <c r="S633" s="1">
        <v>470</v>
      </c>
      <c r="T633" s="9" t="s">
        <v>39</v>
      </c>
    </row>
    <row r="634" spans="1:20" x14ac:dyDescent="0.25">
      <c r="A634" s="10" t="s">
        <v>19</v>
      </c>
      <c r="B634" t="b">
        <v>0</v>
      </c>
      <c r="C634" t="b">
        <v>0</v>
      </c>
      <c r="D634" s="1">
        <v>0</v>
      </c>
      <c r="E634" s="1">
        <v>0</v>
      </c>
      <c r="F634" s="1">
        <v>0</v>
      </c>
      <c r="G634" s="1">
        <v>410</v>
      </c>
      <c r="H634" s="1">
        <v>0</v>
      </c>
      <c r="I634" s="1">
        <v>0</v>
      </c>
      <c r="J634" s="1">
        <f t="shared" si="28"/>
        <v>410</v>
      </c>
      <c r="K634" s="1">
        <v>0</v>
      </c>
      <c r="L634" s="1">
        <v>0</v>
      </c>
      <c r="M634" s="1">
        <v>0</v>
      </c>
      <c r="N634" s="1">
        <f t="shared" si="30"/>
        <v>0</v>
      </c>
      <c r="O634" s="9">
        <f t="shared" si="29"/>
        <v>0</v>
      </c>
      <c r="P634" s="1">
        <v>0</v>
      </c>
      <c r="Q634" s="1">
        <v>0</v>
      </c>
      <c r="R634" s="12">
        <v>41944</v>
      </c>
      <c r="S634" s="1">
        <v>410</v>
      </c>
      <c r="T634" s="9" t="s">
        <v>39</v>
      </c>
    </row>
    <row r="635" spans="1:20" x14ac:dyDescent="0.25">
      <c r="A635" s="10" t="s">
        <v>19</v>
      </c>
      <c r="B635" t="b">
        <v>0</v>
      </c>
      <c r="C635" t="b">
        <v>0</v>
      </c>
      <c r="D635" s="1">
        <v>0</v>
      </c>
      <c r="E635" s="1">
        <v>0</v>
      </c>
      <c r="F635" s="1">
        <v>0</v>
      </c>
      <c r="G635" s="1">
        <v>0</v>
      </c>
      <c r="H635" s="1">
        <v>250</v>
      </c>
      <c r="I635" s="1">
        <v>0</v>
      </c>
      <c r="J635" s="1">
        <f t="shared" si="28"/>
        <v>250</v>
      </c>
      <c r="K635" s="1">
        <v>0</v>
      </c>
      <c r="L635" s="1">
        <v>0</v>
      </c>
      <c r="M635" s="1">
        <v>0</v>
      </c>
      <c r="N635" s="1">
        <f t="shared" si="30"/>
        <v>0</v>
      </c>
      <c r="O635" s="9">
        <f t="shared" si="29"/>
        <v>0</v>
      </c>
      <c r="P635" s="1">
        <v>0</v>
      </c>
      <c r="Q635" s="1">
        <v>0</v>
      </c>
      <c r="R635" s="12">
        <v>41974</v>
      </c>
      <c r="S635" s="1">
        <v>250</v>
      </c>
      <c r="T635" s="9" t="s">
        <v>39</v>
      </c>
    </row>
    <row r="636" spans="1:20" x14ac:dyDescent="0.25">
      <c r="A636" s="10" t="s">
        <v>19</v>
      </c>
      <c r="B636" t="b">
        <v>0</v>
      </c>
      <c r="C636" t="b">
        <v>0</v>
      </c>
      <c r="D636" s="1">
        <v>0</v>
      </c>
      <c r="E636" s="1">
        <v>0</v>
      </c>
      <c r="F636" s="1">
        <v>0</v>
      </c>
      <c r="G636" s="1">
        <v>370</v>
      </c>
      <c r="H636" s="1">
        <v>0</v>
      </c>
      <c r="I636" s="1">
        <v>0</v>
      </c>
      <c r="J636" s="1">
        <f t="shared" si="28"/>
        <v>370</v>
      </c>
      <c r="K636" s="1">
        <v>0</v>
      </c>
      <c r="L636" s="1">
        <v>0</v>
      </c>
      <c r="M636" s="1">
        <v>0</v>
      </c>
      <c r="N636" s="1">
        <f t="shared" si="30"/>
        <v>0</v>
      </c>
      <c r="O636" s="9">
        <f t="shared" si="29"/>
        <v>0</v>
      </c>
      <c r="P636" s="1">
        <v>0</v>
      </c>
      <c r="Q636" s="1">
        <v>0</v>
      </c>
      <c r="R636" s="12">
        <v>42005</v>
      </c>
      <c r="S636" s="1">
        <v>370</v>
      </c>
      <c r="T636" s="9" t="s">
        <v>39</v>
      </c>
    </row>
    <row r="637" spans="1:20" x14ac:dyDescent="0.25">
      <c r="A637" s="10" t="s">
        <v>19</v>
      </c>
      <c r="B637" t="b">
        <v>0</v>
      </c>
      <c r="C637" t="b">
        <v>0</v>
      </c>
      <c r="D637" s="1">
        <v>0</v>
      </c>
      <c r="E637" s="1">
        <v>0</v>
      </c>
      <c r="F637" s="1">
        <v>0</v>
      </c>
      <c r="G637" s="1">
        <v>0</v>
      </c>
      <c r="H637" s="1">
        <v>500</v>
      </c>
      <c r="I637" s="1">
        <v>0</v>
      </c>
      <c r="J637" s="1">
        <f t="shared" si="28"/>
        <v>500</v>
      </c>
      <c r="K637" s="1">
        <v>0</v>
      </c>
      <c r="L637" s="1">
        <v>0</v>
      </c>
      <c r="M637" s="1">
        <v>0</v>
      </c>
      <c r="N637" s="1">
        <f t="shared" si="30"/>
        <v>0</v>
      </c>
      <c r="O637" s="9">
        <f t="shared" si="29"/>
        <v>0</v>
      </c>
      <c r="P637" s="1">
        <v>0</v>
      </c>
      <c r="Q637" s="1">
        <v>0</v>
      </c>
      <c r="R637" s="12">
        <v>42036</v>
      </c>
      <c r="S637" s="1">
        <v>500</v>
      </c>
      <c r="T637" s="9" t="s">
        <v>39</v>
      </c>
    </row>
    <row r="638" spans="1:20" x14ac:dyDescent="0.25">
      <c r="A638" s="10" t="s">
        <v>19</v>
      </c>
      <c r="B638" t="b">
        <v>0</v>
      </c>
      <c r="C638" t="b">
        <v>0</v>
      </c>
      <c r="D638" s="1">
        <v>0</v>
      </c>
      <c r="E638" s="1">
        <v>0</v>
      </c>
      <c r="F638" s="1">
        <v>0</v>
      </c>
      <c r="G638" s="1">
        <v>492</v>
      </c>
      <c r="H638" s="1">
        <v>0</v>
      </c>
      <c r="I638" s="1">
        <v>0</v>
      </c>
      <c r="J638" s="1">
        <f t="shared" si="28"/>
        <v>492</v>
      </c>
      <c r="K638" s="1">
        <v>0</v>
      </c>
      <c r="L638" s="1">
        <v>0</v>
      </c>
      <c r="M638" s="1">
        <v>0</v>
      </c>
      <c r="N638" s="1">
        <f t="shared" si="30"/>
        <v>0</v>
      </c>
      <c r="O638" s="9">
        <f t="shared" si="29"/>
        <v>0</v>
      </c>
      <c r="P638" s="1">
        <v>0</v>
      </c>
      <c r="Q638" s="1">
        <v>0</v>
      </c>
      <c r="R638" s="12">
        <v>42064</v>
      </c>
      <c r="S638" s="1">
        <v>492</v>
      </c>
      <c r="T638" s="9" t="s">
        <v>39</v>
      </c>
    </row>
    <row r="639" spans="1:20" x14ac:dyDescent="0.25">
      <c r="A639" s="10" t="s">
        <v>19</v>
      </c>
      <c r="B639" t="b">
        <v>0</v>
      </c>
      <c r="C639" t="b">
        <v>0</v>
      </c>
      <c r="D639" s="1">
        <v>0</v>
      </c>
      <c r="E639" s="1">
        <v>0</v>
      </c>
      <c r="F639" s="1">
        <v>0</v>
      </c>
      <c r="G639" s="1">
        <v>506</v>
      </c>
      <c r="H639" s="1">
        <v>0</v>
      </c>
      <c r="I639" s="1">
        <v>0</v>
      </c>
      <c r="J639" s="1">
        <f t="shared" si="28"/>
        <v>506</v>
      </c>
      <c r="K639" s="1">
        <v>0</v>
      </c>
      <c r="L639" s="1">
        <v>0</v>
      </c>
      <c r="M639" s="1">
        <v>0</v>
      </c>
      <c r="N639" s="1">
        <f t="shared" si="30"/>
        <v>0</v>
      </c>
      <c r="O639" s="9">
        <f t="shared" si="29"/>
        <v>0</v>
      </c>
      <c r="P639" s="1">
        <v>0</v>
      </c>
      <c r="Q639" s="1">
        <v>0</v>
      </c>
      <c r="R639" s="12">
        <v>42095</v>
      </c>
      <c r="S639" s="1">
        <v>506</v>
      </c>
      <c r="T639" s="9" t="s">
        <v>39</v>
      </c>
    </row>
    <row r="640" spans="1:20" x14ac:dyDescent="0.25">
      <c r="A640" s="10" t="s">
        <v>19</v>
      </c>
      <c r="B640" t="b">
        <v>0</v>
      </c>
      <c r="C640" t="b">
        <v>0</v>
      </c>
      <c r="D640" s="1">
        <v>0</v>
      </c>
      <c r="E640" s="1">
        <v>0</v>
      </c>
      <c r="F640" s="1">
        <v>0</v>
      </c>
      <c r="G640" s="1">
        <v>0</v>
      </c>
      <c r="H640" s="1">
        <v>1412</v>
      </c>
      <c r="I640" s="1">
        <v>0</v>
      </c>
      <c r="J640" s="1">
        <f t="shared" si="28"/>
        <v>1412</v>
      </c>
      <c r="K640" s="1">
        <v>0</v>
      </c>
      <c r="L640" s="1">
        <v>0</v>
      </c>
      <c r="M640" s="1">
        <v>0</v>
      </c>
      <c r="N640" s="1">
        <f t="shared" si="30"/>
        <v>0</v>
      </c>
      <c r="O640" s="9">
        <f t="shared" si="29"/>
        <v>0</v>
      </c>
      <c r="P640" s="1">
        <v>0</v>
      </c>
      <c r="Q640" s="1">
        <v>0</v>
      </c>
      <c r="R640" s="12">
        <v>42125</v>
      </c>
      <c r="S640" s="1">
        <v>1412</v>
      </c>
      <c r="T640" s="9" t="s">
        <v>39</v>
      </c>
    </row>
    <row r="641" spans="1:20" x14ac:dyDescent="0.25">
      <c r="A641" s="10" t="s">
        <v>19</v>
      </c>
      <c r="B641" t="b">
        <v>0</v>
      </c>
      <c r="C641" t="b">
        <v>0</v>
      </c>
      <c r="D641" s="1">
        <v>0</v>
      </c>
      <c r="E641" s="1">
        <v>0</v>
      </c>
      <c r="F641" s="1">
        <v>0</v>
      </c>
      <c r="G641" s="1">
        <v>0</v>
      </c>
      <c r="H641" s="1">
        <v>575</v>
      </c>
      <c r="I641" s="1">
        <v>0</v>
      </c>
      <c r="J641" s="1">
        <f t="shared" si="28"/>
        <v>575</v>
      </c>
      <c r="K641" s="1">
        <v>0</v>
      </c>
      <c r="L641" s="1">
        <v>0</v>
      </c>
      <c r="M641" s="1">
        <v>0</v>
      </c>
      <c r="N641" s="1">
        <f t="shared" si="30"/>
        <v>0</v>
      </c>
      <c r="O641" s="9">
        <f t="shared" si="29"/>
        <v>0</v>
      </c>
      <c r="P641" s="1">
        <v>0</v>
      </c>
      <c r="Q641" s="1">
        <v>0</v>
      </c>
      <c r="R641" s="12">
        <v>42156</v>
      </c>
      <c r="S641" s="1">
        <v>575</v>
      </c>
      <c r="T641" s="9" t="s">
        <v>39</v>
      </c>
    </row>
    <row r="642" spans="1:20" x14ac:dyDescent="0.25">
      <c r="A642" s="10" t="s">
        <v>19</v>
      </c>
      <c r="B642" t="b">
        <v>0</v>
      </c>
      <c r="C642" t="b">
        <v>0</v>
      </c>
      <c r="D642" s="1">
        <v>0</v>
      </c>
      <c r="E642" s="1">
        <v>0</v>
      </c>
      <c r="F642" s="1">
        <v>0</v>
      </c>
      <c r="G642" s="1">
        <v>0</v>
      </c>
      <c r="H642" s="1">
        <v>753</v>
      </c>
      <c r="I642" s="1">
        <v>0</v>
      </c>
      <c r="J642" s="1">
        <f t="shared" si="28"/>
        <v>753</v>
      </c>
      <c r="K642" s="1">
        <v>0</v>
      </c>
      <c r="L642" s="1">
        <v>0</v>
      </c>
      <c r="M642" s="1">
        <v>0</v>
      </c>
      <c r="N642" s="1">
        <f t="shared" si="30"/>
        <v>0</v>
      </c>
      <c r="O642" s="9">
        <f t="shared" si="29"/>
        <v>0</v>
      </c>
      <c r="P642" s="1">
        <v>0</v>
      </c>
      <c r="Q642" s="1">
        <v>0</v>
      </c>
      <c r="R642" s="12">
        <v>42186</v>
      </c>
      <c r="S642" s="1">
        <v>753</v>
      </c>
      <c r="T642" s="9" t="s">
        <v>39</v>
      </c>
    </row>
    <row r="643" spans="1:20" x14ac:dyDescent="0.25">
      <c r="A643" s="10" t="s">
        <v>19</v>
      </c>
      <c r="B643" t="b">
        <v>0</v>
      </c>
      <c r="C643" t="b">
        <v>0</v>
      </c>
      <c r="D643" s="1">
        <v>0</v>
      </c>
      <c r="E643" s="1">
        <v>0</v>
      </c>
      <c r="F643" s="1">
        <v>0</v>
      </c>
      <c r="G643" s="1">
        <v>0</v>
      </c>
      <c r="H643" s="1">
        <v>784</v>
      </c>
      <c r="I643" s="1">
        <v>0</v>
      </c>
      <c r="J643" s="1">
        <f t="shared" si="28"/>
        <v>784</v>
      </c>
      <c r="K643" s="1">
        <v>0</v>
      </c>
      <c r="L643" s="1">
        <v>0</v>
      </c>
      <c r="M643" s="1">
        <v>0</v>
      </c>
      <c r="N643" s="1">
        <f t="shared" si="30"/>
        <v>0</v>
      </c>
      <c r="O643" s="9">
        <f t="shared" si="29"/>
        <v>0</v>
      </c>
      <c r="P643" s="1">
        <v>0</v>
      </c>
      <c r="Q643" s="1">
        <v>0</v>
      </c>
      <c r="R643" s="12">
        <v>42217</v>
      </c>
      <c r="S643" s="1">
        <v>784</v>
      </c>
      <c r="T643" s="9" t="s">
        <v>39</v>
      </c>
    </row>
    <row r="644" spans="1:20" x14ac:dyDescent="0.25">
      <c r="A644" s="10" t="s">
        <v>19</v>
      </c>
      <c r="B644" t="b">
        <v>0</v>
      </c>
      <c r="C644" t="b">
        <v>0</v>
      </c>
      <c r="D644" s="1">
        <v>0</v>
      </c>
      <c r="E644" s="1">
        <v>0</v>
      </c>
      <c r="F644" s="1">
        <v>0</v>
      </c>
      <c r="G644" s="1">
        <v>496</v>
      </c>
      <c r="H644" s="1">
        <v>0</v>
      </c>
      <c r="I644" s="1">
        <v>0</v>
      </c>
      <c r="J644" s="1">
        <f t="shared" si="28"/>
        <v>496</v>
      </c>
      <c r="K644" s="1">
        <v>0</v>
      </c>
      <c r="L644" s="1">
        <v>0</v>
      </c>
      <c r="M644" s="1">
        <v>0</v>
      </c>
      <c r="N644" s="1">
        <f t="shared" si="30"/>
        <v>0</v>
      </c>
      <c r="O644" s="9">
        <f t="shared" si="29"/>
        <v>0</v>
      </c>
      <c r="P644" s="1">
        <v>0</v>
      </c>
      <c r="Q644" s="1">
        <v>0</v>
      </c>
      <c r="R644" s="12">
        <v>42248</v>
      </c>
      <c r="S644" s="1">
        <v>496</v>
      </c>
      <c r="T644" s="9" t="s">
        <v>39</v>
      </c>
    </row>
    <row r="645" spans="1:20" x14ac:dyDescent="0.25">
      <c r="A645" s="10" t="s">
        <v>19</v>
      </c>
      <c r="B645" t="b">
        <v>0</v>
      </c>
      <c r="C645" t="b">
        <v>0</v>
      </c>
      <c r="D645" s="1">
        <v>0</v>
      </c>
      <c r="E645" s="1">
        <v>0</v>
      </c>
      <c r="F645" s="1">
        <v>0</v>
      </c>
      <c r="G645" s="1">
        <v>0</v>
      </c>
      <c r="H645" s="1">
        <v>448</v>
      </c>
      <c r="I645" s="1">
        <v>0</v>
      </c>
      <c r="J645" s="1">
        <f t="shared" si="28"/>
        <v>448</v>
      </c>
      <c r="K645" s="1">
        <v>0</v>
      </c>
      <c r="L645" s="1">
        <v>0</v>
      </c>
      <c r="M645" s="1">
        <v>0</v>
      </c>
      <c r="N645" s="1">
        <f t="shared" si="30"/>
        <v>0</v>
      </c>
      <c r="O645" s="9">
        <f t="shared" si="29"/>
        <v>0</v>
      </c>
      <c r="P645" s="1">
        <v>0</v>
      </c>
      <c r="Q645" s="1">
        <v>0</v>
      </c>
      <c r="R645" s="12">
        <v>42278</v>
      </c>
      <c r="S645" s="1">
        <v>448</v>
      </c>
      <c r="T645" s="9" t="s">
        <v>39</v>
      </c>
    </row>
    <row r="646" spans="1:20" x14ac:dyDescent="0.25">
      <c r="A646" s="10" t="s">
        <v>19</v>
      </c>
      <c r="B646" t="b">
        <v>0</v>
      </c>
      <c r="C646" t="b">
        <v>0</v>
      </c>
      <c r="D646" s="1">
        <v>0</v>
      </c>
      <c r="E646" s="1">
        <v>0</v>
      </c>
      <c r="F646" s="1">
        <v>0</v>
      </c>
      <c r="G646" s="1">
        <v>0</v>
      </c>
      <c r="H646" s="1">
        <v>425</v>
      </c>
      <c r="I646" s="1">
        <v>0</v>
      </c>
      <c r="J646" s="1">
        <f t="shared" si="28"/>
        <v>425</v>
      </c>
      <c r="K646" s="1">
        <v>0</v>
      </c>
      <c r="L646" s="1">
        <v>0</v>
      </c>
      <c r="M646" s="1">
        <v>0</v>
      </c>
      <c r="N646" s="1">
        <f t="shared" si="30"/>
        <v>0</v>
      </c>
      <c r="O646" s="9">
        <f t="shared" si="29"/>
        <v>0</v>
      </c>
      <c r="P646" s="1">
        <v>0</v>
      </c>
      <c r="Q646" s="1">
        <v>0</v>
      </c>
      <c r="R646" s="12">
        <v>42309</v>
      </c>
      <c r="S646" s="1">
        <v>425</v>
      </c>
      <c r="T646" s="9" t="s">
        <v>39</v>
      </c>
    </row>
    <row r="647" spans="1:20" x14ac:dyDescent="0.25">
      <c r="A647" s="10" t="s">
        <v>19</v>
      </c>
      <c r="B647" t="b">
        <v>0</v>
      </c>
      <c r="C647" t="b">
        <v>0</v>
      </c>
      <c r="D647" s="1">
        <v>0</v>
      </c>
      <c r="E647" s="1">
        <v>0</v>
      </c>
      <c r="F647" s="1">
        <v>0</v>
      </c>
      <c r="G647" s="1">
        <v>0</v>
      </c>
      <c r="H647" s="1">
        <v>234</v>
      </c>
      <c r="I647" s="1">
        <v>0</v>
      </c>
      <c r="J647" s="1">
        <f t="shared" si="28"/>
        <v>234</v>
      </c>
      <c r="K647" s="1">
        <v>0</v>
      </c>
      <c r="L647" s="1">
        <v>0</v>
      </c>
      <c r="M647" s="1">
        <v>0</v>
      </c>
      <c r="N647" s="1">
        <f t="shared" si="30"/>
        <v>0</v>
      </c>
      <c r="O647" s="9">
        <f t="shared" si="29"/>
        <v>0</v>
      </c>
      <c r="P647" s="1">
        <v>0</v>
      </c>
      <c r="Q647" s="1">
        <v>0</v>
      </c>
      <c r="R647" s="12">
        <v>42339</v>
      </c>
      <c r="S647" s="1">
        <v>234</v>
      </c>
      <c r="T647" s="9" t="s">
        <v>39</v>
      </c>
    </row>
    <row r="648" spans="1:20" x14ac:dyDescent="0.25">
      <c r="A648" s="10" t="s">
        <v>19</v>
      </c>
      <c r="B648" t="b">
        <v>0</v>
      </c>
      <c r="C648" t="b">
        <v>0</v>
      </c>
      <c r="D648" s="1">
        <v>0</v>
      </c>
      <c r="E648" s="1">
        <v>0</v>
      </c>
      <c r="F648" s="1">
        <v>0</v>
      </c>
      <c r="G648" s="1">
        <v>0</v>
      </c>
      <c r="H648" s="1">
        <v>337</v>
      </c>
      <c r="I648" s="1">
        <v>0</v>
      </c>
      <c r="J648" s="1">
        <f t="shared" si="28"/>
        <v>337</v>
      </c>
      <c r="K648" s="1">
        <v>0</v>
      </c>
      <c r="L648" s="1">
        <v>0</v>
      </c>
      <c r="M648" s="1">
        <v>0</v>
      </c>
      <c r="N648" s="1">
        <f t="shared" si="30"/>
        <v>0</v>
      </c>
      <c r="O648" s="9">
        <f t="shared" si="29"/>
        <v>0</v>
      </c>
      <c r="P648" s="1">
        <v>0</v>
      </c>
      <c r="Q648" s="1">
        <v>0</v>
      </c>
      <c r="R648" s="12">
        <v>42370</v>
      </c>
      <c r="S648" s="1">
        <v>337</v>
      </c>
      <c r="T648" s="9" t="s">
        <v>46</v>
      </c>
    </row>
    <row r="649" spans="1:20" x14ac:dyDescent="0.25">
      <c r="A649" s="10" t="s">
        <v>19</v>
      </c>
      <c r="B649" t="b">
        <v>0</v>
      </c>
      <c r="C649" t="b">
        <v>0</v>
      </c>
      <c r="D649" s="1">
        <v>0</v>
      </c>
      <c r="E649" s="1">
        <v>0</v>
      </c>
      <c r="F649" s="1">
        <v>0</v>
      </c>
      <c r="G649" s="1">
        <v>0</v>
      </c>
      <c r="H649" s="1">
        <v>945</v>
      </c>
      <c r="I649" s="1">
        <v>0</v>
      </c>
      <c r="J649" s="1">
        <f t="shared" si="28"/>
        <v>945</v>
      </c>
      <c r="K649" s="1">
        <v>0</v>
      </c>
      <c r="L649" s="1">
        <v>0</v>
      </c>
      <c r="M649" s="1">
        <v>0</v>
      </c>
      <c r="N649" s="1">
        <f t="shared" si="30"/>
        <v>0</v>
      </c>
      <c r="O649" s="9">
        <f t="shared" si="29"/>
        <v>0</v>
      </c>
      <c r="P649" s="1">
        <v>0</v>
      </c>
      <c r="Q649" s="1">
        <v>0</v>
      </c>
      <c r="R649" s="12">
        <v>42401</v>
      </c>
      <c r="S649" s="1">
        <v>945</v>
      </c>
      <c r="T649" s="9" t="s">
        <v>46</v>
      </c>
    </row>
    <row r="650" spans="1:20" x14ac:dyDescent="0.25">
      <c r="A650" s="10" t="s">
        <v>19</v>
      </c>
      <c r="B650" t="b">
        <v>0</v>
      </c>
      <c r="C650" t="b">
        <v>0</v>
      </c>
      <c r="D650" s="1">
        <v>0</v>
      </c>
      <c r="E650" s="1">
        <v>0</v>
      </c>
      <c r="F650" s="1">
        <v>0</v>
      </c>
      <c r="G650" s="1">
        <v>0</v>
      </c>
      <c r="H650" s="1">
        <v>542</v>
      </c>
      <c r="I650" s="1">
        <v>0</v>
      </c>
      <c r="J650" s="1">
        <f t="shared" si="28"/>
        <v>542</v>
      </c>
      <c r="K650" s="1">
        <v>0</v>
      </c>
      <c r="L650" s="1">
        <v>0</v>
      </c>
      <c r="M650" s="1">
        <v>0</v>
      </c>
      <c r="N650" s="1">
        <f t="shared" si="30"/>
        <v>0</v>
      </c>
      <c r="O650" s="9">
        <f t="shared" si="29"/>
        <v>0</v>
      </c>
      <c r="P650" s="1">
        <v>0</v>
      </c>
      <c r="Q650" s="1">
        <v>0</v>
      </c>
      <c r="R650" s="12">
        <v>42430</v>
      </c>
      <c r="S650" s="1">
        <v>542</v>
      </c>
      <c r="T650" s="9" t="s">
        <v>46</v>
      </c>
    </row>
    <row r="651" spans="1:20" x14ac:dyDescent="0.25">
      <c r="A651" s="10" t="s">
        <v>19</v>
      </c>
      <c r="B651" t="b">
        <v>0</v>
      </c>
      <c r="C651" t="b">
        <v>0</v>
      </c>
      <c r="D651" s="1">
        <v>0</v>
      </c>
      <c r="E651" s="1">
        <v>0</v>
      </c>
      <c r="F651" s="1">
        <v>0</v>
      </c>
      <c r="G651" s="1">
        <v>526</v>
      </c>
      <c r="H651" s="1">
        <v>0</v>
      </c>
      <c r="I651" s="1">
        <v>0</v>
      </c>
      <c r="J651" s="1">
        <f t="shared" si="28"/>
        <v>526</v>
      </c>
      <c r="K651" s="1">
        <v>0</v>
      </c>
      <c r="L651" s="1">
        <v>0</v>
      </c>
      <c r="M651" s="1">
        <v>0</v>
      </c>
      <c r="N651" s="1">
        <f t="shared" si="30"/>
        <v>0</v>
      </c>
      <c r="O651" s="9">
        <f t="shared" si="29"/>
        <v>0</v>
      </c>
      <c r="P651" s="1">
        <v>0</v>
      </c>
      <c r="Q651" s="1">
        <v>0</v>
      </c>
      <c r="R651" s="12">
        <v>42461</v>
      </c>
      <c r="S651" s="1">
        <v>526</v>
      </c>
      <c r="T651" s="9" t="s">
        <v>46</v>
      </c>
    </row>
    <row r="652" spans="1:20" x14ac:dyDescent="0.25">
      <c r="A652" s="10" t="s">
        <v>19</v>
      </c>
      <c r="B652" t="b">
        <v>0</v>
      </c>
      <c r="C652" t="b">
        <v>0</v>
      </c>
      <c r="D652" s="1">
        <v>0</v>
      </c>
      <c r="E652" s="1">
        <v>0</v>
      </c>
      <c r="F652" s="1">
        <v>0</v>
      </c>
      <c r="G652" s="1">
        <v>0</v>
      </c>
      <c r="H652" s="1">
        <v>907</v>
      </c>
      <c r="I652" s="1">
        <v>0</v>
      </c>
      <c r="J652" s="1">
        <f t="shared" si="28"/>
        <v>907</v>
      </c>
      <c r="K652" s="1">
        <v>0</v>
      </c>
      <c r="L652" s="1">
        <v>0</v>
      </c>
      <c r="M652" s="1">
        <v>0</v>
      </c>
      <c r="N652" s="1">
        <f t="shared" si="30"/>
        <v>0</v>
      </c>
      <c r="O652" s="9">
        <f t="shared" si="29"/>
        <v>0</v>
      </c>
      <c r="P652" s="1">
        <v>0</v>
      </c>
      <c r="Q652" s="1">
        <v>0</v>
      </c>
      <c r="R652" s="12">
        <v>42491</v>
      </c>
      <c r="S652" s="1">
        <v>907</v>
      </c>
      <c r="T652" s="9" t="s">
        <v>46</v>
      </c>
    </row>
    <row r="653" spans="1:20" x14ac:dyDescent="0.25">
      <c r="A653" s="10" t="s">
        <v>19</v>
      </c>
      <c r="B653" t="b">
        <v>0</v>
      </c>
      <c r="C653" t="b">
        <v>0</v>
      </c>
      <c r="D653" s="1">
        <v>0</v>
      </c>
      <c r="E653" s="1">
        <v>0</v>
      </c>
      <c r="F653" s="1">
        <v>0</v>
      </c>
      <c r="G653" s="1">
        <v>0</v>
      </c>
      <c r="H653" s="1">
        <v>487</v>
      </c>
      <c r="I653" s="1">
        <v>0</v>
      </c>
      <c r="J653" s="1">
        <f t="shared" si="28"/>
        <v>487</v>
      </c>
      <c r="K653" s="1">
        <v>0</v>
      </c>
      <c r="L653" s="1">
        <v>0</v>
      </c>
      <c r="M653" s="1">
        <v>0</v>
      </c>
      <c r="N653" s="1">
        <f t="shared" si="30"/>
        <v>0</v>
      </c>
      <c r="O653" s="9">
        <f t="shared" si="29"/>
        <v>0</v>
      </c>
      <c r="P653" s="1">
        <v>0</v>
      </c>
      <c r="Q653" s="1">
        <v>0</v>
      </c>
      <c r="R653" s="12">
        <v>42522</v>
      </c>
      <c r="S653" s="1">
        <v>487</v>
      </c>
      <c r="T653" s="9" t="s">
        <v>46</v>
      </c>
    </row>
    <row r="654" spans="1:20" x14ac:dyDescent="0.25">
      <c r="A654" s="10" t="s">
        <v>19</v>
      </c>
      <c r="B654" t="b">
        <v>0</v>
      </c>
      <c r="C654" t="b">
        <v>0</v>
      </c>
      <c r="D654" s="1">
        <v>0</v>
      </c>
      <c r="E654" s="1">
        <v>0</v>
      </c>
      <c r="F654" s="1">
        <v>0</v>
      </c>
      <c r="G654" s="1">
        <v>0</v>
      </c>
      <c r="H654" s="1">
        <v>326</v>
      </c>
      <c r="I654" s="1">
        <v>0</v>
      </c>
      <c r="J654" s="1">
        <f t="shared" si="28"/>
        <v>326</v>
      </c>
      <c r="K654" s="1">
        <v>0</v>
      </c>
      <c r="L654" s="1">
        <v>0</v>
      </c>
      <c r="M654" s="1">
        <v>0</v>
      </c>
      <c r="N654" s="1">
        <f t="shared" si="30"/>
        <v>0</v>
      </c>
      <c r="O654" s="9">
        <f t="shared" si="29"/>
        <v>0</v>
      </c>
      <c r="P654" s="1">
        <v>0</v>
      </c>
      <c r="Q654" s="1">
        <v>0</v>
      </c>
      <c r="R654" s="12">
        <v>42552</v>
      </c>
      <c r="S654" s="1">
        <v>326</v>
      </c>
      <c r="T654" s="9" t="s">
        <v>46</v>
      </c>
    </row>
    <row r="655" spans="1:20" x14ac:dyDescent="0.25">
      <c r="A655" s="10" t="s">
        <v>19</v>
      </c>
      <c r="B655" t="b">
        <v>0</v>
      </c>
      <c r="C655" t="b">
        <v>0</v>
      </c>
      <c r="D655" s="1">
        <v>0</v>
      </c>
      <c r="E655" s="1">
        <v>0</v>
      </c>
      <c r="F655" s="1">
        <v>0</v>
      </c>
      <c r="G655" s="1">
        <v>0</v>
      </c>
      <c r="H655" s="1">
        <v>569</v>
      </c>
      <c r="I655" s="1">
        <v>0</v>
      </c>
      <c r="J655" s="1">
        <f t="shared" si="28"/>
        <v>569</v>
      </c>
      <c r="K655" s="1">
        <v>0</v>
      </c>
      <c r="L655" s="1">
        <v>0</v>
      </c>
      <c r="M655" s="1">
        <v>0</v>
      </c>
      <c r="N655" s="1">
        <f t="shared" si="30"/>
        <v>0</v>
      </c>
      <c r="O655" s="9">
        <f t="shared" si="29"/>
        <v>0</v>
      </c>
      <c r="P655" s="1">
        <v>0</v>
      </c>
      <c r="Q655" s="1">
        <v>0</v>
      </c>
      <c r="R655" s="12">
        <v>42583</v>
      </c>
      <c r="S655" s="1">
        <v>569</v>
      </c>
      <c r="T655" s="9" t="s">
        <v>46</v>
      </c>
    </row>
    <row r="656" spans="1:20" x14ac:dyDescent="0.25">
      <c r="A656" s="10" t="s">
        <v>19</v>
      </c>
      <c r="B656" t="b">
        <v>0</v>
      </c>
      <c r="C656" t="b">
        <v>0</v>
      </c>
      <c r="D656" s="1">
        <v>0</v>
      </c>
      <c r="E656" s="1">
        <v>0</v>
      </c>
      <c r="F656" s="1">
        <v>0</v>
      </c>
      <c r="G656" s="1">
        <v>599</v>
      </c>
      <c r="H656" s="1">
        <v>0</v>
      </c>
      <c r="I656" s="1">
        <v>0</v>
      </c>
      <c r="J656" s="1">
        <f t="shared" si="28"/>
        <v>599</v>
      </c>
      <c r="K656" s="1">
        <v>0</v>
      </c>
      <c r="L656" s="1">
        <v>0</v>
      </c>
      <c r="M656" s="1">
        <v>0</v>
      </c>
      <c r="N656" s="1">
        <f t="shared" si="30"/>
        <v>0</v>
      </c>
      <c r="O656" s="9">
        <f t="shared" si="29"/>
        <v>0</v>
      </c>
      <c r="P656" s="1">
        <v>0</v>
      </c>
      <c r="Q656" s="1">
        <v>0</v>
      </c>
      <c r="R656" s="12">
        <v>42614</v>
      </c>
      <c r="S656" s="1">
        <v>599</v>
      </c>
      <c r="T656" s="9" t="s">
        <v>46</v>
      </c>
    </row>
    <row r="657" spans="1:20" x14ac:dyDescent="0.25">
      <c r="A657" s="10" t="s">
        <v>19</v>
      </c>
      <c r="B657" t="b">
        <v>0</v>
      </c>
      <c r="C657" t="b">
        <v>0</v>
      </c>
      <c r="D657" s="1">
        <v>0</v>
      </c>
      <c r="E657" s="1">
        <v>0</v>
      </c>
      <c r="F657" s="1">
        <v>0</v>
      </c>
      <c r="G657" s="1">
        <v>0</v>
      </c>
      <c r="H657" s="1">
        <v>673</v>
      </c>
      <c r="I657" s="1">
        <v>0</v>
      </c>
      <c r="J657" s="1">
        <f t="shared" si="28"/>
        <v>673</v>
      </c>
      <c r="K657" s="1">
        <v>0</v>
      </c>
      <c r="L657" s="1">
        <v>0</v>
      </c>
      <c r="M657" s="1">
        <v>0</v>
      </c>
      <c r="N657" s="1">
        <f t="shared" si="30"/>
        <v>0</v>
      </c>
      <c r="O657" s="9">
        <f t="shared" si="29"/>
        <v>0</v>
      </c>
      <c r="P657" s="1">
        <v>0</v>
      </c>
      <c r="Q657" s="1">
        <v>0</v>
      </c>
      <c r="R657" s="12">
        <v>42644</v>
      </c>
      <c r="S657" s="1">
        <v>673</v>
      </c>
      <c r="T657" s="9" t="s">
        <v>46</v>
      </c>
    </row>
    <row r="658" spans="1:20" x14ac:dyDescent="0.25">
      <c r="A658" s="10" t="s">
        <v>19</v>
      </c>
      <c r="B658" t="b">
        <v>0</v>
      </c>
      <c r="C658" t="b">
        <v>0</v>
      </c>
      <c r="D658" s="1">
        <v>0</v>
      </c>
      <c r="E658" s="1">
        <v>0</v>
      </c>
      <c r="F658" s="1">
        <v>0</v>
      </c>
      <c r="G658" s="1">
        <v>0</v>
      </c>
      <c r="H658" s="1">
        <v>555</v>
      </c>
      <c r="I658" s="1">
        <v>0</v>
      </c>
      <c r="J658" s="1">
        <f t="shared" si="28"/>
        <v>555</v>
      </c>
      <c r="K658" s="1">
        <v>0</v>
      </c>
      <c r="L658" s="1">
        <v>0</v>
      </c>
      <c r="M658" s="1">
        <v>0</v>
      </c>
      <c r="N658" s="1">
        <f t="shared" si="30"/>
        <v>0</v>
      </c>
      <c r="O658" s="9">
        <f t="shared" si="29"/>
        <v>0</v>
      </c>
      <c r="P658" s="1">
        <v>0</v>
      </c>
      <c r="Q658" s="1">
        <v>0</v>
      </c>
      <c r="R658" s="12">
        <v>42675</v>
      </c>
      <c r="S658" s="1">
        <v>555</v>
      </c>
      <c r="T658" s="9" t="s">
        <v>46</v>
      </c>
    </row>
    <row r="659" spans="1:20" x14ac:dyDescent="0.25">
      <c r="A659" s="10" t="s">
        <v>19</v>
      </c>
      <c r="B659" t="b">
        <v>0</v>
      </c>
      <c r="C659" t="b">
        <v>0</v>
      </c>
      <c r="D659" s="1">
        <v>0</v>
      </c>
      <c r="E659" s="1">
        <v>0</v>
      </c>
      <c r="F659" s="1">
        <v>0</v>
      </c>
      <c r="G659" s="1">
        <v>0</v>
      </c>
      <c r="H659" s="1">
        <v>223</v>
      </c>
      <c r="I659" s="1">
        <v>0</v>
      </c>
      <c r="J659" s="1">
        <f t="shared" si="28"/>
        <v>223</v>
      </c>
      <c r="K659" s="1">
        <v>0</v>
      </c>
      <c r="L659" s="1">
        <v>0</v>
      </c>
      <c r="M659" s="1">
        <v>0</v>
      </c>
      <c r="N659" s="1">
        <f t="shared" si="30"/>
        <v>0</v>
      </c>
      <c r="O659" s="9">
        <f t="shared" si="29"/>
        <v>0</v>
      </c>
      <c r="P659" s="1">
        <v>0</v>
      </c>
      <c r="Q659" s="1">
        <v>0</v>
      </c>
      <c r="R659" s="12">
        <v>42705</v>
      </c>
      <c r="S659" s="1">
        <v>223</v>
      </c>
      <c r="T659" s="9" t="s">
        <v>46</v>
      </c>
    </row>
    <row r="660" spans="1:20" x14ac:dyDescent="0.25">
      <c r="A660" s="10" t="s">
        <v>19</v>
      </c>
      <c r="B660" t="b">
        <v>0</v>
      </c>
      <c r="C660" t="b">
        <v>0</v>
      </c>
      <c r="D660" s="1">
        <v>0</v>
      </c>
      <c r="E660" s="1">
        <v>0</v>
      </c>
      <c r="F660" s="1">
        <v>0</v>
      </c>
      <c r="G660" s="1">
        <v>0</v>
      </c>
      <c r="H660" s="1">
        <v>494</v>
      </c>
      <c r="I660" s="1">
        <v>0</v>
      </c>
      <c r="J660" s="1">
        <f t="shared" si="28"/>
        <v>494</v>
      </c>
      <c r="K660" s="1">
        <v>0</v>
      </c>
      <c r="L660" s="1">
        <v>0</v>
      </c>
      <c r="M660" s="1">
        <v>0</v>
      </c>
      <c r="N660" s="1">
        <f t="shared" si="30"/>
        <v>0</v>
      </c>
      <c r="O660" s="9">
        <f t="shared" si="29"/>
        <v>0</v>
      </c>
      <c r="P660" s="1">
        <v>0</v>
      </c>
      <c r="Q660" s="1">
        <v>0</v>
      </c>
      <c r="R660" s="12">
        <v>42736</v>
      </c>
      <c r="S660" s="1">
        <v>494</v>
      </c>
      <c r="T660" s="9" t="s">
        <v>21</v>
      </c>
    </row>
    <row r="661" spans="1:20" x14ac:dyDescent="0.25">
      <c r="A661" s="10" t="s">
        <v>19</v>
      </c>
      <c r="B661" t="b">
        <v>0</v>
      </c>
      <c r="C661" t="b">
        <v>0</v>
      </c>
      <c r="D661" s="1">
        <v>0</v>
      </c>
      <c r="E661" s="1">
        <v>0</v>
      </c>
      <c r="F661" s="1">
        <v>0</v>
      </c>
      <c r="G661" s="1">
        <v>408</v>
      </c>
      <c r="H661" s="1">
        <v>0</v>
      </c>
      <c r="I661" s="1">
        <v>0</v>
      </c>
      <c r="J661" s="1">
        <f t="shared" si="28"/>
        <v>408</v>
      </c>
      <c r="K661" s="1">
        <v>0</v>
      </c>
      <c r="L661" s="1">
        <v>0</v>
      </c>
      <c r="M661" s="1">
        <v>0</v>
      </c>
      <c r="N661" s="1">
        <f t="shared" si="30"/>
        <v>0</v>
      </c>
      <c r="O661" s="9">
        <f t="shared" si="29"/>
        <v>0</v>
      </c>
      <c r="P661" s="1">
        <v>0</v>
      </c>
      <c r="Q661" s="1">
        <v>0</v>
      </c>
      <c r="R661" s="12">
        <v>42767</v>
      </c>
      <c r="S661" s="1">
        <v>408</v>
      </c>
      <c r="T661" s="9" t="s">
        <v>21</v>
      </c>
    </row>
    <row r="662" spans="1:20" x14ac:dyDescent="0.25">
      <c r="A662" s="10" t="s">
        <v>19</v>
      </c>
      <c r="B662" t="b">
        <v>0</v>
      </c>
      <c r="C662" t="b">
        <v>0</v>
      </c>
      <c r="D662" s="1">
        <v>0</v>
      </c>
      <c r="E662" s="1">
        <v>0</v>
      </c>
      <c r="F662" s="1">
        <v>0</v>
      </c>
      <c r="G662" s="1">
        <v>0</v>
      </c>
      <c r="H662" s="1">
        <v>504</v>
      </c>
      <c r="I662" s="1">
        <v>0</v>
      </c>
      <c r="J662" s="1">
        <f t="shared" si="28"/>
        <v>504</v>
      </c>
      <c r="K662" s="1">
        <v>0</v>
      </c>
      <c r="L662" s="1">
        <v>0</v>
      </c>
      <c r="M662" s="1">
        <v>0</v>
      </c>
      <c r="N662" s="1">
        <f t="shared" si="30"/>
        <v>0</v>
      </c>
      <c r="O662" s="9">
        <f t="shared" si="29"/>
        <v>0</v>
      </c>
      <c r="P662" s="1">
        <v>0</v>
      </c>
      <c r="Q662" s="1">
        <v>0</v>
      </c>
      <c r="R662" s="12">
        <v>42795</v>
      </c>
      <c r="S662" s="1">
        <v>504</v>
      </c>
      <c r="T662" s="9" t="s">
        <v>21</v>
      </c>
    </row>
    <row r="663" spans="1:20" x14ac:dyDescent="0.25">
      <c r="A663" s="10" t="s">
        <v>19</v>
      </c>
      <c r="B663" t="b">
        <v>0</v>
      </c>
      <c r="C663" t="b">
        <v>0</v>
      </c>
      <c r="D663" s="1">
        <v>0</v>
      </c>
      <c r="E663" s="1">
        <v>0</v>
      </c>
      <c r="F663" s="1">
        <v>0</v>
      </c>
      <c r="G663" s="1">
        <v>0</v>
      </c>
      <c r="H663" s="1">
        <v>645</v>
      </c>
      <c r="I663" s="1">
        <v>0</v>
      </c>
      <c r="J663" s="1">
        <f t="shared" si="28"/>
        <v>645</v>
      </c>
      <c r="K663" s="1">
        <v>0</v>
      </c>
      <c r="L663" s="1">
        <v>0</v>
      </c>
      <c r="M663" s="1">
        <v>0</v>
      </c>
      <c r="N663" s="1">
        <f t="shared" si="30"/>
        <v>0</v>
      </c>
      <c r="O663" s="9">
        <f t="shared" si="29"/>
        <v>0</v>
      </c>
      <c r="P663" s="1">
        <v>0</v>
      </c>
      <c r="Q663" s="1">
        <v>0</v>
      </c>
      <c r="R663" s="12">
        <v>42826</v>
      </c>
      <c r="S663" s="1">
        <v>645</v>
      </c>
      <c r="T663" s="9" t="s">
        <v>21</v>
      </c>
    </row>
    <row r="664" spans="1:20" x14ac:dyDescent="0.25">
      <c r="A664" s="10" t="s">
        <v>19</v>
      </c>
      <c r="B664" t="b">
        <v>0</v>
      </c>
      <c r="C664" t="b">
        <v>0</v>
      </c>
      <c r="D664" s="1">
        <v>0</v>
      </c>
      <c r="E664" s="1">
        <v>0</v>
      </c>
      <c r="F664" s="1">
        <v>0</v>
      </c>
      <c r="G664" s="1">
        <v>0</v>
      </c>
      <c r="H664" s="1">
        <v>1007</v>
      </c>
      <c r="I664" s="1">
        <v>0</v>
      </c>
      <c r="J664" s="1">
        <f t="shared" si="28"/>
        <v>1007</v>
      </c>
      <c r="K664" s="1">
        <v>0</v>
      </c>
      <c r="L664" s="1">
        <v>0</v>
      </c>
      <c r="M664" s="1">
        <v>0</v>
      </c>
      <c r="N664" s="1">
        <f t="shared" si="30"/>
        <v>0</v>
      </c>
      <c r="O664" s="9">
        <f t="shared" si="29"/>
        <v>0</v>
      </c>
      <c r="P664" s="1">
        <v>0</v>
      </c>
      <c r="Q664" s="1">
        <v>0</v>
      </c>
      <c r="R664" s="12">
        <v>42856</v>
      </c>
      <c r="S664" s="1">
        <v>1007</v>
      </c>
      <c r="T664" s="9" t="s">
        <v>21</v>
      </c>
    </row>
    <row r="665" spans="1:20" x14ac:dyDescent="0.25">
      <c r="A665" s="10" t="s">
        <v>19</v>
      </c>
      <c r="B665" t="b">
        <v>0</v>
      </c>
      <c r="C665" t="b">
        <v>0</v>
      </c>
      <c r="D665" s="1">
        <v>0</v>
      </c>
      <c r="E665" s="1">
        <v>0</v>
      </c>
      <c r="F665" s="1">
        <v>0</v>
      </c>
      <c r="G665" s="1">
        <v>0</v>
      </c>
      <c r="H665" s="1">
        <v>544</v>
      </c>
      <c r="I665" s="1">
        <v>0</v>
      </c>
      <c r="J665" s="1">
        <f t="shared" si="28"/>
        <v>544</v>
      </c>
      <c r="K665" s="1">
        <v>0</v>
      </c>
      <c r="L665" s="1">
        <v>0</v>
      </c>
      <c r="M665" s="1">
        <v>0</v>
      </c>
      <c r="N665" s="1">
        <f t="shared" si="30"/>
        <v>0</v>
      </c>
      <c r="O665" s="9">
        <f t="shared" si="29"/>
        <v>0</v>
      </c>
      <c r="P665" s="1">
        <v>0</v>
      </c>
      <c r="Q665" s="1">
        <v>0</v>
      </c>
      <c r="R665" s="12">
        <v>42887</v>
      </c>
      <c r="S665" s="1">
        <v>544</v>
      </c>
      <c r="T665" s="9" t="s">
        <v>21</v>
      </c>
    </row>
    <row r="666" spans="1:20" x14ac:dyDescent="0.25">
      <c r="A666" s="10" t="s">
        <v>19</v>
      </c>
      <c r="B666" t="b">
        <v>0</v>
      </c>
      <c r="C666" t="b">
        <v>0</v>
      </c>
      <c r="D666" s="1">
        <v>0</v>
      </c>
      <c r="E666" s="1">
        <v>0</v>
      </c>
      <c r="F666" s="1">
        <v>0</v>
      </c>
      <c r="G666" s="1">
        <v>0</v>
      </c>
      <c r="H666" s="1">
        <v>545</v>
      </c>
      <c r="I666" s="1">
        <v>0</v>
      </c>
      <c r="J666" s="1">
        <f t="shared" si="28"/>
        <v>545</v>
      </c>
      <c r="K666" s="1">
        <v>0</v>
      </c>
      <c r="L666" s="1">
        <v>0</v>
      </c>
      <c r="M666" s="1">
        <v>0</v>
      </c>
      <c r="N666" s="1">
        <f t="shared" si="30"/>
        <v>0</v>
      </c>
      <c r="O666" s="9">
        <f t="shared" si="29"/>
        <v>0</v>
      </c>
      <c r="P666" s="1">
        <v>0</v>
      </c>
      <c r="Q666" s="1">
        <v>0</v>
      </c>
      <c r="R666" s="12">
        <v>42917</v>
      </c>
      <c r="S666" s="1">
        <v>545</v>
      </c>
      <c r="T666" s="9" t="s">
        <v>21</v>
      </c>
    </row>
    <row r="667" spans="1:20" x14ac:dyDescent="0.25">
      <c r="A667" s="10" t="s">
        <v>19</v>
      </c>
      <c r="B667" t="b">
        <v>0</v>
      </c>
      <c r="C667" t="b">
        <v>0</v>
      </c>
      <c r="D667" s="1">
        <v>0</v>
      </c>
      <c r="E667" s="1">
        <v>0</v>
      </c>
      <c r="F667" s="1">
        <v>0</v>
      </c>
      <c r="G667" s="1">
        <v>0</v>
      </c>
      <c r="H667" s="1">
        <v>646</v>
      </c>
      <c r="I667" s="1">
        <v>0</v>
      </c>
      <c r="J667" s="1">
        <f t="shared" ref="J667:J709" si="31">D667+E667+F667+G667+H667+I667</f>
        <v>646</v>
      </c>
      <c r="K667" s="1">
        <v>0</v>
      </c>
      <c r="L667" s="1">
        <v>0</v>
      </c>
      <c r="M667" s="1">
        <v>0</v>
      </c>
      <c r="N667" s="1">
        <f t="shared" si="30"/>
        <v>0</v>
      </c>
      <c r="O667" s="9">
        <f t="shared" ref="O667:O709" si="32">K667</f>
        <v>0</v>
      </c>
      <c r="P667" s="1">
        <v>0</v>
      </c>
      <c r="Q667" s="1">
        <v>0</v>
      </c>
      <c r="R667" s="12">
        <v>42948</v>
      </c>
      <c r="S667" s="1">
        <v>646</v>
      </c>
      <c r="T667" s="9" t="s">
        <v>21</v>
      </c>
    </row>
    <row r="668" spans="1:20" x14ac:dyDescent="0.25">
      <c r="A668" s="10" t="s">
        <v>19</v>
      </c>
      <c r="B668" t="b">
        <v>0</v>
      </c>
      <c r="C668" t="b">
        <v>0</v>
      </c>
      <c r="D668" s="1">
        <v>0</v>
      </c>
      <c r="E668" s="1">
        <v>0</v>
      </c>
      <c r="F668" s="1">
        <v>0</v>
      </c>
      <c r="G668" s="1">
        <v>604</v>
      </c>
      <c r="H668" s="1">
        <v>0</v>
      </c>
      <c r="I668" s="1">
        <v>0</v>
      </c>
      <c r="J668" s="1">
        <f t="shared" si="31"/>
        <v>604</v>
      </c>
      <c r="K668" s="1">
        <v>0</v>
      </c>
      <c r="L668" s="1">
        <v>0</v>
      </c>
      <c r="M668" s="1">
        <v>0</v>
      </c>
      <c r="N668" s="1">
        <f t="shared" si="30"/>
        <v>0</v>
      </c>
      <c r="O668" s="9">
        <f t="shared" si="32"/>
        <v>0</v>
      </c>
      <c r="P668" s="1">
        <v>0</v>
      </c>
      <c r="Q668" s="1">
        <v>0</v>
      </c>
      <c r="R668" s="12">
        <v>42979</v>
      </c>
      <c r="S668" s="1">
        <v>604</v>
      </c>
      <c r="T668" s="9" t="s">
        <v>21</v>
      </c>
    </row>
    <row r="669" spans="1:20" x14ac:dyDescent="0.25">
      <c r="A669" s="10" t="s">
        <v>19</v>
      </c>
      <c r="B669" t="b">
        <v>0</v>
      </c>
      <c r="C669" t="b">
        <v>0</v>
      </c>
      <c r="D669" s="1">
        <v>0</v>
      </c>
      <c r="E669" s="1">
        <v>0</v>
      </c>
      <c r="F669" s="1">
        <v>0</v>
      </c>
      <c r="G669" s="1">
        <v>0</v>
      </c>
      <c r="H669" s="1">
        <v>476</v>
      </c>
      <c r="I669" s="1">
        <v>0</v>
      </c>
      <c r="J669" s="1">
        <f t="shared" si="31"/>
        <v>476</v>
      </c>
      <c r="K669" s="1">
        <v>0</v>
      </c>
      <c r="L669" s="1">
        <v>0</v>
      </c>
      <c r="M669" s="1">
        <v>0</v>
      </c>
      <c r="N669" s="1">
        <f t="shared" si="30"/>
        <v>0</v>
      </c>
      <c r="O669" s="9">
        <f t="shared" si="32"/>
        <v>0</v>
      </c>
      <c r="P669" s="1">
        <v>0</v>
      </c>
      <c r="Q669" s="1">
        <v>0</v>
      </c>
      <c r="R669" s="12">
        <v>43009</v>
      </c>
      <c r="S669" s="1">
        <v>476</v>
      </c>
      <c r="T669" s="9" t="s">
        <v>21</v>
      </c>
    </row>
    <row r="670" spans="1:20" x14ac:dyDescent="0.25">
      <c r="A670" s="10" t="s">
        <v>19</v>
      </c>
      <c r="B670" t="b">
        <v>0</v>
      </c>
      <c r="C670" t="b">
        <v>0</v>
      </c>
      <c r="D670" s="1">
        <v>0</v>
      </c>
      <c r="E670" s="1">
        <v>0</v>
      </c>
      <c r="F670" s="1">
        <v>0</v>
      </c>
      <c r="G670" s="1">
        <v>0</v>
      </c>
      <c r="H670" s="1">
        <v>502</v>
      </c>
      <c r="I670" s="1">
        <v>0</v>
      </c>
      <c r="J670" s="1">
        <f t="shared" si="31"/>
        <v>502</v>
      </c>
      <c r="K670" s="1">
        <v>0</v>
      </c>
      <c r="L670" s="1">
        <v>0</v>
      </c>
      <c r="M670" s="1">
        <v>0</v>
      </c>
      <c r="N670" s="1">
        <f t="shared" si="30"/>
        <v>0</v>
      </c>
      <c r="O670" s="9">
        <f t="shared" si="32"/>
        <v>0</v>
      </c>
      <c r="P670" s="1">
        <v>0</v>
      </c>
      <c r="Q670" s="1">
        <v>0</v>
      </c>
      <c r="R670" s="12">
        <v>43040</v>
      </c>
      <c r="S670" s="1">
        <v>502</v>
      </c>
      <c r="T670" s="9" t="s">
        <v>21</v>
      </c>
    </row>
    <row r="671" spans="1:20" x14ac:dyDescent="0.25">
      <c r="A671" s="10" t="s">
        <v>19</v>
      </c>
      <c r="B671" t="b">
        <v>0</v>
      </c>
      <c r="C671" t="b">
        <v>0</v>
      </c>
      <c r="D671" s="1">
        <v>0</v>
      </c>
      <c r="E671" s="1">
        <v>0</v>
      </c>
      <c r="F671" s="1">
        <v>0</v>
      </c>
      <c r="G671" s="1">
        <v>0</v>
      </c>
      <c r="H671" s="1">
        <v>325</v>
      </c>
      <c r="I671" s="1">
        <v>0</v>
      </c>
      <c r="J671" s="1">
        <f t="shared" si="31"/>
        <v>325</v>
      </c>
      <c r="K671" s="1">
        <v>0</v>
      </c>
      <c r="L671" s="1">
        <v>0</v>
      </c>
      <c r="M671" s="1">
        <v>0</v>
      </c>
      <c r="N671" s="1">
        <f t="shared" si="30"/>
        <v>0</v>
      </c>
      <c r="O671" s="9">
        <f t="shared" si="32"/>
        <v>0</v>
      </c>
      <c r="P671" s="1">
        <v>0</v>
      </c>
      <c r="Q671" s="1">
        <v>0</v>
      </c>
      <c r="R671" s="12">
        <v>43070</v>
      </c>
      <c r="S671" s="1">
        <v>325</v>
      </c>
      <c r="T671" s="9" t="s">
        <v>21</v>
      </c>
    </row>
    <row r="672" spans="1:20" x14ac:dyDescent="0.25">
      <c r="A672" s="10" t="s">
        <v>19</v>
      </c>
      <c r="B672" t="b">
        <v>0</v>
      </c>
      <c r="C672" t="b">
        <v>0</v>
      </c>
      <c r="D672" s="1">
        <v>0</v>
      </c>
      <c r="E672" s="1">
        <v>0</v>
      </c>
      <c r="F672" s="1">
        <v>0</v>
      </c>
      <c r="G672" s="1">
        <v>0</v>
      </c>
      <c r="H672" s="1">
        <v>558</v>
      </c>
      <c r="I672" s="1">
        <v>0</v>
      </c>
      <c r="J672" s="1">
        <f t="shared" si="31"/>
        <v>558</v>
      </c>
      <c r="K672" s="1">
        <v>0</v>
      </c>
      <c r="L672" s="1">
        <v>0</v>
      </c>
      <c r="M672" s="1">
        <v>0</v>
      </c>
      <c r="N672" s="1">
        <f t="shared" si="30"/>
        <v>0</v>
      </c>
      <c r="O672" s="9">
        <f t="shared" si="32"/>
        <v>0</v>
      </c>
      <c r="P672" s="1">
        <v>0</v>
      </c>
      <c r="Q672" s="1">
        <v>0</v>
      </c>
      <c r="R672" s="12">
        <v>43101</v>
      </c>
      <c r="S672" s="1">
        <v>558</v>
      </c>
      <c r="T672" s="9" t="s">
        <v>21</v>
      </c>
    </row>
    <row r="673" spans="1:20" x14ac:dyDescent="0.25">
      <c r="A673" s="10" t="s">
        <v>19</v>
      </c>
      <c r="B673" t="b">
        <v>0</v>
      </c>
      <c r="C673" t="b">
        <v>0</v>
      </c>
      <c r="D673" s="1">
        <v>0</v>
      </c>
      <c r="E673" s="1">
        <v>0</v>
      </c>
      <c r="F673" s="1">
        <v>0</v>
      </c>
      <c r="G673" s="1">
        <v>0</v>
      </c>
      <c r="H673" s="1">
        <v>807</v>
      </c>
      <c r="I673" s="1">
        <v>0</v>
      </c>
      <c r="J673" s="1">
        <f t="shared" si="31"/>
        <v>807</v>
      </c>
      <c r="K673" s="1">
        <v>0</v>
      </c>
      <c r="L673" s="1">
        <v>0</v>
      </c>
      <c r="M673" s="1">
        <v>0</v>
      </c>
      <c r="N673" s="1">
        <f t="shared" si="30"/>
        <v>0</v>
      </c>
      <c r="O673" s="9">
        <f t="shared" si="32"/>
        <v>0</v>
      </c>
      <c r="P673" s="1">
        <v>0</v>
      </c>
      <c r="Q673" s="1">
        <v>0</v>
      </c>
      <c r="R673" s="12">
        <v>43132</v>
      </c>
      <c r="S673" s="1">
        <v>807</v>
      </c>
      <c r="T673" s="9" t="s">
        <v>21</v>
      </c>
    </row>
    <row r="674" spans="1:20" x14ac:dyDescent="0.25">
      <c r="A674" s="10" t="s">
        <v>19</v>
      </c>
      <c r="B674" t="b">
        <v>0</v>
      </c>
      <c r="C674" t="b">
        <v>0</v>
      </c>
      <c r="D674" s="1">
        <v>0</v>
      </c>
      <c r="E674" s="1">
        <v>0</v>
      </c>
      <c r="F674" s="1">
        <v>0</v>
      </c>
      <c r="G674" s="1">
        <v>0</v>
      </c>
      <c r="H674" s="1">
        <v>645</v>
      </c>
      <c r="I674" s="1">
        <v>0</v>
      </c>
      <c r="J674" s="1">
        <f t="shared" si="31"/>
        <v>645</v>
      </c>
      <c r="K674" s="1">
        <v>0</v>
      </c>
      <c r="L674" s="1">
        <v>0</v>
      </c>
      <c r="M674" s="1">
        <v>0</v>
      </c>
      <c r="N674" s="1">
        <f t="shared" si="30"/>
        <v>0</v>
      </c>
      <c r="O674" s="9">
        <f t="shared" si="32"/>
        <v>0</v>
      </c>
      <c r="P674" s="1">
        <v>0</v>
      </c>
      <c r="Q674" s="1">
        <v>0</v>
      </c>
      <c r="R674" s="12">
        <v>43160</v>
      </c>
      <c r="S674" s="1">
        <v>645</v>
      </c>
      <c r="T674" s="9" t="s">
        <v>21</v>
      </c>
    </row>
    <row r="675" spans="1:20" x14ac:dyDescent="0.25">
      <c r="A675" s="10" t="s">
        <v>19</v>
      </c>
      <c r="B675" t="b">
        <v>0</v>
      </c>
      <c r="C675" t="b">
        <v>0</v>
      </c>
      <c r="D675" s="1">
        <v>0</v>
      </c>
      <c r="E675" s="1">
        <v>0</v>
      </c>
      <c r="F675" s="1">
        <v>0</v>
      </c>
      <c r="G675" s="1">
        <v>0</v>
      </c>
      <c r="H675" s="1">
        <v>757</v>
      </c>
      <c r="I675" s="1">
        <v>0</v>
      </c>
      <c r="J675" s="1">
        <f t="shared" si="31"/>
        <v>757</v>
      </c>
      <c r="K675" s="1">
        <v>0</v>
      </c>
      <c r="L675" s="1">
        <v>0</v>
      </c>
      <c r="M675" s="1">
        <v>0</v>
      </c>
      <c r="N675" s="1">
        <f t="shared" si="30"/>
        <v>0</v>
      </c>
      <c r="O675" s="9">
        <f t="shared" si="32"/>
        <v>0</v>
      </c>
      <c r="P675" s="1">
        <v>0</v>
      </c>
      <c r="Q675" s="1">
        <v>0</v>
      </c>
      <c r="R675" s="12">
        <v>43191</v>
      </c>
      <c r="S675" s="1">
        <v>757</v>
      </c>
      <c r="T675" s="9" t="s">
        <v>21</v>
      </c>
    </row>
    <row r="676" spans="1:20" x14ac:dyDescent="0.25">
      <c r="A676" s="10" t="s">
        <v>19</v>
      </c>
      <c r="B676" t="b">
        <v>0</v>
      </c>
      <c r="C676" t="b">
        <v>0</v>
      </c>
      <c r="D676" s="1">
        <v>0</v>
      </c>
      <c r="E676" s="1">
        <v>0</v>
      </c>
      <c r="F676" s="1">
        <v>0</v>
      </c>
      <c r="G676" s="1">
        <v>0</v>
      </c>
      <c r="H676" s="1">
        <v>992</v>
      </c>
      <c r="I676" s="1">
        <v>0</v>
      </c>
      <c r="J676" s="1">
        <f t="shared" si="31"/>
        <v>992</v>
      </c>
      <c r="K676" s="1">
        <v>0</v>
      </c>
      <c r="L676" s="1">
        <v>0</v>
      </c>
      <c r="M676" s="1">
        <v>0</v>
      </c>
      <c r="N676" s="1">
        <f t="shared" si="30"/>
        <v>0</v>
      </c>
      <c r="O676" s="9">
        <f t="shared" si="32"/>
        <v>0</v>
      </c>
      <c r="P676" s="1">
        <v>0</v>
      </c>
      <c r="Q676" s="1">
        <v>0</v>
      </c>
      <c r="R676" s="12">
        <v>43221</v>
      </c>
      <c r="S676" s="1">
        <v>992</v>
      </c>
      <c r="T676" s="9" t="s">
        <v>21</v>
      </c>
    </row>
    <row r="677" spans="1:20" x14ac:dyDescent="0.25">
      <c r="A677" s="10" t="s">
        <v>19</v>
      </c>
      <c r="B677" t="b">
        <v>0</v>
      </c>
      <c r="C677" t="b">
        <v>0</v>
      </c>
      <c r="D677" s="1">
        <v>0</v>
      </c>
      <c r="E677" s="1">
        <v>0</v>
      </c>
      <c r="F677" s="1">
        <v>0</v>
      </c>
      <c r="G677" s="1">
        <v>0</v>
      </c>
      <c r="H677" s="1">
        <v>534</v>
      </c>
      <c r="I677" s="1">
        <v>0</v>
      </c>
      <c r="J677" s="1">
        <f t="shared" si="31"/>
        <v>534</v>
      </c>
      <c r="K677" s="1">
        <v>0</v>
      </c>
      <c r="L677" s="1">
        <v>0</v>
      </c>
      <c r="M677" s="1">
        <v>0</v>
      </c>
      <c r="N677" s="1">
        <f t="shared" si="30"/>
        <v>0</v>
      </c>
      <c r="O677" s="9">
        <f t="shared" si="32"/>
        <v>0</v>
      </c>
      <c r="P677" s="1">
        <v>0</v>
      </c>
      <c r="Q677" s="1">
        <v>0</v>
      </c>
      <c r="R677" s="12">
        <v>43252</v>
      </c>
      <c r="S677" s="1">
        <v>534</v>
      </c>
      <c r="T677" s="9" t="s">
        <v>21</v>
      </c>
    </row>
    <row r="678" spans="1:20" x14ac:dyDescent="0.25">
      <c r="A678" s="10" t="s">
        <v>19</v>
      </c>
      <c r="B678" t="b">
        <v>0</v>
      </c>
      <c r="C678" t="b">
        <v>0</v>
      </c>
      <c r="D678" s="1">
        <v>0</v>
      </c>
      <c r="E678" s="1">
        <v>0</v>
      </c>
      <c r="F678" s="1">
        <v>0</v>
      </c>
      <c r="G678" s="1">
        <v>0</v>
      </c>
      <c r="H678" s="1">
        <v>534</v>
      </c>
      <c r="I678" s="1">
        <v>0</v>
      </c>
      <c r="J678" s="1">
        <f t="shared" si="31"/>
        <v>534</v>
      </c>
      <c r="K678" s="1">
        <v>0</v>
      </c>
      <c r="L678" s="1">
        <v>0</v>
      </c>
      <c r="M678" s="1">
        <v>0</v>
      </c>
      <c r="N678" s="1">
        <f t="shared" si="30"/>
        <v>0</v>
      </c>
      <c r="O678" s="9">
        <f t="shared" si="32"/>
        <v>0</v>
      </c>
      <c r="P678" s="1">
        <v>0</v>
      </c>
      <c r="Q678" s="1">
        <v>0</v>
      </c>
      <c r="R678" s="12">
        <v>43282</v>
      </c>
      <c r="S678" s="1">
        <v>534</v>
      </c>
      <c r="T678" s="9" t="s">
        <v>21</v>
      </c>
    </row>
    <row r="679" spans="1:20" x14ac:dyDescent="0.25">
      <c r="A679" s="10" t="s">
        <v>19</v>
      </c>
      <c r="B679" t="b">
        <v>0</v>
      </c>
      <c r="C679" t="b">
        <v>0</v>
      </c>
      <c r="D679" s="1">
        <v>0</v>
      </c>
      <c r="E679" s="1">
        <v>0</v>
      </c>
      <c r="F679" s="1">
        <v>0</v>
      </c>
      <c r="G679" s="1">
        <v>0</v>
      </c>
      <c r="H679" s="1">
        <v>479</v>
      </c>
      <c r="I679" s="1">
        <v>0</v>
      </c>
      <c r="J679" s="1">
        <f t="shared" si="31"/>
        <v>479</v>
      </c>
      <c r="K679" s="1">
        <v>0</v>
      </c>
      <c r="L679" s="1">
        <v>0</v>
      </c>
      <c r="M679" s="1">
        <v>0</v>
      </c>
      <c r="N679" s="1">
        <f t="shared" si="30"/>
        <v>0</v>
      </c>
      <c r="O679" s="9">
        <f t="shared" si="32"/>
        <v>0</v>
      </c>
      <c r="P679" s="1">
        <v>0</v>
      </c>
      <c r="Q679" s="1">
        <v>0</v>
      </c>
      <c r="R679" s="12">
        <v>43313</v>
      </c>
      <c r="S679" s="1">
        <v>479</v>
      </c>
      <c r="T679" s="9" t="s">
        <v>21</v>
      </c>
    </row>
    <row r="680" spans="1:20" x14ac:dyDescent="0.25">
      <c r="A680" s="10" t="s">
        <v>19</v>
      </c>
      <c r="B680" t="b">
        <v>0</v>
      </c>
      <c r="C680" t="b">
        <v>0</v>
      </c>
      <c r="D680" s="1">
        <v>0</v>
      </c>
      <c r="E680" s="1">
        <v>0</v>
      </c>
      <c r="F680" s="1">
        <v>0</v>
      </c>
      <c r="G680" s="1">
        <v>601</v>
      </c>
      <c r="H680" s="1">
        <v>0</v>
      </c>
      <c r="I680" s="1">
        <v>0</v>
      </c>
      <c r="J680" s="1">
        <f t="shared" si="31"/>
        <v>601</v>
      </c>
      <c r="K680" s="1">
        <v>0</v>
      </c>
      <c r="L680" s="1">
        <v>0</v>
      </c>
      <c r="M680" s="1">
        <v>0</v>
      </c>
      <c r="N680" s="1">
        <f t="shared" si="30"/>
        <v>0</v>
      </c>
      <c r="O680" s="9">
        <f t="shared" si="32"/>
        <v>0</v>
      </c>
      <c r="P680" s="1">
        <v>0</v>
      </c>
      <c r="Q680" s="1">
        <v>0</v>
      </c>
      <c r="R680" s="12">
        <v>43344</v>
      </c>
      <c r="S680" s="1">
        <v>601</v>
      </c>
      <c r="T680" s="9" t="s">
        <v>21</v>
      </c>
    </row>
    <row r="681" spans="1:20" x14ac:dyDescent="0.25">
      <c r="A681" s="10" t="s">
        <v>19</v>
      </c>
      <c r="B681" t="b">
        <v>0</v>
      </c>
      <c r="C681" t="b">
        <v>0</v>
      </c>
      <c r="D681" s="1">
        <v>0</v>
      </c>
      <c r="E681" s="1">
        <v>0</v>
      </c>
      <c r="F681" s="1">
        <v>0</v>
      </c>
      <c r="G681" s="1">
        <v>0</v>
      </c>
      <c r="H681" s="1">
        <v>576</v>
      </c>
      <c r="I681" s="1">
        <v>0</v>
      </c>
      <c r="J681" s="1">
        <f t="shared" si="31"/>
        <v>576</v>
      </c>
      <c r="K681" s="1">
        <v>0</v>
      </c>
      <c r="L681" s="1">
        <v>0</v>
      </c>
      <c r="M681" s="1">
        <v>0</v>
      </c>
      <c r="N681" s="1">
        <f t="shared" si="30"/>
        <v>0</v>
      </c>
      <c r="O681" s="9">
        <f t="shared" si="32"/>
        <v>0</v>
      </c>
      <c r="P681" s="1">
        <v>0</v>
      </c>
      <c r="Q681" s="1">
        <v>0</v>
      </c>
      <c r="R681" s="12">
        <v>43374</v>
      </c>
      <c r="S681" s="1">
        <v>576</v>
      </c>
      <c r="T681" s="9" t="s">
        <v>21</v>
      </c>
    </row>
    <row r="682" spans="1:20" x14ac:dyDescent="0.25">
      <c r="A682" s="10" t="s">
        <v>19</v>
      </c>
      <c r="B682" t="b">
        <v>0</v>
      </c>
      <c r="C682" t="b">
        <v>0</v>
      </c>
      <c r="D682" s="1">
        <v>0</v>
      </c>
      <c r="E682" s="1">
        <v>0</v>
      </c>
      <c r="F682" s="1">
        <v>0</v>
      </c>
      <c r="G682" s="1">
        <v>0</v>
      </c>
      <c r="H682" s="1">
        <v>463</v>
      </c>
      <c r="I682" s="1">
        <v>0</v>
      </c>
      <c r="J682" s="1">
        <f t="shared" si="31"/>
        <v>463</v>
      </c>
      <c r="K682" s="1">
        <v>0</v>
      </c>
      <c r="L682" s="1">
        <v>0</v>
      </c>
      <c r="M682" s="1">
        <v>0</v>
      </c>
      <c r="N682" s="1">
        <f t="shared" si="30"/>
        <v>0</v>
      </c>
      <c r="O682" s="9">
        <f t="shared" si="32"/>
        <v>0</v>
      </c>
      <c r="P682" s="1">
        <v>0</v>
      </c>
      <c r="Q682" s="1">
        <v>0</v>
      </c>
      <c r="R682" s="12">
        <v>43405</v>
      </c>
      <c r="S682" s="1">
        <v>463</v>
      </c>
      <c r="T682" s="9" t="s">
        <v>21</v>
      </c>
    </row>
    <row r="683" spans="1:20" x14ac:dyDescent="0.25">
      <c r="A683" s="10" t="s">
        <v>19</v>
      </c>
      <c r="B683" t="b">
        <v>0</v>
      </c>
      <c r="C683" t="b">
        <v>0</v>
      </c>
      <c r="D683" s="1">
        <v>0</v>
      </c>
      <c r="E683" s="1">
        <v>0</v>
      </c>
      <c r="F683" s="1">
        <v>0</v>
      </c>
      <c r="G683" s="1">
        <v>0</v>
      </c>
      <c r="H683" s="1">
        <v>357</v>
      </c>
      <c r="I683" s="1">
        <v>0</v>
      </c>
      <c r="J683" s="1">
        <f t="shared" si="31"/>
        <v>357</v>
      </c>
      <c r="K683" s="1">
        <v>0</v>
      </c>
      <c r="L683" s="1">
        <v>0</v>
      </c>
      <c r="M683" s="1">
        <v>0</v>
      </c>
      <c r="N683" s="1">
        <f t="shared" si="30"/>
        <v>0</v>
      </c>
      <c r="O683" s="9">
        <f t="shared" si="32"/>
        <v>0</v>
      </c>
      <c r="P683" s="1">
        <v>0</v>
      </c>
      <c r="Q683" s="1">
        <v>0</v>
      </c>
      <c r="R683" s="12">
        <v>43435</v>
      </c>
      <c r="S683" s="1">
        <v>357</v>
      </c>
      <c r="T683" s="9" t="s">
        <v>21</v>
      </c>
    </row>
    <row r="684" spans="1:20" x14ac:dyDescent="0.25">
      <c r="A684" s="10" t="s">
        <v>19</v>
      </c>
      <c r="B684" t="b">
        <v>0</v>
      </c>
      <c r="C684" t="b">
        <v>0</v>
      </c>
      <c r="D684" s="1">
        <v>0</v>
      </c>
      <c r="E684" s="1">
        <v>0</v>
      </c>
      <c r="F684" s="1">
        <v>0</v>
      </c>
      <c r="G684" s="1">
        <v>0</v>
      </c>
      <c r="H684" s="1">
        <v>424</v>
      </c>
      <c r="I684" s="1">
        <v>0</v>
      </c>
      <c r="J684" s="1">
        <f t="shared" si="31"/>
        <v>424</v>
      </c>
      <c r="K684" s="1">
        <v>0</v>
      </c>
      <c r="L684" s="1">
        <v>0</v>
      </c>
      <c r="M684" s="1">
        <v>0</v>
      </c>
      <c r="N684" s="1">
        <f t="shared" si="30"/>
        <v>0</v>
      </c>
      <c r="O684" s="9">
        <f t="shared" si="32"/>
        <v>0</v>
      </c>
      <c r="P684" s="1">
        <v>0</v>
      </c>
      <c r="Q684" s="1">
        <v>0</v>
      </c>
      <c r="R684" s="12">
        <v>43466</v>
      </c>
      <c r="S684" s="1">
        <v>424</v>
      </c>
      <c r="T684" s="9" t="s">
        <v>21</v>
      </c>
    </row>
    <row r="685" spans="1:20" x14ac:dyDescent="0.25">
      <c r="A685" s="10" t="s">
        <v>19</v>
      </c>
      <c r="B685" t="b">
        <v>0</v>
      </c>
      <c r="C685" t="b">
        <v>0</v>
      </c>
      <c r="D685" s="1">
        <v>0</v>
      </c>
      <c r="E685" s="1">
        <v>0</v>
      </c>
      <c r="F685" s="1">
        <v>0</v>
      </c>
      <c r="G685" s="1">
        <v>0</v>
      </c>
      <c r="H685" s="1">
        <v>877</v>
      </c>
      <c r="I685" s="1">
        <v>0</v>
      </c>
      <c r="J685" s="1">
        <f t="shared" si="31"/>
        <v>877</v>
      </c>
      <c r="K685" s="1">
        <v>0</v>
      </c>
      <c r="L685" s="1">
        <v>0</v>
      </c>
      <c r="M685" s="1">
        <v>0</v>
      </c>
      <c r="N685" s="1">
        <f t="shared" si="30"/>
        <v>0</v>
      </c>
      <c r="O685" s="9">
        <f t="shared" si="32"/>
        <v>0</v>
      </c>
      <c r="P685" s="1">
        <v>0</v>
      </c>
      <c r="Q685" s="1">
        <v>0</v>
      </c>
      <c r="R685" s="12">
        <v>43497</v>
      </c>
      <c r="S685" s="1">
        <v>877</v>
      </c>
      <c r="T685" s="9" t="s">
        <v>21</v>
      </c>
    </row>
    <row r="686" spans="1:20" x14ac:dyDescent="0.25">
      <c r="A686" s="10" t="s">
        <v>19</v>
      </c>
      <c r="B686" t="b">
        <v>0</v>
      </c>
      <c r="C686" t="b">
        <v>0</v>
      </c>
      <c r="D686" s="1">
        <v>0</v>
      </c>
      <c r="E686" s="1">
        <v>0</v>
      </c>
      <c r="F686" s="1">
        <v>0</v>
      </c>
      <c r="G686" s="1">
        <v>0</v>
      </c>
      <c r="H686" s="1">
        <v>648</v>
      </c>
      <c r="I686" s="1">
        <v>0</v>
      </c>
      <c r="J686" s="1">
        <f t="shared" si="31"/>
        <v>648</v>
      </c>
      <c r="K686" s="1">
        <v>0</v>
      </c>
      <c r="L686" s="1">
        <v>0</v>
      </c>
      <c r="M686" s="1">
        <v>0</v>
      </c>
      <c r="N686" s="1">
        <f t="shared" si="30"/>
        <v>0</v>
      </c>
      <c r="O686" s="9">
        <f t="shared" si="32"/>
        <v>0</v>
      </c>
      <c r="P686" s="1">
        <v>0</v>
      </c>
      <c r="Q686" s="1">
        <v>0</v>
      </c>
      <c r="R686" s="12">
        <v>43525</v>
      </c>
      <c r="S686" s="1">
        <v>648</v>
      </c>
      <c r="T686" s="9" t="s">
        <v>21</v>
      </c>
    </row>
    <row r="687" spans="1:20" x14ac:dyDescent="0.25">
      <c r="A687" s="10" t="s">
        <v>19</v>
      </c>
      <c r="B687" t="b">
        <v>0</v>
      </c>
      <c r="C687" t="b">
        <v>0</v>
      </c>
      <c r="D687" s="1">
        <v>0</v>
      </c>
      <c r="E687" s="1">
        <v>0</v>
      </c>
      <c r="F687" s="1">
        <v>0</v>
      </c>
      <c r="G687" s="1">
        <v>0</v>
      </c>
      <c r="H687" s="1">
        <v>102</v>
      </c>
      <c r="I687" s="1">
        <v>0</v>
      </c>
      <c r="J687" s="1">
        <f t="shared" si="31"/>
        <v>102</v>
      </c>
      <c r="K687" s="1">
        <v>0</v>
      </c>
      <c r="L687" s="1">
        <v>0</v>
      </c>
      <c r="M687" s="1">
        <v>0</v>
      </c>
      <c r="N687" s="1">
        <f t="shared" si="30"/>
        <v>0</v>
      </c>
      <c r="O687" s="9">
        <f t="shared" si="32"/>
        <v>0</v>
      </c>
      <c r="P687" s="1">
        <v>0</v>
      </c>
      <c r="Q687" s="1">
        <v>0</v>
      </c>
      <c r="R687" s="12">
        <v>43556</v>
      </c>
      <c r="S687" s="1">
        <v>102</v>
      </c>
      <c r="T687" s="9" t="s">
        <v>21</v>
      </c>
    </row>
    <row r="688" spans="1:20" x14ac:dyDescent="0.25">
      <c r="A688" s="10" t="s">
        <v>19</v>
      </c>
      <c r="B688" t="b">
        <v>0</v>
      </c>
      <c r="C688" t="b">
        <v>0</v>
      </c>
      <c r="D688" s="1">
        <v>0</v>
      </c>
      <c r="E688" s="1">
        <v>0</v>
      </c>
      <c r="F688" s="1">
        <v>0</v>
      </c>
      <c r="G688" s="1">
        <v>0</v>
      </c>
      <c r="H688" s="1">
        <v>123</v>
      </c>
      <c r="I688" s="1">
        <v>0</v>
      </c>
      <c r="J688" s="1">
        <f t="shared" si="31"/>
        <v>123</v>
      </c>
      <c r="K688" s="1">
        <v>0</v>
      </c>
      <c r="L688" s="1">
        <v>0</v>
      </c>
      <c r="M688" s="1">
        <v>0</v>
      </c>
      <c r="N688" s="1">
        <f t="shared" si="30"/>
        <v>0</v>
      </c>
      <c r="O688" s="9">
        <f t="shared" si="32"/>
        <v>0</v>
      </c>
      <c r="P688" s="1">
        <v>0</v>
      </c>
      <c r="Q688" s="1">
        <v>0</v>
      </c>
      <c r="R688" s="12">
        <v>43586</v>
      </c>
      <c r="S688" s="1">
        <v>123</v>
      </c>
      <c r="T688" s="9" t="s">
        <v>21</v>
      </c>
    </row>
    <row r="689" spans="1:20" x14ac:dyDescent="0.25">
      <c r="A689" s="10" t="s">
        <v>19</v>
      </c>
      <c r="B689" t="b">
        <v>0</v>
      </c>
      <c r="C689" t="b">
        <v>0</v>
      </c>
      <c r="D689" s="1">
        <v>0</v>
      </c>
      <c r="E689" s="1">
        <v>0</v>
      </c>
      <c r="F689" s="1">
        <v>0</v>
      </c>
      <c r="G689" s="1">
        <v>0</v>
      </c>
      <c r="H689" s="1">
        <v>709</v>
      </c>
      <c r="I689" s="1">
        <v>0</v>
      </c>
      <c r="J689" s="1">
        <f t="shared" si="31"/>
        <v>709</v>
      </c>
      <c r="K689" s="1">
        <v>0</v>
      </c>
      <c r="L689" s="1">
        <v>0</v>
      </c>
      <c r="M689" s="1">
        <v>0</v>
      </c>
      <c r="N689" s="1">
        <f t="shared" si="30"/>
        <v>0</v>
      </c>
      <c r="O689" s="9">
        <f t="shared" si="32"/>
        <v>0</v>
      </c>
      <c r="P689" s="1">
        <v>0</v>
      </c>
      <c r="Q689" s="1">
        <v>0</v>
      </c>
      <c r="R689" s="12">
        <v>43617</v>
      </c>
      <c r="S689" s="1">
        <v>709</v>
      </c>
      <c r="T689" s="9" t="s">
        <v>21</v>
      </c>
    </row>
    <row r="690" spans="1:20" x14ac:dyDescent="0.25">
      <c r="A690" s="10" t="s">
        <v>19</v>
      </c>
      <c r="B690" t="b">
        <v>0</v>
      </c>
      <c r="C690" t="b">
        <v>0</v>
      </c>
      <c r="D690" s="1">
        <v>0</v>
      </c>
      <c r="E690" s="1">
        <v>0</v>
      </c>
      <c r="F690" s="1">
        <v>0</v>
      </c>
      <c r="G690" s="1">
        <v>0</v>
      </c>
      <c r="H690" s="1">
        <v>791</v>
      </c>
      <c r="I690" s="1">
        <v>0</v>
      </c>
      <c r="J690" s="1">
        <f t="shared" si="31"/>
        <v>791</v>
      </c>
      <c r="K690" s="1">
        <v>0</v>
      </c>
      <c r="L690" s="1">
        <v>0</v>
      </c>
      <c r="M690" s="1">
        <v>0</v>
      </c>
      <c r="N690" s="1">
        <f t="shared" si="30"/>
        <v>0</v>
      </c>
      <c r="O690" s="9">
        <f t="shared" si="32"/>
        <v>0</v>
      </c>
      <c r="P690" s="1">
        <v>0</v>
      </c>
      <c r="Q690" s="1">
        <v>0</v>
      </c>
      <c r="R690" s="12">
        <v>43647</v>
      </c>
      <c r="S690" s="1">
        <v>791</v>
      </c>
      <c r="T690" s="9" t="s">
        <v>21</v>
      </c>
    </row>
    <row r="691" spans="1:20" x14ac:dyDescent="0.25">
      <c r="A691" s="10" t="s">
        <v>19</v>
      </c>
      <c r="B691" t="b">
        <v>0</v>
      </c>
      <c r="C691" t="b">
        <v>0</v>
      </c>
      <c r="D691" s="1">
        <v>0</v>
      </c>
      <c r="E691" s="1">
        <v>0</v>
      </c>
      <c r="F691" s="1">
        <v>0</v>
      </c>
      <c r="G691" s="1">
        <v>0</v>
      </c>
      <c r="H691" s="1">
        <v>209</v>
      </c>
      <c r="I691" s="1">
        <v>0</v>
      </c>
      <c r="J691" s="1">
        <f t="shared" si="31"/>
        <v>209</v>
      </c>
      <c r="K691" s="1">
        <v>0</v>
      </c>
      <c r="L691" s="1">
        <v>0</v>
      </c>
      <c r="M691" s="1">
        <v>0</v>
      </c>
      <c r="N691" s="1">
        <f t="shared" si="30"/>
        <v>0</v>
      </c>
      <c r="O691" s="9">
        <f t="shared" si="32"/>
        <v>0</v>
      </c>
      <c r="P691" s="1">
        <v>0</v>
      </c>
      <c r="Q691" s="1">
        <v>0</v>
      </c>
      <c r="R691" s="12">
        <v>43678</v>
      </c>
      <c r="S691" s="1">
        <v>209</v>
      </c>
      <c r="T691" s="9" t="s">
        <v>21</v>
      </c>
    </row>
    <row r="692" spans="1:20" x14ac:dyDescent="0.25">
      <c r="A692" s="10" t="s">
        <v>19</v>
      </c>
      <c r="B692" t="b">
        <v>0</v>
      </c>
      <c r="C692" t="b">
        <v>0</v>
      </c>
      <c r="D692" s="1">
        <v>0</v>
      </c>
      <c r="E692" s="1">
        <v>0</v>
      </c>
      <c r="F692" s="1">
        <v>0</v>
      </c>
      <c r="G692" s="1">
        <v>725</v>
      </c>
      <c r="H692" s="1">
        <v>0</v>
      </c>
      <c r="I692" s="1">
        <v>0</v>
      </c>
      <c r="J692" s="1">
        <f t="shared" si="31"/>
        <v>725</v>
      </c>
      <c r="K692" s="1">
        <v>0</v>
      </c>
      <c r="L692" s="1">
        <v>0</v>
      </c>
      <c r="M692" s="1">
        <v>0</v>
      </c>
      <c r="N692" s="1">
        <f t="shared" si="30"/>
        <v>0</v>
      </c>
      <c r="O692" s="9">
        <f t="shared" si="32"/>
        <v>0</v>
      </c>
      <c r="P692" s="1">
        <v>0</v>
      </c>
      <c r="Q692" s="1">
        <v>0</v>
      </c>
      <c r="R692" s="12">
        <v>43709</v>
      </c>
      <c r="S692" s="1">
        <v>725</v>
      </c>
      <c r="T692" s="9" t="s">
        <v>21</v>
      </c>
    </row>
    <row r="693" spans="1:20" x14ac:dyDescent="0.25">
      <c r="A693" s="10" t="s">
        <v>19</v>
      </c>
      <c r="B693" t="b">
        <v>0</v>
      </c>
      <c r="C693" t="b">
        <v>0</v>
      </c>
      <c r="D693" s="1">
        <v>0</v>
      </c>
      <c r="E693" s="1">
        <v>0</v>
      </c>
      <c r="F693" s="1">
        <v>0</v>
      </c>
      <c r="G693" s="1">
        <v>0</v>
      </c>
      <c r="H693" s="1">
        <v>295</v>
      </c>
      <c r="I693" s="1">
        <v>0</v>
      </c>
      <c r="J693" s="1">
        <f t="shared" si="31"/>
        <v>295</v>
      </c>
      <c r="K693" s="1">
        <v>0</v>
      </c>
      <c r="L693" s="1">
        <v>0</v>
      </c>
      <c r="M693" s="1">
        <v>0</v>
      </c>
      <c r="N693" s="1">
        <f t="shared" si="30"/>
        <v>0</v>
      </c>
      <c r="O693" s="9">
        <f t="shared" si="32"/>
        <v>0</v>
      </c>
      <c r="P693" s="1">
        <v>0</v>
      </c>
      <c r="Q693" s="1">
        <v>0</v>
      </c>
      <c r="R693" s="12">
        <v>43739</v>
      </c>
      <c r="S693" s="1">
        <v>295</v>
      </c>
      <c r="T693" s="9" t="s">
        <v>21</v>
      </c>
    </row>
    <row r="694" spans="1:20" x14ac:dyDescent="0.25">
      <c r="A694" s="10" t="s">
        <v>19</v>
      </c>
      <c r="B694" t="b">
        <v>0</v>
      </c>
      <c r="C694" t="b">
        <v>0</v>
      </c>
      <c r="D694" s="1">
        <v>0</v>
      </c>
      <c r="E694" s="1">
        <v>0</v>
      </c>
      <c r="F694" s="1">
        <v>0</v>
      </c>
      <c r="G694" s="1">
        <v>0</v>
      </c>
      <c r="H694" s="1">
        <v>290</v>
      </c>
      <c r="I694" s="1">
        <v>0</v>
      </c>
      <c r="J694" s="1">
        <f t="shared" si="31"/>
        <v>290</v>
      </c>
      <c r="K694" s="1">
        <v>0</v>
      </c>
      <c r="L694" s="1">
        <v>0</v>
      </c>
      <c r="M694" s="1">
        <v>0</v>
      </c>
      <c r="N694" s="1">
        <f t="shared" ref="N694:N736" si="33">K694+L694+M694</f>
        <v>0</v>
      </c>
      <c r="O694" s="9">
        <f t="shared" si="32"/>
        <v>0</v>
      </c>
      <c r="P694" s="1">
        <v>0</v>
      </c>
      <c r="Q694" s="1">
        <v>0</v>
      </c>
      <c r="R694" s="12">
        <v>43770</v>
      </c>
      <c r="S694" s="1">
        <v>290</v>
      </c>
      <c r="T694" s="9" t="s">
        <v>21</v>
      </c>
    </row>
    <row r="695" spans="1:20" x14ac:dyDescent="0.25">
      <c r="A695" s="10" t="s">
        <v>19</v>
      </c>
      <c r="B695" t="b">
        <v>0</v>
      </c>
      <c r="C695" t="b">
        <v>0</v>
      </c>
      <c r="D695" s="1">
        <v>0</v>
      </c>
      <c r="E695" s="1">
        <v>0</v>
      </c>
      <c r="F695" s="1">
        <v>0</v>
      </c>
      <c r="G695" s="1">
        <v>0</v>
      </c>
      <c r="H695" s="1">
        <v>231</v>
      </c>
      <c r="I695" s="1">
        <v>0</v>
      </c>
      <c r="J695" s="1">
        <f t="shared" si="31"/>
        <v>231</v>
      </c>
      <c r="K695" s="1">
        <v>0</v>
      </c>
      <c r="L695" s="1">
        <v>0</v>
      </c>
      <c r="M695" s="1">
        <v>0</v>
      </c>
      <c r="N695" s="1">
        <f t="shared" si="33"/>
        <v>0</v>
      </c>
      <c r="O695" s="9">
        <f t="shared" si="32"/>
        <v>0</v>
      </c>
      <c r="P695" s="1">
        <v>0</v>
      </c>
      <c r="Q695" s="1">
        <v>0</v>
      </c>
      <c r="R695" s="12">
        <v>43800</v>
      </c>
      <c r="S695" s="1">
        <v>231</v>
      </c>
      <c r="T695" s="9" t="s">
        <v>21</v>
      </c>
    </row>
    <row r="696" spans="1:20" x14ac:dyDescent="0.25">
      <c r="A696" s="10" t="s">
        <v>19</v>
      </c>
      <c r="B696" t="b">
        <v>0</v>
      </c>
      <c r="C696" t="b">
        <v>0</v>
      </c>
      <c r="D696" s="1">
        <v>0</v>
      </c>
      <c r="E696" s="1">
        <v>0</v>
      </c>
      <c r="F696" s="1">
        <v>0</v>
      </c>
      <c r="G696" s="1">
        <v>0</v>
      </c>
      <c r="H696" s="1">
        <v>332</v>
      </c>
      <c r="I696" s="1">
        <v>0</v>
      </c>
      <c r="J696" s="1">
        <f t="shared" si="31"/>
        <v>332</v>
      </c>
      <c r="K696" s="1">
        <v>0</v>
      </c>
      <c r="L696" s="1">
        <v>0</v>
      </c>
      <c r="M696" s="1">
        <v>0</v>
      </c>
      <c r="N696" s="1">
        <f t="shared" si="33"/>
        <v>0</v>
      </c>
      <c r="O696" s="9">
        <f t="shared" si="32"/>
        <v>0</v>
      </c>
      <c r="P696" s="1">
        <v>0</v>
      </c>
      <c r="Q696" s="1">
        <v>0</v>
      </c>
      <c r="R696" s="12">
        <v>43831</v>
      </c>
      <c r="S696" s="1">
        <v>332</v>
      </c>
      <c r="T696" s="9" t="s">
        <v>21</v>
      </c>
    </row>
    <row r="697" spans="1:20" x14ac:dyDescent="0.25">
      <c r="A697" s="10" t="s">
        <v>19</v>
      </c>
      <c r="B697" t="b">
        <v>0</v>
      </c>
      <c r="C697" t="b">
        <v>0</v>
      </c>
      <c r="D697" s="1">
        <v>0</v>
      </c>
      <c r="E697" s="1">
        <v>0</v>
      </c>
      <c r="F697" s="1">
        <v>0</v>
      </c>
      <c r="G697" s="1">
        <v>0</v>
      </c>
      <c r="H697" s="1">
        <v>257</v>
      </c>
      <c r="I697" s="1">
        <v>0</v>
      </c>
      <c r="J697" s="1">
        <f t="shared" si="31"/>
        <v>257</v>
      </c>
      <c r="K697" s="1">
        <v>0</v>
      </c>
      <c r="L697" s="1">
        <v>0</v>
      </c>
      <c r="M697" s="1">
        <v>0</v>
      </c>
      <c r="N697" s="1">
        <f t="shared" si="33"/>
        <v>0</v>
      </c>
      <c r="O697" s="9">
        <f t="shared" si="32"/>
        <v>0</v>
      </c>
      <c r="P697" s="1">
        <v>0</v>
      </c>
      <c r="Q697" s="1">
        <v>0</v>
      </c>
      <c r="R697" s="12">
        <v>43862</v>
      </c>
      <c r="S697" s="1">
        <v>257</v>
      </c>
      <c r="T697" s="9" t="s">
        <v>21</v>
      </c>
    </row>
    <row r="698" spans="1:20" x14ac:dyDescent="0.25">
      <c r="A698" s="10" t="s">
        <v>19</v>
      </c>
      <c r="B698" t="b">
        <v>0</v>
      </c>
      <c r="C698" t="b">
        <v>0</v>
      </c>
      <c r="D698" s="1">
        <v>0</v>
      </c>
      <c r="E698" s="1">
        <v>0</v>
      </c>
      <c r="F698" s="1">
        <v>0</v>
      </c>
      <c r="G698" s="1">
        <v>0</v>
      </c>
      <c r="H698" s="1">
        <v>277</v>
      </c>
      <c r="I698" s="1">
        <v>0</v>
      </c>
      <c r="J698" s="1">
        <f t="shared" si="31"/>
        <v>277</v>
      </c>
      <c r="K698" s="1">
        <v>0</v>
      </c>
      <c r="L698" s="1">
        <v>0</v>
      </c>
      <c r="M698" s="1">
        <v>0</v>
      </c>
      <c r="N698" s="1">
        <f t="shared" si="33"/>
        <v>0</v>
      </c>
      <c r="O698" s="9">
        <f t="shared" si="32"/>
        <v>0</v>
      </c>
      <c r="P698" s="1">
        <v>0</v>
      </c>
      <c r="Q698" s="1">
        <v>0</v>
      </c>
      <c r="R698" s="12">
        <v>43891</v>
      </c>
      <c r="S698" s="1">
        <v>277</v>
      </c>
      <c r="T698" s="9" t="s">
        <v>21</v>
      </c>
    </row>
    <row r="699" spans="1:20" x14ac:dyDescent="0.25">
      <c r="A699" s="10" t="s">
        <v>19</v>
      </c>
      <c r="B699" t="b">
        <v>0</v>
      </c>
      <c r="C699" t="b">
        <v>0</v>
      </c>
      <c r="D699" s="1">
        <v>0</v>
      </c>
      <c r="E699" s="1">
        <v>0</v>
      </c>
      <c r="F699" s="1">
        <v>0</v>
      </c>
      <c r="G699" s="1">
        <v>0</v>
      </c>
      <c r="H699" s="1">
        <v>216</v>
      </c>
      <c r="I699" s="1">
        <v>0</v>
      </c>
      <c r="J699" s="1">
        <f t="shared" si="31"/>
        <v>216</v>
      </c>
      <c r="K699" s="1">
        <v>0</v>
      </c>
      <c r="L699" s="1">
        <v>0</v>
      </c>
      <c r="M699" s="1">
        <v>0</v>
      </c>
      <c r="N699" s="1">
        <f t="shared" si="33"/>
        <v>0</v>
      </c>
      <c r="O699" s="9">
        <f t="shared" si="32"/>
        <v>0</v>
      </c>
      <c r="P699" s="1">
        <v>0</v>
      </c>
      <c r="Q699" s="1">
        <v>0</v>
      </c>
      <c r="R699" s="12">
        <v>43922</v>
      </c>
      <c r="S699" s="1">
        <v>216</v>
      </c>
      <c r="T699" s="9" t="s">
        <v>21</v>
      </c>
    </row>
    <row r="700" spans="1:20" x14ac:dyDescent="0.25">
      <c r="A700" s="10" t="s">
        <v>19</v>
      </c>
      <c r="B700" t="b">
        <v>0</v>
      </c>
      <c r="C700" t="b">
        <v>0</v>
      </c>
      <c r="D700" s="1">
        <v>0</v>
      </c>
      <c r="E700" s="1">
        <v>0</v>
      </c>
      <c r="F700" s="1">
        <v>0</v>
      </c>
      <c r="G700" s="1">
        <v>0</v>
      </c>
      <c r="H700" s="1">
        <v>273</v>
      </c>
      <c r="I700" s="1">
        <v>0</v>
      </c>
      <c r="J700" s="1">
        <f t="shared" si="31"/>
        <v>273</v>
      </c>
      <c r="K700" s="1">
        <v>0</v>
      </c>
      <c r="L700" s="1">
        <v>0</v>
      </c>
      <c r="M700" s="1">
        <v>0</v>
      </c>
      <c r="N700" s="1">
        <f t="shared" si="33"/>
        <v>0</v>
      </c>
      <c r="O700" s="9">
        <f t="shared" si="32"/>
        <v>0</v>
      </c>
      <c r="P700" s="1">
        <v>0</v>
      </c>
      <c r="Q700" s="1">
        <v>0</v>
      </c>
      <c r="R700" s="12">
        <v>43952</v>
      </c>
      <c r="S700" s="1">
        <v>273</v>
      </c>
      <c r="T700" s="9" t="s">
        <v>21</v>
      </c>
    </row>
    <row r="701" spans="1:20" x14ac:dyDescent="0.25">
      <c r="A701" s="10" t="s">
        <v>19</v>
      </c>
      <c r="B701" t="b">
        <v>0</v>
      </c>
      <c r="C701" t="b">
        <v>0</v>
      </c>
      <c r="D701" s="1">
        <v>0</v>
      </c>
      <c r="E701" s="1">
        <v>0</v>
      </c>
      <c r="F701" s="1">
        <v>0</v>
      </c>
      <c r="G701" s="1">
        <v>0</v>
      </c>
      <c r="H701" s="1">
        <v>255</v>
      </c>
      <c r="I701" s="1">
        <v>0</v>
      </c>
      <c r="J701" s="1">
        <f t="shared" si="31"/>
        <v>255</v>
      </c>
      <c r="K701" s="1">
        <v>0</v>
      </c>
      <c r="L701" s="1">
        <v>0</v>
      </c>
      <c r="M701" s="1">
        <v>0</v>
      </c>
      <c r="N701" s="1">
        <f t="shared" si="33"/>
        <v>0</v>
      </c>
      <c r="O701" s="9">
        <f t="shared" si="32"/>
        <v>0</v>
      </c>
      <c r="P701" s="1">
        <v>0</v>
      </c>
      <c r="Q701" s="1">
        <v>0</v>
      </c>
      <c r="R701" s="12">
        <v>43983</v>
      </c>
      <c r="S701" s="1">
        <v>255</v>
      </c>
      <c r="T701" s="9" t="s">
        <v>21</v>
      </c>
    </row>
    <row r="702" spans="1:20" x14ac:dyDescent="0.25">
      <c r="A702" s="10" t="s">
        <v>19</v>
      </c>
      <c r="B702" t="b">
        <v>0</v>
      </c>
      <c r="C702" t="b">
        <v>0</v>
      </c>
      <c r="D702" s="1">
        <v>0</v>
      </c>
      <c r="E702" s="1">
        <v>0</v>
      </c>
      <c r="F702" s="1">
        <v>0</v>
      </c>
      <c r="G702" s="1">
        <v>0</v>
      </c>
      <c r="H702" s="1">
        <v>301</v>
      </c>
      <c r="I702" s="1">
        <v>0</v>
      </c>
      <c r="J702" s="1">
        <f t="shared" si="31"/>
        <v>301</v>
      </c>
      <c r="K702" s="1">
        <v>0</v>
      </c>
      <c r="L702" s="1">
        <v>0</v>
      </c>
      <c r="M702" s="1">
        <v>0</v>
      </c>
      <c r="N702" s="1">
        <f t="shared" si="33"/>
        <v>0</v>
      </c>
      <c r="O702" s="9">
        <f t="shared" si="32"/>
        <v>0</v>
      </c>
      <c r="P702" s="1">
        <v>0</v>
      </c>
      <c r="Q702" s="1">
        <v>0</v>
      </c>
      <c r="R702" s="12">
        <v>44013</v>
      </c>
      <c r="S702" s="1">
        <v>301</v>
      </c>
      <c r="T702" s="9" t="s">
        <v>21</v>
      </c>
    </row>
    <row r="703" spans="1:20" x14ac:dyDescent="0.25">
      <c r="A703" s="10" t="s">
        <v>19</v>
      </c>
      <c r="B703" t="b">
        <v>0</v>
      </c>
      <c r="C703" t="b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f t="shared" si="31"/>
        <v>0</v>
      </c>
      <c r="K703" s="1">
        <v>0</v>
      </c>
      <c r="L703" s="1">
        <v>0</v>
      </c>
      <c r="M703" s="1">
        <v>0</v>
      </c>
      <c r="N703" s="1">
        <f t="shared" si="33"/>
        <v>0</v>
      </c>
      <c r="O703" s="9">
        <f t="shared" si="32"/>
        <v>0</v>
      </c>
      <c r="P703" s="1">
        <v>0</v>
      </c>
      <c r="Q703" s="1">
        <v>0</v>
      </c>
      <c r="R703" s="12">
        <v>44013</v>
      </c>
      <c r="S703" s="1">
        <v>0</v>
      </c>
      <c r="T703" s="9" t="s">
        <v>21</v>
      </c>
    </row>
    <row r="704" spans="1:20" x14ac:dyDescent="0.25">
      <c r="A704" s="10" t="s">
        <v>19</v>
      </c>
      <c r="B704" t="b">
        <v>0</v>
      </c>
      <c r="C704" t="b">
        <v>0</v>
      </c>
      <c r="D704" s="1">
        <v>0</v>
      </c>
      <c r="E704" s="1">
        <v>0</v>
      </c>
      <c r="F704" s="1">
        <v>0</v>
      </c>
      <c r="G704" s="1">
        <v>0</v>
      </c>
      <c r="H704" s="1">
        <v>313</v>
      </c>
      <c r="I704" s="1">
        <v>0</v>
      </c>
      <c r="J704" s="1">
        <f t="shared" si="31"/>
        <v>313</v>
      </c>
      <c r="K704" s="1">
        <v>0</v>
      </c>
      <c r="L704" s="1">
        <v>0</v>
      </c>
      <c r="M704" s="1">
        <v>0</v>
      </c>
      <c r="N704" s="1">
        <f t="shared" si="33"/>
        <v>0</v>
      </c>
      <c r="O704" s="9">
        <f t="shared" si="32"/>
        <v>0</v>
      </c>
      <c r="P704" s="1">
        <v>0</v>
      </c>
      <c r="Q704" s="1">
        <v>0</v>
      </c>
      <c r="R704" s="12">
        <v>44044</v>
      </c>
      <c r="S704" s="1">
        <v>313</v>
      </c>
      <c r="T704" s="9" t="s">
        <v>21</v>
      </c>
    </row>
    <row r="705" spans="1:20" x14ac:dyDescent="0.25">
      <c r="A705" s="10" t="s">
        <v>19</v>
      </c>
      <c r="B705" t="b">
        <v>0</v>
      </c>
      <c r="C705" t="b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f t="shared" si="31"/>
        <v>0</v>
      </c>
      <c r="K705" s="1">
        <v>0</v>
      </c>
      <c r="L705" s="1">
        <v>0</v>
      </c>
      <c r="M705" s="1">
        <v>0</v>
      </c>
      <c r="N705" s="1">
        <f t="shared" si="33"/>
        <v>0</v>
      </c>
      <c r="O705" s="9">
        <f t="shared" si="32"/>
        <v>0</v>
      </c>
      <c r="P705" s="1">
        <v>0</v>
      </c>
      <c r="Q705" s="1">
        <v>0</v>
      </c>
      <c r="R705" s="12">
        <v>44044</v>
      </c>
      <c r="S705" s="1">
        <v>0</v>
      </c>
      <c r="T705" s="9" t="s">
        <v>21</v>
      </c>
    </row>
    <row r="706" spans="1:20" x14ac:dyDescent="0.25">
      <c r="A706" s="10" t="s">
        <v>19</v>
      </c>
      <c r="B706" t="b">
        <v>0</v>
      </c>
      <c r="C706" t="b">
        <v>0</v>
      </c>
      <c r="D706" s="1">
        <v>0</v>
      </c>
      <c r="E706" s="1">
        <v>0</v>
      </c>
      <c r="F706" s="1">
        <v>0</v>
      </c>
      <c r="G706" s="1">
        <v>0</v>
      </c>
      <c r="H706" s="1">
        <v>294</v>
      </c>
      <c r="I706" s="1">
        <v>0</v>
      </c>
      <c r="J706" s="1">
        <f t="shared" si="31"/>
        <v>294</v>
      </c>
      <c r="K706" s="1">
        <v>0</v>
      </c>
      <c r="L706" s="1">
        <v>0</v>
      </c>
      <c r="M706" s="1">
        <v>0</v>
      </c>
      <c r="N706" s="1">
        <f t="shared" si="33"/>
        <v>0</v>
      </c>
      <c r="O706" s="9">
        <f t="shared" si="32"/>
        <v>0</v>
      </c>
      <c r="P706" s="1">
        <v>0</v>
      </c>
      <c r="Q706" s="1">
        <v>0</v>
      </c>
      <c r="R706" s="12">
        <v>44075</v>
      </c>
      <c r="S706" s="1">
        <v>294</v>
      </c>
      <c r="T706" s="9" t="s">
        <v>21</v>
      </c>
    </row>
    <row r="707" spans="1:20" x14ac:dyDescent="0.25">
      <c r="A707" s="10" t="s">
        <v>19</v>
      </c>
      <c r="B707" t="b">
        <v>0</v>
      </c>
      <c r="C707" t="b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f t="shared" si="31"/>
        <v>0</v>
      </c>
      <c r="K707" s="1">
        <v>0</v>
      </c>
      <c r="L707" s="1">
        <v>0</v>
      </c>
      <c r="M707" s="1">
        <v>0</v>
      </c>
      <c r="N707" s="1">
        <f t="shared" si="33"/>
        <v>0</v>
      </c>
      <c r="O707" s="9">
        <f t="shared" si="32"/>
        <v>0</v>
      </c>
      <c r="P707" s="1">
        <v>0</v>
      </c>
      <c r="Q707" s="1">
        <v>0</v>
      </c>
      <c r="R707" s="12">
        <v>44105</v>
      </c>
      <c r="S707" s="1">
        <v>0</v>
      </c>
      <c r="T707" s="9" t="s">
        <v>21</v>
      </c>
    </row>
    <row r="708" spans="1:20" x14ac:dyDescent="0.25">
      <c r="A708" s="10" t="s">
        <v>19</v>
      </c>
      <c r="B708" t="b">
        <v>0</v>
      </c>
      <c r="C708" t="b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f t="shared" si="31"/>
        <v>0</v>
      </c>
      <c r="K708" s="1">
        <v>0</v>
      </c>
      <c r="L708" s="1">
        <v>0</v>
      </c>
      <c r="M708" s="1">
        <v>0</v>
      </c>
      <c r="N708" s="1">
        <f t="shared" si="33"/>
        <v>0</v>
      </c>
      <c r="O708" s="9">
        <f t="shared" si="32"/>
        <v>0</v>
      </c>
      <c r="P708" s="1">
        <v>0</v>
      </c>
      <c r="Q708" s="1">
        <v>0</v>
      </c>
      <c r="R708" s="12">
        <v>44136</v>
      </c>
      <c r="S708" s="1">
        <v>0</v>
      </c>
      <c r="T708" s="9" t="s">
        <v>21</v>
      </c>
    </row>
    <row r="709" spans="1:20" x14ac:dyDescent="0.25">
      <c r="A709" s="10" t="s">
        <v>19</v>
      </c>
      <c r="B709" t="b">
        <v>0</v>
      </c>
      <c r="C709" t="b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f t="shared" si="31"/>
        <v>0</v>
      </c>
      <c r="K709" s="1">
        <v>0</v>
      </c>
      <c r="L709" s="1">
        <v>0</v>
      </c>
      <c r="M709" s="1">
        <v>0</v>
      </c>
      <c r="N709" s="1">
        <f t="shared" si="33"/>
        <v>0</v>
      </c>
      <c r="O709" s="9">
        <f t="shared" si="32"/>
        <v>0</v>
      </c>
      <c r="P709" s="1">
        <v>0</v>
      </c>
      <c r="Q709" s="1">
        <v>0</v>
      </c>
      <c r="R709" s="12">
        <v>44166</v>
      </c>
      <c r="S709" s="1">
        <v>0</v>
      </c>
      <c r="T709" s="9" t="s">
        <v>21</v>
      </c>
    </row>
    <row r="710" spans="1:20" x14ac:dyDescent="0.25">
      <c r="A710" s="10" t="s">
        <v>37</v>
      </c>
      <c r="B710" t="b">
        <v>0</v>
      </c>
      <c r="C710" t="b">
        <v>0</v>
      </c>
      <c r="D710" s="1">
        <v>175</v>
      </c>
      <c r="E710" s="1">
        <v>0</v>
      </c>
      <c r="F710" s="1">
        <v>0</v>
      </c>
      <c r="G710" s="1">
        <v>1318</v>
      </c>
      <c r="H710" s="1">
        <v>0</v>
      </c>
      <c r="I710" s="1">
        <v>0</v>
      </c>
      <c r="J710" s="1">
        <f>D710+E710+F710+G710+H710+I710</f>
        <v>1493</v>
      </c>
      <c r="K710" s="1">
        <v>0</v>
      </c>
      <c r="L710" s="1">
        <v>0</v>
      </c>
      <c r="M710" s="1">
        <v>0</v>
      </c>
      <c r="N710" s="1">
        <f t="shared" si="33"/>
        <v>0</v>
      </c>
      <c r="O710" s="9">
        <v>14</v>
      </c>
      <c r="P710" s="1">
        <v>0</v>
      </c>
      <c r="Q710" s="1">
        <v>0</v>
      </c>
      <c r="R710" s="12">
        <v>37073</v>
      </c>
      <c r="S710" s="1">
        <v>1507</v>
      </c>
      <c r="T710" s="9" t="s">
        <v>46</v>
      </c>
    </row>
    <row r="711" spans="1:20" x14ac:dyDescent="0.25">
      <c r="A711" s="10" t="s">
        <v>37</v>
      </c>
      <c r="B711" t="b">
        <v>0</v>
      </c>
      <c r="C711" t="b">
        <v>0</v>
      </c>
      <c r="D711" s="1">
        <v>80</v>
      </c>
      <c r="E711" s="1">
        <v>0</v>
      </c>
      <c r="F711" s="1">
        <v>0</v>
      </c>
      <c r="G711" s="1">
        <v>1303</v>
      </c>
      <c r="H711" s="1">
        <v>0</v>
      </c>
      <c r="I711" s="1">
        <v>0</v>
      </c>
      <c r="J711" s="1">
        <f t="shared" ref="J711:J774" si="34">D711+E711+F711+G711+H711+I711</f>
        <v>1383</v>
      </c>
      <c r="K711" s="1">
        <v>0</v>
      </c>
      <c r="L711" s="1">
        <v>0</v>
      </c>
      <c r="M711" s="1">
        <v>0</v>
      </c>
      <c r="N711" s="1">
        <f t="shared" si="33"/>
        <v>0</v>
      </c>
      <c r="O711" s="9">
        <v>17</v>
      </c>
      <c r="P711" s="1">
        <v>0</v>
      </c>
      <c r="Q711" s="1">
        <v>0</v>
      </c>
      <c r="R711" s="12">
        <v>37104</v>
      </c>
      <c r="S711" s="1">
        <v>1400</v>
      </c>
      <c r="T711" s="9" t="s">
        <v>46</v>
      </c>
    </row>
    <row r="712" spans="1:20" x14ac:dyDescent="0.25">
      <c r="A712" s="10" t="s">
        <v>37</v>
      </c>
      <c r="B712" t="b">
        <v>0</v>
      </c>
      <c r="C712" t="b">
        <v>0</v>
      </c>
      <c r="D712" s="1">
        <v>38</v>
      </c>
      <c r="E712" s="1">
        <v>0</v>
      </c>
      <c r="F712" s="1">
        <v>0</v>
      </c>
      <c r="G712" s="1">
        <v>1363</v>
      </c>
      <c r="H712" s="1">
        <v>0</v>
      </c>
      <c r="I712" s="1">
        <v>0</v>
      </c>
      <c r="J712" s="1">
        <f t="shared" si="34"/>
        <v>1401</v>
      </c>
      <c r="K712" s="1">
        <v>0</v>
      </c>
      <c r="L712" s="1">
        <v>0</v>
      </c>
      <c r="M712" s="1">
        <v>0</v>
      </c>
      <c r="N712" s="1">
        <f t="shared" si="33"/>
        <v>0</v>
      </c>
      <c r="O712" s="9">
        <v>22</v>
      </c>
      <c r="P712" s="1">
        <v>0</v>
      </c>
      <c r="Q712" s="1">
        <v>0</v>
      </c>
      <c r="R712" s="12">
        <v>37135</v>
      </c>
      <c r="S712" s="1">
        <v>1423</v>
      </c>
      <c r="T712" s="9" t="s">
        <v>46</v>
      </c>
    </row>
    <row r="713" spans="1:20" x14ac:dyDescent="0.25">
      <c r="A713" s="10" t="s">
        <v>37</v>
      </c>
      <c r="B713" t="b">
        <v>0</v>
      </c>
      <c r="C713" t="b">
        <v>0</v>
      </c>
      <c r="D713" s="1">
        <v>0</v>
      </c>
      <c r="E713" s="1">
        <v>0</v>
      </c>
      <c r="F713" s="1">
        <v>0</v>
      </c>
      <c r="G713" s="1">
        <v>895</v>
      </c>
      <c r="H713" s="1">
        <v>0</v>
      </c>
      <c r="I713" s="1">
        <v>0</v>
      </c>
      <c r="J713" s="1">
        <f t="shared" si="34"/>
        <v>895</v>
      </c>
      <c r="K713" s="1">
        <v>0</v>
      </c>
      <c r="L713" s="1">
        <v>0</v>
      </c>
      <c r="M713" s="1">
        <v>0</v>
      </c>
      <c r="N713" s="1">
        <f t="shared" si="33"/>
        <v>0</v>
      </c>
      <c r="O713" s="9">
        <v>16</v>
      </c>
      <c r="P713" s="1">
        <v>0</v>
      </c>
      <c r="Q713" s="1">
        <v>0</v>
      </c>
      <c r="R713" s="12">
        <v>37165</v>
      </c>
      <c r="S713" s="1">
        <v>911</v>
      </c>
      <c r="T713" s="9" t="s">
        <v>46</v>
      </c>
    </row>
    <row r="714" spans="1:20" x14ac:dyDescent="0.25">
      <c r="A714" s="10" t="s">
        <v>37</v>
      </c>
      <c r="B714" t="b">
        <v>0</v>
      </c>
      <c r="C714" t="b">
        <v>0</v>
      </c>
      <c r="D714" s="1">
        <v>18</v>
      </c>
      <c r="E714" s="1">
        <v>0</v>
      </c>
      <c r="F714" s="1">
        <v>0</v>
      </c>
      <c r="G714" s="1">
        <v>853</v>
      </c>
      <c r="H714" s="1">
        <v>0</v>
      </c>
      <c r="I714" s="1">
        <v>0</v>
      </c>
      <c r="J714" s="1">
        <f t="shared" si="34"/>
        <v>871</v>
      </c>
      <c r="K714" s="1">
        <v>0</v>
      </c>
      <c r="L714" s="1">
        <v>0</v>
      </c>
      <c r="M714" s="1">
        <v>0</v>
      </c>
      <c r="N714" s="1">
        <f t="shared" si="33"/>
        <v>0</v>
      </c>
      <c r="O714" s="9">
        <v>16</v>
      </c>
      <c r="P714" s="1">
        <v>0</v>
      </c>
      <c r="Q714" s="1">
        <v>0</v>
      </c>
      <c r="R714" s="12">
        <v>37196</v>
      </c>
      <c r="S714" s="1">
        <v>887</v>
      </c>
      <c r="T714" s="9" t="s">
        <v>46</v>
      </c>
    </row>
    <row r="715" spans="1:20" x14ac:dyDescent="0.25">
      <c r="A715" s="10" t="s">
        <v>37</v>
      </c>
      <c r="B715" t="b">
        <v>0</v>
      </c>
      <c r="C715" t="b">
        <v>0</v>
      </c>
      <c r="D715" s="1">
        <v>0</v>
      </c>
      <c r="E715" s="1">
        <v>0</v>
      </c>
      <c r="F715" s="1">
        <v>0</v>
      </c>
      <c r="G715" s="1">
        <v>2290</v>
      </c>
      <c r="H715" s="1">
        <v>0</v>
      </c>
      <c r="I715" s="1">
        <v>0</v>
      </c>
      <c r="J715" s="1">
        <f t="shared" si="34"/>
        <v>2290</v>
      </c>
      <c r="K715" s="1">
        <v>0</v>
      </c>
      <c r="L715" s="1">
        <v>0</v>
      </c>
      <c r="M715" s="1">
        <v>0</v>
      </c>
      <c r="N715" s="1">
        <f t="shared" si="33"/>
        <v>0</v>
      </c>
      <c r="O715" s="9">
        <v>20</v>
      </c>
      <c r="P715" s="1">
        <v>0</v>
      </c>
      <c r="Q715" s="1">
        <v>0</v>
      </c>
      <c r="R715" s="12">
        <v>37226</v>
      </c>
      <c r="S715" s="1">
        <v>2310</v>
      </c>
      <c r="T715" s="9" t="s">
        <v>46</v>
      </c>
    </row>
    <row r="716" spans="1:20" x14ac:dyDescent="0.25">
      <c r="A716" s="10" t="s">
        <v>37</v>
      </c>
      <c r="B716" t="b">
        <v>0</v>
      </c>
      <c r="C716" t="b">
        <v>0</v>
      </c>
      <c r="D716" s="1">
        <v>0</v>
      </c>
      <c r="E716" s="1">
        <v>0</v>
      </c>
      <c r="F716" s="1">
        <v>0</v>
      </c>
      <c r="G716" s="1">
        <v>2235</v>
      </c>
      <c r="H716" s="1">
        <v>0</v>
      </c>
      <c r="I716" s="1">
        <v>0</v>
      </c>
      <c r="J716" s="1">
        <f t="shared" si="34"/>
        <v>2235</v>
      </c>
      <c r="K716" s="1">
        <v>0</v>
      </c>
      <c r="L716" s="1">
        <v>0</v>
      </c>
      <c r="M716" s="1">
        <v>0</v>
      </c>
      <c r="N716" s="1">
        <f t="shared" si="33"/>
        <v>0</v>
      </c>
      <c r="O716" s="9">
        <v>16</v>
      </c>
      <c r="P716" s="1">
        <v>0</v>
      </c>
      <c r="Q716" s="1">
        <v>0</v>
      </c>
      <c r="R716" s="12">
        <v>37257</v>
      </c>
      <c r="S716" s="1">
        <v>2251</v>
      </c>
      <c r="T716" s="9" t="s">
        <v>46</v>
      </c>
    </row>
    <row r="717" spans="1:20" x14ac:dyDescent="0.25">
      <c r="A717" s="10" t="s">
        <v>37</v>
      </c>
      <c r="B717" t="b">
        <v>0</v>
      </c>
      <c r="C717" t="b">
        <v>0</v>
      </c>
      <c r="D717" s="1">
        <v>5</v>
      </c>
      <c r="E717" s="1">
        <v>0</v>
      </c>
      <c r="F717" s="1">
        <v>0</v>
      </c>
      <c r="G717" s="1">
        <v>2040</v>
      </c>
      <c r="H717" s="1">
        <v>0</v>
      </c>
      <c r="I717" s="1">
        <v>0</v>
      </c>
      <c r="J717" s="1">
        <f t="shared" si="34"/>
        <v>2045</v>
      </c>
      <c r="K717" s="1">
        <v>0</v>
      </c>
      <c r="L717" s="1">
        <v>0</v>
      </c>
      <c r="M717" s="1">
        <v>0</v>
      </c>
      <c r="N717" s="1">
        <f t="shared" si="33"/>
        <v>0</v>
      </c>
      <c r="O717" s="9">
        <v>16</v>
      </c>
      <c r="P717" s="1">
        <v>0</v>
      </c>
      <c r="Q717" s="1">
        <v>0</v>
      </c>
      <c r="R717" s="12">
        <v>37288</v>
      </c>
      <c r="S717" s="1">
        <v>2061</v>
      </c>
      <c r="T717" s="9" t="s">
        <v>46</v>
      </c>
    </row>
    <row r="718" spans="1:20" x14ac:dyDescent="0.25">
      <c r="A718" s="10" t="s">
        <v>37</v>
      </c>
      <c r="B718" t="b">
        <v>0</v>
      </c>
      <c r="C718" t="b">
        <v>0</v>
      </c>
      <c r="D718" s="1">
        <v>0</v>
      </c>
      <c r="E718" s="1">
        <v>0</v>
      </c>
      <c r="F718" s="1">
        <v>0</v>
      </c>
      <c r="G718" s="1">
        <v>2290</v>
      </c>
      <c r="H718" s="1">
        <v>0</v>
      </c>
      <c r="I718" s="1">
        <v>0</v>
      </c>
      <c r="J718" s="1">
        <f t="shared" si="34"/>
        <v>2290</v>
      </c>
      <c r="K718" s="1">
        <v>0</v>
      </c>
      <c r="L718" s="1">
        <v>0</v>
      </c>
      <c r="M718" s="1">
        <v>0</v>
      </c>
      <c r="N718" s="1">
        <f t="shared" si="33"/>
        <v>0</v>
      </c>
      <c r="O718" s="9">
        <v>20</v>
      </c>
      <c r="P718" s="1">
        <v>0</v>
      </c>
      <c r="Q718" s="1">
        <v>0</v>
      </c>
      <c r="R718" s="12">
        <v>37316</v>
      </c>
      <c r="S718" s="1">
        <v>2310</v>
      </c>
      <c r="T718" s="9" t="s">
        <v>46</v>
      </c>
    </row>
    <row r="719" spans="1:20" x14ac:dyDescent="0.25">
      <c r="A719" s="10" t="s">
        <v>37</v>
      </c>
      <c r="B719" t="b">
        <v>0</v>
      </c>
      <c r="C719" t="b">
        <v>0</v>
      </c>
      <c r="D719" s="1">
        <v>0</v>
      </c>
      <c r="E719" s="1">
        <v>0</v>
      </c>
      <c r="F719" s="1">
        <v>0</v>
      </c>
      <c r="G719" s="1">
        <v>2170</v>
      </c>
      <c r="H719" s="1">
        <v>0</v>
      </c>
      <c r="I719" s="1">
        <v>0</v>
      </c>
      <c r="J719" s="1">
        <f t="shared" si="34"/>
        <v>2170</v>
      </c>
      <c r="K719" s="1">
        <v>0</v>
      </c>
      <c r="L719" s="1">
        <v>0</v>
      </c>
      <c r="M719" s="1">
        <v>0</v>
      </c>
      <c r="N719" s="1">
        <f t="shared" si="33"/>
        <v>0</v>
      </c>
      <c r="O719" s="9">
        <v>16</v>
      </c>
      <c r="P719" s="1">
        <v>0</v>
      </c>
      <c r="Q719" s="1">
        <v>0</v>
      </c>
      <c r="R719" s="12">
        <v>37347</v>
      </c>
      <c r="S719" s="1">
        <v>2186</v>
      </c>
      <c r="T719" s="9" t="s">
        <v>46</v>
      </c>
    </row>
    <row r="720" spans="1:20" x14ac:dyDescent="0.25">
      <c r="A720" s="10" t="s">
        <v>37</v>
      </c>
      <c r="B720" t="b">
        <v>0</v>
      </c>
      <c r="C720" t="b">
        <v>0</v>
      </c>
      <c r="D720" s="1">
        <v>0</v>
      </c>
      <c r="E720" s="1">
        <v>0</v>
      </c>
      <c r="F720" s="1">
        <v>0</v>
      </c>
      <c r="G720" s="1">
        <v>2263</v>
      </c>
      <c r="H720" s="1">
        <v>0</v>
      </c>
      <c r="I720" s="1">
        <v>0</v>
      </c>
      <c r="J720" s="1">
        <f t="shared" si="34"/>
        <v>2263</v>
      </c>
      <c r="K720" s="1">
        <v>0</v>
      </c>
      <c r="L720" s="1">
        <v>0</v>
      </c>
      <c r="M720" s="1">
        <v>0</v>
      </c>
      <c r="N720" s="1">
        <f t="shared" si="33"/>
        <v>0</v>
      </c>
      <c r="O720" s="9">
        <v>0</v>
      </c>
      <c r="P720" s="1">
        <v>0</v>
      </c>
      <c r="Q720" s="1">
        <v>0</v>
      </c>
      <c r="R720" s="12">
        <v>37377</v>
      </c>
      <c r="S720" s="1">
        <v>2263</v>
      </c>
      <c r="T720" s="9" t="s">
        <v>46</v>
      </c>
    </row>
    <row r="721" spans="1:20" x14ac:dyDescent="0.25">
      <c r="A721" s="10" t="s">
        <v>37</v>
      </c>
      <c r="B721" t="b">
        <v>0</v>
      </c>
      <c r="C721" t="b">
        <v>0</v>
      </c>
      <c r="D721" s="1">
        <v>0</v>
      </c>
      <c r="E721" s="1">
        <v>0</v>
      </c>
      <c r="F721" s="1">
        <v>0</v>
      </c>
      <c r="G721" s="1">
        <v>2228</v>
      </c>
      <c r="H721" s="1">
        <v>0</v>
      </c>
      <c r="I721" s="1">
        <v>0</v>
      </c>
      <c r="J721" s="1">
        <f t="shared" si="34"/>
        <v>2228</v>
      </c>
      <c r="K721" s="1">
        <v>0</v>
      </c>
      <c r="L721" s="1">
        <v>0</v>
      </c>
      <c r="M721" s="1">
        <v>0</v>
      </c>
      <c r="N721" s="1">
        <f t="shared" si="33"/>
        <v>0</v>
      </c>
      <c r="O721" s="9">
        <v>16</v>
      </c>
      <c r="P721" s="1">
        <v>0</v>
      </c>
      <c r="Q721" s="1">
        <v>0</v>
      </c>
      <c r="R721" s="12">
        <v>37408</v>
      </c>
      <c r="S721" s="1">
        <v>2244</v>
      </c>
      <c r="T721" s="9" t="s">
        <v>46</v>
      </c>
    </row>
    <row r="722" spans="1:20" x14ac:dyDescent="0.25">
      <c r="A722" s="10" t="s">
        <v>37</v>
      </c>
      <c r="B722" t="b">
        <v>0</v>
      </c>
      <c r="C722" t="b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f t="shared" si="34"/>
        <v>0</v>
      </c>
      <c r="K722" s="1">
        <v>0</v>
      </c>
      <c r="L722" s="1">
        <v>0</v>
      </c>
      <c r="M722" s="1">
        <v>0</v>
      </c>
      <c r="N722" s="1">
        <f t="shared" si="33"/>
        <v>0</v>
      </c>
      <c r="O722" s="9">
        <v>0</v>
      </c>
      <c r="P722" s="1">
        <v>0</v>
      </c>
      <c r="Q722" s="1">
        <v>0</v>
      </c>
      <c r="R722" s="12">
        <v>37438</v>
      </c>
      <c r="S722" s="1">
        <v>0</v>
      </c>
      <c r="T722" s="9" t="s">
        <v>46</v>
      </c>
    </row>
    <row r="723" spans="1:20" x14ac:dyDescent="0.25">
      <c r="A723" s="10" t="s">
        <v>37</v>
      </c>
      <c r="B723" t="b">
        <v>0</v>
      </c>
      <c r="C723" t="b">
        <v>0</v>
      </c>
      <c r="D723" s="1">
        <v>63</v>
      </c>
      <c r="E723" s="1">
        <v>0</v>
      </c>
      <c r="F723" s="1">
        <v>0</v>
      </c>
      <c r="G723" s="1">
        <v>2203</v>
      </c>
      <c r="H723" s="1">
        <v>0</v>
      </c>
      <c r="I723" s="1">
        <v>0</v>
      </c>
      <c r="J723" s="1">
        <f t="shared" si="34"/>
        <v>2266</v>
      </c>
      <c r="K723" s="1">
        <v>0</v>
      </c>
      <c r="L723" s="1">
        <v>0</v>
      </c>
      <c r="M723" s="1">
        <v>0</v>
      </c>
      <c r="N723" s="1">
        <f t="shared" si="33"/>
        <v>0</v>
      </c>
      <c r="O723" s="9">
        <v>18</v>
      </c>
      <c r="P723" s="1">
        <v>0</v>
      </c>
      <c r="Q723" s="1">
        <v>0</v>
      </c>
      <c r="R723" s="12">
        <v>37469</v>
      </c>
      <c r="S723" s="1">
        <v>2284</v>
      </c>
      <c r="T723" s="9" t="s">
        <v>46</v>
      </c>
    </row>
    <row r="724" spans="1:20" x14ac:dyDescent="0.25">
      <c r="A724" s="10" t="s">
        <v>37</v>
      </c>
      <c r="B724" t="b">
        <v>0</v>
      </c>
      <c r="C724" t="b">
        <v>0</v>
      </c>
      <c r="D724" s="1">
        <v>25</v>
      </c>
      <c r="E724" s="1">
        <v>0</v>
      </c>
      <c r="F724" s="1">
        <v>0</v>
      </c>
      <c r="G724" s="1">
        <v>2198</v>
      </c>
      <c r="H724" s="1">
        <v>0</v>
      </c>
      <c r="I724" s="1">
        <v>0</v>
      </c>
      <c r="J724" s="1">
        <f t="shared" si="34"/>
        <v>2223</v>
      </c>
      <c r="K724" s="1">
        <v>0</v>
      </c>
      <c r="L724" s="1">
        <v>0</v>
      </c>
      <c r="M724" s="1">
        <v>0</v>
      </c>
      <c r="N724" s="1">
        <f t="shared" si="33"/>
        <v>0</v>
      </c>
      <c r="O724" s="9">
        <v>18</v>
      </c>
      <c r="P724" s="1">
        <v>0</v>
      </c>
      <c r="Q724" s="1">
        <v>0</v>
      </c>
      <c r="R724" s="12">
        <v>37500</v>
      </c>
      <c r="S724" s="1">
        <v>2241</v>
      </c>
      <c r="T724" s="9" t="s">
        <v>46</v>
      </c>
    </row>
    <row r="725" spans="1:20" x14ac:dyDescent="0.25">
      <c r="A725" s="10" t="s">
        <v>37</v>
      </c>
      <c r="B725" t="b">
        <v>0</v>
      </c>
      <c r="C725" t="b">
        <v>0</v>
      </c>
      <c r="D725" s="1">
        <v>93</v>
      </c>
      <c r="E725" s="1">
        <v>0</v>
      </c>
      <c r="F725" s="1">
        <v>0</v>
      </c>
      <c r="G725" s="1">
        <v>2258</v>
      </c>
      <c r="H725" s="1">
        <v>0</v>
      </c>
      <c r="I725" s="1">
        <v>0</v>
      </c>
      <c r="J725" s="1">
        <f t="shared" si="34"/>
        <v>2351</v>
      </c>
      <c r="K725" s="1">
        <v>0</v>
      </c>
      <c r="L725" s="1">
        <v>0</v>
      </c>
      <c r="M725" s="1">
        <v>0</v>
      </c>
      <c r="N725" s="1">
        <f t="shared" si="33"/>
        <v>0</v>
      </c>
      <c r="O725" s="9">
        <v>18</v>
      </c>
      <c r="P725" s="1">
        <v>0</v>
      </c>
      <c r="Q725" s="1">
        <v>0</v>
      </c>
      <c r="R725" s="12">
        <v>37530</v>
      </c>
      <c r="S725" s="1">
        <v>2369</v>
      </c>
      <c r="T725" s="9" t="s">
        <v>46</v>
      </c>
    </row>
    <row r="726" spans="1:20" x14ac:dyDescent="0.25">
      <c r="A726" s="10" t="s">
        <v>37</v>
      </c>
      <c r="B726" t="b">
        <v>0</v>
      </c>
      <c r="C726" t="b">
        <v>0</v>
      </c>
      <c r="D726" s="1">
        <v>93</v>
      </c>
      <c r="E726" s="1">
        <v>0</v>
      </c>
      <c r="F726" s="1">
        <v>0</v>
      </c>
      <c r="G726" s="1">
        <v>2373</v>
      </c>
      <c r="H726" s="1">
        <v>0</v>
      </c>
      <c r="I726" s="1">
        <v>0</v>
      </c>
      <c r="J726" s="1">
        <f t="shared" si="34"/>
        <v>2466</v>
      </c>
      <c r="K726" s="1">
        <v>0</v>
      </c>
      <c r="L726" s="1">
        <v>0</v>
      </c>
      <c r="M726" s="1">
        <v>0</v>
      </c>
      <c r="N726" s="1">
        <f t="shared" si="33"/>
        <v>0</v>
      </c>
      <c r="O726" s="9">
        <v>28</v>
      </c>
      <c r="P726" s="1">
        <v>0</v>
      </c>
      <c r="Q726" s="1">
        <v>0</v>
      </c>
      <c r="R726" s="12">
        <v>37561</v>
      </c>
      <c r="S726" s="1">
        <v>2494</v>
      </c>
      <c r="T726" s="9" t="s">
        <v>46</v>
      </c>
    </row>
    <row r="727" spans="1:20" x14ac:dyDescent="0.25">
      <c r="A727" s="10" t="s">
        <v>37</v>
      </c>
      <c r="B727" t="b">
        <v>0</v>
      </c>
      <c r="C727" t="b">
        <v>0</v>
      </c>
      <c r="D727" s="1">
        <v>45</v>
      </c>
      <c r="E727" s="1">
        <v>0</v>
      </c>
      <c r="F727" s="1">
        <v>0</v>
      </c>
      <c r="G727" s="1">
        <v>2263</v>
      </c>
      <c r="H727" s="1">
        <v>0</v>
      </c>
      <c r="I727" s="1">
        <v>0</v>
      </c>
      <c r="J727" s="1">
        <f t="shared" si="34"/>
        <v>2308</v>
      </c>
      <c r="K727" s="1">
        <v>0</v>
      </c>
      <c r="L727" s="1">
        <v>0</v>
      </c>
      <c r="M727" s="1">
        <v>0</v>
      </c>
      <c r="N727" s="1">
        <f t="shared" si="33"/>
        <v>0</v>
      </c>
      <c r="O727" s="9">
        <v>26</v>
      </c>
      <c r="P727" s="1">
        <v>0</v>
      </c>
      <c r="Q727" s="1">
        <v>0</v>
      </c>
      <c r="R727" s="12">
        <v>37591</v>
      </c>
      <c r="S727" s="1">
        <v>2334</v>
      </c>
      <c r="T727" s="9" t="s">
        <v>46</v>
      </c>
    </row>
    <row r="728" spans="1:20" x14ac:dyDescent="0.25">
      <c r="A728" s="10" t="s">
        <v>37</v>
      </c>
      <c r="B728" t="b">
        <v>0</v>
      </c>
      <c r="C728" t="b">
        <v>0</v>
      </c>
      <c r="D728" s="1">
        <v>120</v>
      </c>
      <c r="E728" s="1">
        <v>0</v>
      </c>
      <c r="F728" s="1">
        <v>0</v>
      </c>
      <c r="G728" s="1">
        <v>2290</v>
      </c>
      <c r="H728" s="1">
        <v>0</v>
      </c>
      <c r="I728" s="1">
        <v>0</v>
      </c>
      <c r="J728" s="1">
        <f t="shared" si="34"/>
        <v>2410</v>
      </c>
      <c r="K728" s="1">
        <v>0</v>
      </c>
      <c r="L728" s="1">
        <v>0</v>
      </c>
      <c r="M728" s="1">
        <v>0</v>
      </c>
      <c r="N728" s="1">
        <f t="shared" si="33"/>
        <v>0</v>
      </c>
      <c r="O728" s="9">
        <v>18</v>
      </c>
      <c r="P728" s="1">
        <v>0</v>
      </c>
      <c r="Q728" s="1">
        <v>0</v>
      </c>
      <c r="R728" s="12">
        <v>37622</v>
      </c>
      <c r="S728" s="1">
        <v>2428</v>
      </c>
      <c r="T728" s="9" t="s">
        <v>21</v>
      </c>
    </row>
    <row r="729" spans="1:20" x14ac:dyDescent="0.25">
      <c r="A729" s="10" t="s">
        <v>37</v>
      </c>
      <c r="B729" t="b">
        <v>0</v>
      </c>
      <c r="C729" t="b">
        <v>0</v>
      </c>
      <c r="D729" s="1">
        <v>340</v>
      </c>
      <c r="E729" s="1">
        <v>0</v>
      </c>
      <c r="F729" s="1">
        <v>0</v>
      </c>
      <c r="G729" s="1">
        <v>2040</v>
      </c>
      <c r="H729" s="1">
        <v>0</v>
      </c>
      <c r="I729" s="1">
        <v>0</v>
      </c>
      <c r="J729" s="1">
        <f t="shared" si="34"/>
        <v>2380</v>
      </c>
      <c r="K729" s="1">
        <v>0</v>
      </c>
      <c r="L729" s="1">
        <v>0</v>
      </c>
      <c r="M729" s="1">
        <v>0</v>
      </c>
      <c r="N729" s="1">
        <f t="shared" si="33"/>
        <v>0</v>
      </c>
      <c r="O729" s="9">
        <v>16</v>
      </c>
      <c r="P729" s="1">
        <v>0</v>
      </c>
      <c r="Q729" s="1">
        <v>0</v>
      </c>
      <c r="R729" s="12">
        <v>37653</v>
      </c>
      <c r="S729" s="1">
        <v>2396</v>
      </c>
      <c r="T729" s="9" t="s">
        <v>21</v>
      </c>
    </row>
    <row r="730" spans="1:20" x14ac:dyDescent="0.25">
      <c r="A730" s="10" t="s">
        <v>37</v>
      </c>
      <c r="B730" t="b">
        <v>0</v>
      </c>
      <c r="C730" t="b">
        <v>0</v>
      </c>
      <c r="D730" s="1">
        <v>400</v>
      </c>
      <c r="E730" s="1">
        <v>0</v>
      </c>
      <c r="F730" s="1">
        <v>0</v>
      </c>
      <c r="G730" s="1">
        <v>2290</v>
      </c>
      <c r="H730" s="1">
        <v>0</v>
      </c>
      <c r="I730" s="1">
        <v>0</v>
      </c>
      <c r="J730" s="1">
        <f t="shared" si="34"/>
        <v>2690</v>
      </c>
      <c r="K730" s="1">
        <v>0</v>
      </c>
      <c r="L730" s="1">
        <v>0</v>
      </c>
      <c r="M730" s="1">
        <v>0</v>
      </c>
      <c r="N730" s="1">
        <f t="shared" si="33"/>
        <v>0</v>
      </c>
      <c r="O730" s="9">
        <v>22</v>
      </c>
      <c r="P730" s="1">
        <v>0</v>
      </c>
      <c r="Q730" s="1">
        <v>0</v>
      </c>
      <c r="R730" s="12">
        <v>37681</v>
      </c>
      <c r="S730" s="1">
        <v>2712</v>
      </c>
      <c r="T730" s="9" t="s">
        <v>21</v>
      </c>
    </row>
    <row r="731" spans="1:20" x14ac:dyDescent="0.25">
      <c r="A731" s="10" t="s">
        <v>37</v>
      </c>
      <c r="B731" t="b">
        <v>0</v>
      </c>
      <c r="C731" t="b">
        <v>0</v>
      </c>
      <c r="D731" s="1">
        <v>368</v>
      </c>
      <c r="E731" s="1">
        <v>0</v>
      </c>
      <c r="F731" s="1">
        <v>0</v>
      </c>
      <c r="G731" s="1">
        <v>2170</v>
      </c>
      <c r="H731" s="1">
        <v>0</v>
      </c>
      <c r="I731" s="1">
        <v>0</v>
      </c>
      <c r="J731" s="1">
        <f t="shared" si="34"/>
        <v>2538</v>
      </c>
      <c r="K731" s="1">
        <v>0</v>
      </c>
      <c r="L731" s="1">
        <v>0</v>
      </c>
      <c r="M731" s="1">
        <v>0</v>
      </c>
      <c r="N731" s="1">
        <f t="shared" si="33"/>
        <v>0</v>
      </c>
      <c r="O731" s="9">
        <v>16</v>
      </c>
      <c r="P731" s="1">
        <v>0</v>
      </c>
      <c r="Q731" s="1">
        <v>0</v>
      </c>
      <c r="R731" s="12">
        <v>37712</v>
      </c>
      <c r="S731" s="1">
        <v>2554</v>
      </c>
      <c r="T731" s="9" t="s">
        <v>21</v>
      </c>
    </row>
    <row r="732" spans="1:20" x14ac:dyDescent="0.25">
      <c r="A732" s="10" t="s">
        <v>37</v>
      </c>
      <c r="B732" t="b">
        <v>0</v>
      </c>
      <c r="C732" t="b">
        <v>0</v>
      </c>
      <c r="D732" s="1">
        <v>368</v>
      </c>
      <c r="E732" s="1">
        <v>0</v>
      </c>
      <c r="F732" s="1">
        <v>0</v>
      </c>
      <c r="G732" s="1">
        <v>2263</v>
      </c>
      <c r="H732" s="1">
        <v>0</v>
      </c>
      <c r="I732" s="1">
        <v>0</v>
      </c>
      <c r="J732" s="1">
        <f t="shared" si="34"/>
        <v>2631</v>
      </c>
      <c r="K732" s="1">
        <v>0</v>
      </c>
      <c r="L732" s="1">
        <v>0</v>
      </c>
      <c r="M732" s="1">
        <v>0</v>
      </c>
      <c r="N732" s="1">
        <f t="shared" si="33"/>
        <v>0</v>
      </c>
      <c r="O732" s="9">
        <v>18</v>
      </c>
      <c r="P732" s="1">
        <v>0</v>
      </c>
      <c r="Q732" s="1">
        <v>0</v>
      </c>
      <c r="R732" s="12">
        <v>37742</v>
      </c>
      <c r="S732" s="1">
        <v>2649</v>
      </c>
      <c r="T732" s="9" t="s">
        <v>21</v>
      </c>
    </row>
    <row r="733" spans="1:20" x14ac:dyDescent="0.25">
      <c r="A733" s="10" t="s">
        <v>37</v>
      </c>
      <c r="B733" t="b">
        <v>0</v>
      </c>
      <c r="C733" t="b">
        <v>0</v>
      </c>
      <c r="D733" s="1">
        <v>578</v>
      </c>
      <c r="E733" s="1">
        <v>0</v>
      </c>
      <c r="F733" s="1">
        <v>0</v>
      </c>
      <c r="G733" s="1">
        <v>2170</v>
      </c>
      <c r="H733" s="1">
        <v>0</v>
      </c>
      <c r="I733" s="1">
        <v>0</v>
      </c>
      <c r="J733" s="1">
        <f t="shared" si="34"/>
        <v>2748</v>
      </c>
      <c r="K733" s="1">
        <v>0</v>
      </c>
      <c r="L733" s="1">
        <v>0</v>
      </c>
      <c r="M733" s="1">
        <v>0</v>
      </c>
      <c r="N733" s="1">
        <f t="shared" si="33"/>
        <v>0</v>
      </c>
      <c r="O733" s="9">
        <v>16</v>
      </c>
      <c r="P733" s="1">
        <v>0</v>
      </c>
      <c r="Q733" s="1">
        <v>0</v>
      </c>
      <c r="R733" s="12">
        <v>37773</v>
      </c>
      <c r="S733" s="1">
        <v>2764</v>
      </c>
      <c r="T733" s="9" t="s">
        <v>21</v>
      </c>
    </row>
    <row r="734" spans="1:20" x14ac:dyDescent="0.25">
      <c r="A734" s="10" t="s">
        <v>37</v>
      </c>
      <c r="B734" t="b">
        <v>0</v>
      </c>
      <c r="C734" t="b">
        <v>0</v>
      </c>
      <c r="D734" s="1">
        <v>951</v>
      </c>
      <c r="E734" s="1">
        <v>0</v>
      </c>
      <c r="F734" s="1">
        <v>0</v>
      </c>
      <c r="G734" s="1">
        <v>2235</v>
      </c>
      <c r="H734" s="1">
        <v>0</v>
      </c>
      <c r="I734" s="1">
        <v>0</v>
      </c>
      <c r="J734" s="1">
        <f t="shared" si="34"/>
        <v>3186</v>
      </c>
      <c r="K734" s="1">
        <v>0</v>
      </c>
      <c r="L734" s="1">
        <v>0</v>
      </c>
      <c r="M734" s="1">
        <v>0</v>
      </c>
      <c r="N734" s="1">
        <f t="shared" si="33"/>
        <v>0</v>
      </c>
      <c r="O734" s="9">
        <v>16</v>
      </c>
      <c r="P734" s="1">
        <v>0</v>
      </c>
      <c r="Q734" s="1">
        <v>0</v>
      </c>
      <c r="R734" s="12">
        <v>37803</v>
      </c>
      <c r="S734" s="1">
        <v>3202</v>
      </c>
      <c r="T734" s="9" t="s">
        <v>21</v>
      </c>
    </row>
    <row r="735" spans="1:20" x14ac:dyDescent="0.25">
      <c r="A735" s="10" t="s">
        <v>37</v>
      </c>
      <c r="B735" t="b">
        <v>0</v>
      </c>
      <c r="C735" t="b">
        <v>0</v>
      </c>
      <c r="D735" s="1">
        <v>740</v>
      </c>
      <c r="E735" s="1">
        <v>0</v>
      </c>
      <c r="F735" s="1">
        <v>0</v>
      </c>
      <c r="G735" s="1">
        <v>2290</v>
      </c>
      <c r="H735" s="1">
        <v>0</v>
      </c>
      <c r="I735" s="1">
        <v>0</v>
      </c>
      <c r="J735" s="1">
        <f t="shared" si="34"/>
        <v>3030</v>
      </c>
      <c r="K735" s="1">
        <v>0</v>
      </c>
      <c r="L735" s="1">
        <v>0</v>
      </c>
      <c r="M735" s="1">
        <v>0</v>
      </c>
      <c r="N735" s="1">
        <f t="shared" si="33"/>
        <v>0</v>
      </c>
      <c r="O735" s="9">
        <v>20</v>
      </c>
      <c r="P735" s="1">
        <v>0</v>
      </c>
      <c r="Q735" s="1">
        <v>0</v>
      </c>
      <c r="R735" s="12">
        <v>37834</v>
      </c>
      <c r="S735" s="1">
        <v>3050</v>
      </c>
      <c r="T735" s="9" t="s">
        <v>21</v>
      </c>
    </row>
    <row r="736" spans="1:20" x14ac:dyDescent="0.25">
      <c r="A736" s="10" t="s">
        <v>37</v>
      </c>
      <c r="B736" t="b">
        <v>0</v>
      </c>
      <c r="C736" t="b">
        <v>0</v>
      </c>
      <c r="D736" s="1">
        <v>573</v>
      </c>
      <c r="E736" s="1">
        <v>0</v>
      </c>
      <c r="F736" s="1">
        <v>0</v>
      </c>
      <c r="G736" s="1">
        <v>2170</v>
      </c>
      <c r="H736" s="1">
        <v>0</v>
      </c>
      <c r="I736" s="1">
        <v>0</v>
      </c>
      <c r="J736" s="1">
        <f t="shared" si="34"/>
        <v>2743</v>
      </c>
      <c r="K736" s="1">
        <v>0</v>
      </c>
      <c r="L736" s="1">
        <v>0</v>
      </c>
      <c r="M736" s="1">
        <v>0</v>
      </c>
      <c r="N736" s="1">
        <f t="shared" si="33"/>
        <v>0</v>
      </c>
      <c r="O736" s="9">
        <v>16</v>
      </c>
      <c r="P736" s="1">
        <v>0</v>
      </c>
      <c r="Q736" s="1">
        <v>0</v>
      </c>
      <c r="R736" s="12">
        <v>37865</v>
      </c>
      <c r="S736" s="1">
        <v>2759</v>
      </c>
      <c r="T736" s="9" t="s">
        <v>21</v>
      </c>
    </row>
    <row r="737" spans="1:20" x14ac:dyDescent="0.25">
      <c r="A737" s="10" t="s">
        <v>37</v>
      </c>
      <c r="B737" t="b">
        <v>0</v>
      </c>
      <c r="C737" t="b">
        <v>0</v>
      </c>
      <c r="D737" s="1">
        <v>315</v>
      </c>
      <c r="E737" s="1">
        <v>0</v>
      </c>
      <c r="F737" s="1">
        <v>0</v>
      </c>
      <c r="G737" s="1">
        <v>2263</v>
      </c>
      <c r="H737" s="1">
        <v>0</v>
      </c>
      <c r="I737" s="1">
        <v>0</v>
      </c>
      <c r="J737" s="1">
        <f t="shared" si="34"/>
        <v>2578</v>
      </c>
      <c r="K737" s="1">
        <v>0</v>
      </c>
      <c r="L737" s="1">
        <v>0</v>
      </c>
      <c r="M737" s="1">
        <v>0</v>
      </c>
      <c r="N737" s="1">
        <f>K737+L737+M737</f>
        <v>0</v>
      </c>
      <c r="O737" s="9">
        <v>20</v>
      </c>
      <c r="P737" s="1">
        <v>0</v>
      </c>
      <c r="Q737" s="1">
        <v>0</v>
      </c>
      <c r="R737" s="12">
        <v>37895</v>
      </c>
      <c r="S737" s="1">
        <v>2598</v>
      </c>
      <c r="T737" s="9" t="s">
        <v>21</v>
      </c>
    </row>
    <row r="738" spans="1:20" x14ac:dyDescent="0.25">
      <c r="A738" s="10" t="s">
        <v>37</v>
      </c>
      <c r="B738" t="b">
        <v>0</v>
      </c>
      <c r="C738" t="b">
        <v>0</v>
      </c>
      <c r="D738" s="1">
        <v>165</v>
      </c>
      <c r="E738" s="1">
        <v>0</v>
      </c>
      <c r="F738" s="1">
        <v>0</v>
      </c>
      <c r="G738" s="1">
        <v>2208</v>
      </c>
      <c r="H738" s="1">
        <v>0</v>
      </c>
      <c r="I738" s="1">
        <v>0</v>
      </c>
      <c r="J738" s="1">
        <f t="shared" si="34"/>
        <v>2373</v>
      </c>
      <c r="K738" s="1">
        <v>0</v>
      </c>
      <c r="L738" s="1">
        <v>0</v>
      </c>
      <c r="M738" s="1">
        <v>0</v>
      </c>
      <c r="N738" s="1">
        <f t="shared" ref="N738:N801" si="35">K738+L738+M738</f>
        <v>0</v>
      </c>
      <c r="O738" s="9">
        <v>16</v>
      </c>
      <c r="P738" s="1">
        <v>0</v>
      </c>
      <c r="Q738" s="1">
        <v>0</v>
      </c>
      <c r="R738" s="12">
        <v>37926</v>
      </c>
      <c r="S738" s="1">
        <v>2389</v>
      </c>
      <c r="T738" s="9" t="s">
        <v>21</v>
      </c>
    </row>
    <row r="739" spans="1:20" x14ac:dyDescent="0.25">
      <c r="A739" s="10" t="s">
        <v>37</v>
      </c>
      <c r="B739" t="b">
        <v>0</v>
      </c>
      <c r="C739" t="b">
        <v>0</v>
      </c>
      <c r="D739" s="1">
        <v>0</v>
      </c>
      <c r="E739" s="1">
        <v>0</v>
      </c>
      <c r="F739" s="1">
        <v>0</v>
      </c>
      <c r="G739" s="1">
        <v>2263</v>
      </c>
      <c r="H739" s="1">
        <v>0</v>
      </c>
      <c r="I739" s="1">
        <v>0</v>
      </c>
      <c r="J739" s="1">
        <f t="shared" si="34"/>
        <v>2263</v>
      </c>
      <c r="K739" s="1">
        <v>0</v>
      </c>
      <c r="L739" s="1">
        <v>0</v>
      </c>
      <c r="M739" s="1">
        <v>0</v>
      </c>
      <c r="N739" s="1">
        <f t="shared" si="35"/>
        <v>0</v>
      </c>
      <c r="O739" s="9">
        <v>18</v>
      </c>
      <c r="P739" s="1">
        <v>0</v>
      </c>
      <c r="Q739" s="1">
        <v>0</v>
      </c>
      <c r="R739" s="12">
        <v>37956</v>
      </c>
      <c r="S739" s="1">
        <v>2281</v>
      </c>
      <c r="T739" s="9" t="s">
        <v>21</v>
      </c>
    </row>
    <row r="740" spans="1:20" x14ac:dyDescent="0.25">
      <c r="A740" s="10" t="s">
        <v>37</v>
      </c>
      <c r="B740" t="b">
        <v>0</v>
      </c>
      <c r="C740" t="b">
        <v>0</v>
      </c>
      <c r="D740" s="1">
        <v>108</v>
      </c>
      <c r="E740" s="1">
        <v>0</v>
      </c>
      <c r="F740" s="1">
        <v>0</v>
      </c>
      <c r="G740" s="1">
        <v>2318</v>
      </c>
      <c r="H740" s="1">
        <v>0</v>
      </c>
      <c r="I740" s="1">
        <v>0</v>
      </c>
      <c r="J740" s="1">
        <f t="shared" si="34"/>
        <v>2426</v>
      </c>
      <c r="K740" s="1">
        <v>0</v>
      </c>
      <c r="L740" s="1">
        <v>0</v>
      </c>
      <c r="M740" s="1">
        <v>0</v>
      </c>
      <c r="N740" s="1">
        <f t="shared" si="35"/>
        <v>0</v>
      </c>
      <c r="O740" s="9">
        <v>22</v>
      </c>
      <c r="P740" s="1">
        <v>0</v>
      </c>
      <c r="Q740" s="1">
        <v>0</v>
      </c>
      <c r="R740" s="12">
        <v>37987</v>
      </c>
      <c r="S740" s="1">
        <v>2448</v>
      </c>
      <c r="T740" s="9" t="s">
        <v>41</v>
      </c>
    </row>
    <row r="741" spans="1:20" x14ac:dyDescent="0.25">
      <c r="A741" s="10" t="s">
        <v>37</v>
      </c>
      <c r="B741" t="b">
        <v>0</v>
      </c>
      <c r="C741" t="b">
        <v>0</v>
      </c>
      <c r="D741" s="1">
        <v>8</v>
      </c>
      <c r="E741" s="1">
        <v>0</v>
      </c>
      <c r="F741" s="1">
        <v>0</v>
      </c>
      <c r="G741" s="1">
        <v>2133</v>
      </c>
      <c r="H741" s="1">
        <v>0</v>
      </c>
      <c r="I741" s="1">
        <v>0</v>
      </c>
      <c r="J741" s="1">
        <f t="shared" si="34"/>
        <v>2141</v>
      </c>
      <c r="K741" s="1">
        <v>0</v>
      </c>
      <c r="L741" s="1">
        <v>0</v>
      </c>
      <c r="M741" s="1">
        <v>0</v>
      </c>
      <c r="N741" s="1">
        <f t="shared" si="35"/>
        <v>0</v>
      </c>
      <c r="O741" s="9">
        <v>18</v>
      </c>
      <c r="P741" s="1">
        <v>0</v>
      </c>
      <c r="Q741" s="1">
        <v>0</v>
      </c>
      <c r="R741" s="12">
        <v>38018</v>
      </c>
      <c r="S741" s="1">
        <v>2159</v>
      </c>
      <c r="T741" s="9" t="s">
        <v>41</v>
      </c>
    </row>
    <row r="742" spans="1:20" x14ac:dyDescent="0.25">
      <c r="A742" s="10" t="s">
        <v>37</v>
      </c>
      <c r="B742" t="b">
        <v>0</v>
      </c>
      <c r="C742" t="b">
        <v>0</v>
      </c>
      <c r="D742" s="1">
        <v>3</v>
      </c>
      <c r="E742" s="1">
        <v>0</v>
      </c>
      <c r="F742" s="1">
        <v>0</v>
      </c>
      <c r="G742" s="1">
        <v>2235</v>
      </c>
      <c r="H742" s="1">
        <v>0</v>
      </c>
      <c r="I742" s="1">
        <v>0</v>
      </c>
      <c r="J742" s="1">
        <f t="shared" si="34"/>
        <v>2238</v>
      </c>
      <c r="K742" s="1">
        <v>0</v>
      </c>
      <c r="L742" s="1">
        <v>0</v>
      </c>
      <c r="M742" s="1">
        <v>0</v>
      </c>
      <c r="N742" s="1">
        <f t="shared" si="35"/>
        <v>0</v>
      </c>
      <c r="O742" s="9">
        <v>16</v>
      </c>
      <c r="P742" s="1">
        <v>0</v>
      </c>
      <c r="Q742" s="1">
        <v>0</v>
      </c>
      <c r="R742" s="12">
        <v>38047</v>
      </c>
      <c r="S742" s="1">
        <v>2254</v>
      </c>
      <c r="T742" s="9" t="s">
        <v>41</v>
      </c>
    </row>
    <row r="743" spans="1:20" x14ac:dyDescent="0.25">
      <c r="A743" s="10" t="s">
        <v>37</v>
      </c>
      <c r="B743" t="b">
        <v>0</v>
      </c>
      <c r="C743" t="b">
        <v>0</v>
      </c>
      <c r="D743" s="1">
        <v>8</v>
      </c>
      <c r="E743" s="1">
        <v>0</v>
      </c>
      <c r="F743" s="1">
        <v>0</v>
      </c>
      <c r="G743" s="1">
        <v>2170</v>
      </c>
      <c r="H743" s="1">
        <v>0</v>
      </c>
      <c r="I743" s="1">
        <v>0</v>
      </c>
      <c r="J743" s="1">
        <f t="shared" si="34"/>
        <v>2178</v>
      </c>
      <c r="K743" s="1">
        <v>0</v>
      </c>
      <c r="L743" s="1">
        <v>0</v>
      </c>
      <c r="M743" s="1">
        <v>0</v>
      </c>
      <c r="N743" s="1">
        <f t="shared" si="35"/>
        <v>0</v>
      </c>
      <c r="O743" s="9">
        <v>16</v>
      </c>
      <c r="P743" s="1">
        <v>0</v>
      </c>
      <c r="Q743" s="1">
        <v>0</v>
      </c>
      <c r="R743" s="12">
        <v>38078</v>
      </c>
      <c r="S743" s="1">
        <v>2194</v>
      </c>
      <c r="T743" s="9" t="s">
        <v>41</v>
      </c>
    </row>
    <row r="744" spans="1:20" x14ac:dyDescent="0.25">
      <c r="A744" s="10" t="s">
        <v>37</v>
      </c>
      <c r="B744" t="b">
        <v>0</v>
      </c>
      <c r="C744" t="b">
        <v>0</v>
      </c>
      <c r="D744" s="1">
        <v>0</v>
      </c>
      <c r="E744" s="1">
        <v>0</v>
      </c>
      <c r="F744" s="1">
        <v>0</v>
      </c>
      <c r="G744" s="1">
        <v>2318</v>
      </c>
      <c r="H744" s="1">
        <v>0</v>
      </c>
      <c r="I744" s="1">
        <v>0</v>
      </c>
      <c r="J744" s="1">
        <f t="shared" si="34"/>
        <v>2318</v>
      </c>
      <c r="K744" s="1">
        <v>0</v>
      </c>
      <c r="L744" s="1">
        <v>0</v>
      </c>
      <c r="M744" s="1">
        <v>0</v>
      </c>
      <c r="N744" s="1">
        <f t="shared" si="35"/>
        <v>0</v>
      </c>
      <c r="O744" s="9">
        <v>22</v>
      </c>
      <c r="P744" s="1">
        <v>0</v>
      </c>
      <c r="Q744" s="1">
        <v>0</v>
      </c>
      <c r="R744" s="12">
        <v>38108</v>
      </c>
      <c r="S744" s="1">
        <v>2340</v>
      </c>
      <c r="T744" s="9" t="s">
        <v>41</v>
      </c>
    </row>
    <row r="745" spans="1:20" x14ac:dyDescent="0.25">
      <c r="A745" s="10" t="s">
        <v>37</v>
      </c>
      <c r="B745" t="b">
        <v>0</v>
      </c>
      <c r="C745" t="b">
        <v>0</v>
      </c>
      <c r="D745" s="1">
        <v>0</v>
      </c>
      <c r="E745" s="1">
        <v>0</v>
      </c>
      <c r="F745" s="1">
        <v>0</v>
      </c>
      <c r="G745" s="1">
        <v>2170</v>
      </c>
      <c r="H745" s="1">
        <v>0</v>
      </c>
      <c r="I745" s="1">
        <v>0</v>
      </c>
      <c r="J745" s="1">
        <f t="shared" si="34"/>
        <v>2170</v>
      </c>
      <c r="K745" s="1">
        <v>0</v>
      </c>
      <c r="L745" s="1">
        <v>0</v>
      </c>
      <c r="M745" s="1">
        <v>0</v>
      </c>
      <c r="N745" s="1">
        <f t="shared" si="35"/>
        <v>0</v>
      </c>
      <c r="O745" s="9">
        <v>16</v>
      </c>
      <c r="P745" s="1">
        <v>0</v>
      </c>
      <c r="Q745" s="1">
        <v>0</v>
      </c>
      <c r="R745" s="12">
        <v>38139</v>
      </c>
      <c r="S745" s="1">
        <v>2186</v>
      </c>
      <c r="T745" s="9" t="s">
        <v>41</v>
      </c>
    </row>
    <row r="746" spans="1:20" x14ac:dyDescent="0.25">
      <c r="A746" s="10" t="s">
        <v>37</v>
      </c>
      <c r="B746" t="b">
        <v>0</v>
      </c>
      <c r="C746" t="b">
        <v>0</v>
      </c>
      <c r="D746" s="1">
        <v>0</v>
      </c>
      <c r="E746" s="1">
        <v>0</v>
      </c>
      <c r="F746" s="1">
        <v>0</v>
      </c>
      <c r="G746" s="1">
        <v>2290</v>
      </c>
      <c r="H746" s="1">
        <v>0</v>
      </c>
      <c r="I746" s="1">
        <v>0</v>
      </c>
      <c r="J746" s="1">
        <f t="shared" si="34"/>
        <v>2290</v>
      </c>
      <c r="K746" s="1">
        <v>0</v>
      </c>
      <c r="L746" s="1">
        <v>0</v>
      </c>
      <c r="M746" s="1">
        <v>0</v>
      </c>
      <c r="N746" s="1">
        <f t="shared" si="35"/>
        <v>0</v>
      </c>
      <c r="O746" s="9">
        <v>0</v>
      </c>
      <c r="P746" s="1">
        <v>0</v>
      </c>
      <c r="Q746" s="1">
        <v>0</v>
      </c>
      <c r="R746" s="12">
        <v>38169</v>
      </c>
      <c r="S746" s="1">
        <v>2290</v>
      </c>
      <c r="T746" s="9" t="s">
        <v>41</v>
      </c>
    </row>
    <row r="747" spans="1:20" x14ac:dyDescent="0.25">
      <c r="A747" s="10" t="s">
        <v>37</v>
      </c>
      <c r="B747" t="b">
        <v>0</v>
      </c>
      <c r="C747" t="b">
        <v>0</v>
      </c>
      <c r="D747" s="1">
        <v>740</v>
      </c>
      <c r="E747" s="1">
        <v>0</v>
      </c>
      <c r="F747" s="1">
        <v>0</v>
      </c>
      <c r="G747" s="1">
        <v>2290</v>
      </c>
      <c r="H747" s="1">
        <v>0</v>
      </c>
      <c r="I747" s="1">
        <v>0</v>
      </c>
      <c r="J747" s="1">
        <f t="shared" si="34"/>
        <v>3030</v>
      </c>
      <c r="K747" s="1">
        <v>0</v>
      </c>
      <c r="L747" s="1">
        <v>0</v>
      </c>
      <c r="M747" s="1">
        <v>0</v>
      </c>
      <c r="N747" s="1">
        <f t="shared" si="35"/>
        <v>0</v>
      </c>
      <c r="O747" s="9">
        <v>20</v>
      </c>
      <c r="P747" s="1">
        <v>0</v>
      </c>
      <c r="Q747" s="1">
        <v>0</v>
      </c>
      <c r="R747" s="12">
        <v>38200</v>
      </c>
      <c r="S747" s="1">
        <v>3050</v>
      </c>
      <c r="T747" s="9" t="s">
        <v>41</v>
      </c>
    </row>
    <row r="748" spans="1:20" x14ac:dyDescent="0.25">
      <c r="A748" s="10" t="s">
        <v>37</v>
      </c>
      <c r="B748" t="b">
        <v>0</v>
      </c>
      <c r="C748" t="b">
        <v>0</v>
      </c>
      <c r="D748" s="1">
        <v>0</v>
      </c>
      <c r="E748" s="1">
        <v>0</v>
      </c>
      <c r="F748" s="1">
        <v>0</v>
      </c>
      <c r="G748" s="1">
        <v>2198</v>
      </c>
      <c r="H748" s="1">
        <v>0</v>
      </c>
      <c r="I748" s="1">
        <v>0</v>
      </c>
      <c r="J748" s="1">
        <f t="shared" si="34"/>
        <v>2198</v>
      </c>
      <c r="K748" s="1">
        <v>0</v>
      </c>
      <c r="L748" s="1">
        <v>0</v>
      </c>
      <c r="M748" s="1">
        <v>0</v>
      </c>
      <c r="N748" s="1">
        <f t="shared" si="35"/>
        <v>0</v>
      </c>
      <c r="O748" s="9">
        <v>18</v>
      </c>
      <c r="P748" s="1">
        <v>0</v>
      </c>
      <c r="Q748" s="1">
        <v>0</v>
      </c>
      <c r="R748" s="12">
        <v>38231</v>
      </c>
      <c r="S748" s="1">
        <v>2216</v>
      </c>
      <c r="T748" s="9" t="s">
        <v>41</v>
      </c>
    </row>
    <row r="749" spans="1:20" x14ac:dyDescent="0.25">
      <c r="A749" s="10" t="s">
        <v>37</v>
      </c>
      <c r="B749" t="b">
        <v>0</v>
      </c>
      <c r="C749" t="b">
        <v>0</v>
      </c>
      <c r="D749" s="1">
        <v>0</v>
      </c>
      <c r="E749" s="1">
        <v>0</v>
      </c>
      <c r="F749" s="1">
        <v>0</v>
      </c>
      <c r="G749" s="1">
        <v>2290</v>
      </c>
      <c r="H749" s="1">
        <v>0</v>
      </c>
      <c r="I749" s="1">
        <v>0</v>
      </c>
      <c r="J749" s="1">
        <f t="shared" si="34"/>
        <v>2290</v>
      </c>
      <c r="K749" s="1">
        <v>0</v>
      </c>
      <c r="L749" s="1">
        <v>0</v>
      </c>
      <c r="M749" s="1">
        <v>0</v>
      </c>
      <c r="N749" s="1">
        <f t="shared" si="35"/>
        <v>0</v>
      </c>
      <c r="O749" s="9">
        <v>20</v>
      </c>
      <c r="P749" s="1">
        <v>0</v>
      </c>
      <c r="Q749" s="1">
        <v>0</v>
      </c>
      <c r="R749" s="12">
        <v>38261</v>
      </c>
      <c r="S749" s="1">
        <v>2310</v>
      </c>
      <c r="T749" s="9" t="s">
        <v>41</v>
      </c>
    </row>
    <row r="750" spans="1:20" x14ac:dyDescent="0.25">
      <c r="A750" s="10" t="s">
        <v>37</v>
      </c>
      <c r="B750" t="b">
        <v>0</v>
      </c>
      <c r="C750" t="b">
        <v>0</v>
      </c>
      <c r="D750" s="1">
        <v>0</v>
      </c>
      <c r="E750" s="1">
        <v>0</v>
      </c>
      <c r="F750" s="1">
        <v>0</v>
      </c>
      <c r="G750" s="1">
        <v>2170</v>
      </c>
      <c r="H750" s="1">
        <v>0</v>
      </c>
      <c r="I750" s="1">
        <v>0</v>
      </c>
      <c r="J750" s="1">
        <f t="shared" si="34"/>
        <v>2170</v>
      </c>
      <c r="K750" s="1">
        <v>0</v>
      </c>
      <c r="L750" s="1">
        <v>0</v>
      </c>
      <c r="M750" s="1">
        <v>0</v>
      </c>
      <c r="N750" s="1">
        <f t="shared" si="35"/>
        <v>0</v>
      </c>
      <c r="O750" s="9">
        <v>20</v>
      </c>
      <c r="P750" s="1">
        <v>0</v>
      </c>
      <c r="Q750" s="1">
        <v>0</v>
      </c>
      <c r="R750" s="12">
        <v>38292</v>
      </c>
      <c r="S750" s="1">
        <v>2190</v>
      </c>
      <c r="T750" s="9" t="s">
        <v>41</v>
      </c>
    </row>
    <row r="751" spans="1:20" x14ac:dyDescent="0.25">
      <c r="A751" s="10" t="s">
        <v>37</v>
      </c>
      <c r="B751" t="b">
        <v>0</v>
      </c>
      <c r="C751" t="b">
        <v>0</v>
      </c>
      <c r="D751" s="1">
        <v>0</v>
      </c>
      <c r="E751" s="1">
        <v>0</v>
      </c>
      <c r="F751" s="1">
        <v>0</v>
      </c>
      <c r="G751" s="1">
        <v>2235</v>
      </c>
      <c r="H751" s="1">
        <v>0</v>
      </c>
      <c r="I751" s="1">
        <v>0</v>
      </c>
      <c r="J751" s="1">
        <f t="shared" si="34"/>
        <v>2235</v>
      </c>
      <c r="K751" s="1">
        <v>0</v>
      </c>
      <c r="L751" s="1">
        <v>0</v>
      </c>
      <c r="M751" s="1">
        <v>0</v>
      </c>
      <c r="N751" s="1">
        <f t="shared" si="35"/>
        <v>0</v>
      </c>
      <c r="O751" s="9">
        <v>16</v>
      </c>
      <c r="P751" s="1">
        <v>0</v>
      </c>
      <c r="Q751" s="1">
        <v>0</v>
      </c>
      <c r="R751" s="12">
        <v>38322</v>
      </c>
      <c r="S751" s="1">
        <v>2251</v>
      </c>
      <c r="T751" s="9" t="s">
        <v>41</v>
      </c>
    </row>
    <row r="752" spans="1:20" x14ac:dyDescent="0.25">
      <c r="A752" s="10" t="s">
        <v>37</v>
      </c>
      <c r="B752" t="b">
        <v>0</v>
      </c>
      <c r="C752" t="b">
        <v>0</v>
      </c>
      <c r="D752" s="1">
        <v>0</v>
      </c>
      <c r="E752" s="1">
        <v>0</v>
      </c>
      <c r="F752" s="1">
        <v>0</v>
      </c>
      <c r="G752" s="1">
        <v>2318</v>
      </c>
      <c r="H752" s="1">
        <v>0</v>
      </c>
      <c r="I752" s="1">
        <v>0</v>
      </c>
      <c r="J752" s="1">
        <f t="shared" si="34"/>
        <v>2318</v>
      </c>
      <c r="K752" s="1">
        <v>0</v>
      </c>
      <c r="L752" s="1">
        <v>0</v>
      </c>
      <c r="M752" s="1">
        <v>0</v>
      </c>
      <c r="N752" s="1">
        <f t="shared" si="35"/>
        <v>0</v>
      </c>
      <c r="O752" s="9">
        <v>20</v>
      </c>
      <c r="P752" s="1">
        <v>0</v>
      </c>
      <c r="Q752" s="1">
        <v>0</v>
      </c>
      <c r="R752" s="12">
        <v>38353</v>
      </c>
      <c r="S752" s="1">
        <v>2338</v>
      </c>
      <c r="T752" s="9" t="s">
        <v>21</v>
      </c>
    </row>
    <row r="753" spans="1:20" x14ac:dyDescent="0.25">
      <c r="A753" s="10" t="s">
        <v>37</v>
      </c>
      <c r="B753" t="b">
        <v>0</v>
      </c>
      <c r="C753" t="b">
        <v>0</v>
      </c>
      <c r="D753" s="1">
        <v>0</v>
      </c>
      <c r="E753" s="1">
        <v>0</v>
      </c>
      <c r="F753" s="1">
        <v>0</v>
      </c>
      <c r="G753" s="1">
        <v>2040</v>
      </c>
      <c r="H753" s="1">
        <v>0</v>
      </c>
      <c r="I753" s="1">
        <v>0</v>
      </c>
      <c r="J753" s="1">
        <f t="shared" si="34"/>
        <v>2040</v>
      </c>
      <c r="K753" s="1">
        <v>0</v>
      </c>
      <c r="L753" s="1">
        <v>0</v>
      </c>
      <c r="M753" s="1">
        <v>0</v>
      </c>
      <c r="N753" s="1">
        <f t="shared" si="35"/>
        <v>0</v>
      </c>
      <c r="O753" s="9">
        <v>16</v>
      </c>
      <c r="P753" s="1">
        <v>0</v>
      </c>
      <c r="Q753" s="1">
        <v>0</v>
      </c>
      <c r="R753" s="12">
        <v>38384</v>
      </c>
      <c r="S753" s="1">
        <v>2056</v>
      </c>
      <c r="T753" s="9" t="s">
        <v>21</v>
      </c>
    </row>
    <row r="754" spans="1:20" x14ac:dyDescent="0.25">
      <c r="A754" s="10" t="s">
        <v>37</v>
      </c>
      <c r="B754" t="b">
        <v>0</v>
      </c>
      <c r="C754" t="b">
        <v>0</v>
      </c>
      <c r="D754" s="1">
        <v>0</v>
      </c>
      <c r="E754" s="1">
        <v>0</v>
      </c>
      <c r="F754" s="1">
        <v>0</v>
      </c>
      <c r="G754" s="1">
        <v>2235</v>
      </c>
      <c r="H754" s="1">
        <v>0</v>
      </c>
      <c r="I754" s="1">
        <v>0</v>
      </c>
      <c r="J754" s="1">
        <f t="shared" si="34"/>
        <v>2235</v>
      </c>
      <c r="K754" s="1">
        <v>0</v>
      </c>
      <c r="L754" s="1">
        <v>0</v>
      </c>
      <c r="M754" s="1">
        <v>0</v>
      </c>
      <c r="N754" s="1">
        <f t="shared" si="35"/>
        <v>0</v>
      </c>
      <c r="O754" s="9">
        <v>16</v>
      </c>
      <c r="P754" s="1">
        <v>0</v>
      </c>
      <c r="Q754" s="1">
        <v>0</v>
      </c>
      <c r="R754" s="12">
        <v>38412</v>
      </c>
      <c r="S754" s="1">
        <v>2251</v>
      </c>
      <c r="T754" s="9" t="s">
        <v>21</v>
      </c>
    </row>
    <row r="755" spans="1:20" x14ac:dyDescent="0.25">
      <c r="A755" s="10" t="s">
        <v>37</v>
      </c>
      <c r="B755" t="b">
        <v>0</v>
      </c>
      <c r="C755" t="b">
        <v>0</v>
      </c>
      <c r="D755" s="1">
        <v>0</v>
      </c>
      <c r="E755" s="1">
        <v>0</v>
      </c>
      <c r="F755" s="1">
        <v>0</v>
      </c>
      <c r="G755" s="1">
        <v>2235</v>
      </c>
      <c r="H755" s="1">
        <v>0</v>
      </c>
      <c r="I755" s="1">
        <v>0</v>
      </c>
      <c r="J755" s="1">
        <f t="shared" si="34"/>
        <v>2235</v>
      </c>
      <c r="K755" s="1">
        <v>0</v>
      </c>
      <c r="L755" s="1">
        <v>0</v>
      </c>
      <c r="M755" s="1">
        <v>0</v>
      </c>
      <c r="N755" s="1">
        <f t="shared" si="35"/>
        <v>0</v>
      </c>
      <c r="O755" s="9">
        <v>16</v>
      </c>
      <c r="P755" s="1">
        <v>0</v>
      </c>
      <c r="Q755" s="1">
        <v>0</v>
      </c>
      <c r="R755" s="12">
        <v>38443</v>
      </c>
      <c r="S755" s="1">
        <v>2251</v>
      </c>
      <c r="T755" s="9" t="s">
        <v>21</v>
      </c>
    </row>
    <row r="756" spans="1:20" x14ac:dyDescent="0.25">
      <c r="A756" s="10" t="s">
        <v>37</v>
      </c>
      <c r="B756" t="b">
        <v>0</v>
      </c>
      <c r="C756" t="b">
        <v>0</v>
      </c>
      <c r="D756" s="1">
        <v>0</v>
      </c>
      <c r="E756" s="1">
        <v>0</v>
      </c>
      <c r="F756" s="1">
        <v>0</v>
      </c>
      <c r="G756" s="1">
        <v>2263</v>
      </c>
      <c r="H756" s="1">
        <v>0</v>
      </c>
      <c r="I756" s="1">
        <v>0</v>
      </c>
      <c r="J756" s="1">
        <f t="shared" si="34"/>
        <v>2263</v>
      </c>
      <c r="K756" s="1">
        <v>0</v>
      </c>
      <c r="L756" s="1">
        <v>0</v>
      </c>
      <c r="M756" s="1">
        <v>0</v>
      </c>
      <c r="N756" s="1">
        <f t="shared" si="35"/>
        <v>0</v>
      </c>
      <c r="O756" s="9">
        <v>18</v>
      </c>
      <c r="P756" s="1">
        <v>0</v>
      </c>
      <c r="Q756" s="1">
        <v>0</v>
      </c>
      <c r="R756" s="12">
        <v>38473</v>
      </c>
      <c r="S756" s="1">
        <v>2281</v>
      </c>
      <c r="T756" s="9" t="s">
        <v>21</v>
      </c>
    </row>
    <row r="757" spans="1:20" x14ac:dyDescent="0.25">
      <c r="A757" s="10" t="s">
        <v>37</v>
      </c>
      <c r="B757" t="b">
        <v>0</v>
      </c>
      <c r="C757" t="b">
        <v>0</v>
      </c>
      <c r="D757" s="1">
        <v>0</v>
      </c>
      <c r="E757" s="1">
        <v>0</v>
      </c>
      <c r="F757" s="1">
        <v>0</v>
      </c>
      <c r="G757" s="1">
        <v>2198</v>
      </c>
      <c r="H757" s="1">
        <v>0</v>
      </c>
      <c r="I757" s="1">
        <v>0</v>
      </c>
      <c r="J757" s="1">
        <f t="shared" si="34"/>
        <v>2198</v>
      </c>
      <c r="K757" s="1">
        <v>0</v>
      </c>
      <c r="L757" s="1">
        <v>0</v>
      </c>
      <c r="M757" s="1">
        <v>0</v>
      </c>
      <c r="N757" s="1">
        <f t="shared" si="35"/>
        <v>0</v>
      </c>
      <c r="O757" s="9">
        <v>18</v>
      </c>
      <c r="P757" s="1">
        <v>0</v>
      </c>
      <c r="Q757" s="1">
        <v>0</v>
      </c>
      <c r="R757" s="12">
        <v>38504</v>
      </c>
      <c r="S757" s="1">
        <v>2216</v>
      </c>
      <c r="T757" s="9" t="s">
        <v>21</v>
      </c>
    </row>
    <row r="758" spans="1:20" x14ac:dyDescent="0.25">
      <c r="A758" s="10" t="s">
        <v>37</v>
      </c>
      <c r="B758" t="b">
        <v>0</v>
      </c>
      <c r="C758" t="b">
        <v>0</v>
      </c>
      <c r="D758" s="1">
        <v>0</v>
      </c>
      <c r="E758" s="1">
        <v>0</v>
      </c>
      <c r="F758" s="1">
        <v>0</v>
      </c>
      <c r="G758" s="1">
        <v>2290</v>
      </c>
      <c r="H758" s="1">
        <v>0</v>
      </c>
      <c r="I758" s="1">
        <v>0</v>
      </c>
      <c r="J758" s="1">
        <f t="shared" si="34"/>
        <v>2290</v>
      </c>
      <c r="K758" s="1">
        <v>0</v>
      </c>
      <c r="L758" s="1">
        <v>0</v>
      </c>
      <c r="M758" s="1">
        <v>0</v>
      </c>
      <c r="N758" s="1">
        <f t="shared" si="35"/>
        <v>0</v>
      </c>
      <c r="O758" s="9">
        <v>22</v>
      </c>
      <c r="P758" s="1">
        <v>0</v>
      </c>
      <c r="Q758" s="1">
        <v>0</v>
      </c>
      <c r="R758" s="12">
        <v>38534</v>
      </c>
      <c r="S758" s="1">
        <v>2312</v>
      </c>
      <c r="T758" s="9" t="s">
        <v>21</v>
      </c>
    </row>
    <row r="759" spans="1:20" x14ac:dyDescent="0.25">
      <c r="A759" s="10" t="s">
        <v>37</v>
      </c>
      <c r="B759" t="b">
        <v>0</v>
      </c>
      <c r="C759" t="b">
        <v>0</v>
      </c>
      <c r="D759" s="1">
        <v>0</v>
      </c>
      <c r="E759" s="1">
        <v>0</v>
      </c>
      <c r="F759" s="1">
        <v>0</v>
      </c>
      <c r="G759" s="1">
        <v>2235</v>
      </c>
      <c r="H759" s="1">
        <v>0</v>
      </c>
      <c r="I759" s="1">
        <v>0</v>
      </c>
      <c r="J759" s="1">
        <f t="shared" si="34"/>
        <v>2235</v>
      </c>
      <c r="K759" s="1">
        <v>0</v>
      </c>
      <c r="L759" s="1">
        <v>0</v>
      </c>
      <c r="M759" s="1">
        <v>0</v>
      </c>
      <c r="N759" s="1">
        <f t="shared" si="35"/>
        <v>0</v>
      </c>
      <c r="O759" s="9">
        <v>16</v>
      </c>
      <c r="P759" s="1">
        <v>0</v>
      </c>
      <c r="Q759" s="1">
        <v>0</v>
      </c>
      <c r="R759" s="12">
        <v>38565</v>
      </c>
      <c r="S759" s="1">
        <v>2251</v>
      </c>
      <c r="T759" s="9" t="s">
        <v>21</v>
      </c>
    </row>
    <row r="760" spans="1:20" x14ac:dyDescent="0.25">
      <c r="A760" s="10" t="s">
        <v>37</v>
      </c>
      <c r="B760" t="b">
        <v>0</v>
      </c>
      <c r="C760" t="b">
        <v>0</v>
      </c>
      <c r="D760" s="1">
        <v>0</v>
      </c>
      <c r="E760" s="1">
        <v>0</v>
      </c>
      <c r="F760" s="1">
        <v>0</v>
      </c>
      <c r="G760" s="1">
        <v>2198</v>
      </c>
      <c r="H760" s="1">
        <v>0</v>
      </c>
      <c r="I760" s="1">
        <v>0</v>
      </c>
      <c r="J760" s="1">
        <f t="shared" si="34"/>
        <v>2198</v>
      </c>
      <c r="K760" s="1">
        <v>0</v>
      </c>
      <c r="L760" s="1">
        <v>0</v>
      </c>
      <c r="M760" s="1">
        <v>0</v>
      </c>
      <c r="N760" s="1">
        <f t="shared" si="35"/>
        <v>0</v>
      </c>
      <c r="O760" s="9">
        <v>18</v>
      </c>
      <c r="P760" s="1">
        <v>0</v>
      </c>
      <c r="Q760" s="1">
        <v>0</v>
      </c>
      <c r="R760" s="12">
        <v>38596</v>
      </c>
      <c r="S760" s="1">
        <v>2216</v>
      </c>
      <c r="T760" s="9" t="s">
        <v>21</v>
      </c>
    </row>
    <row r="761" spans="1:20" x14ac:dyDescent="0.25">
      <c r="A761" s="10" t="s">
        <v>37</v>
      </c>
      <c r="B761" t="b">
        <v>0</v>
      </c>
      <c r="C761" t="b">
        <v>0</v>
      </c>
      <c r="D761" s="1">
        <v>0</v>
      </c>
      <c r="E761" s="1">
        <v>0</v>
      </c>
      <c r="F761" s="1">
        <v>0</v>
      </c>
      <c r="G761" s="1">
        <v>2290</v>
      </c>
      <c r="H761" s="1">
        <v>0</v>
      </c>
      <c r="I761" s="1">
        <v>0</v>
      </c>
      <c r="J761" s="1">
        <f t="shared" si="34"/>
        <v>2290</v>
      </c>
      <c r="K761" s="1">
        <v>0</v>
      </c>
      <c r="L761" s="1">
        <v>0</v>
      </c>
      <c r="M761" s="1">
        <v>0</v>
      </c>
      <c r="N761" s="1">
        <f t="shared" si="35"/>
        <v>0</v>
      </c>
      <c r="O761" s="9">
        <v>20</v>
      </c>
      <c r="P761" s="1">
        <v>0</v>
      </c>
      <c r="Q761" s="1">
        <v>0</v>
      </c>
      <c r="R761" s="12">
        <v>38626</v>
      </c>
      <c r="S761" s="1">
        <v>2310</v>
      </c>
      <c r="T761" s="9" t="s">
        <v>21</v>
      </c>
    </row>
    <row r="762" spans="1:20" x14ac:dyDescent="0.25">
      <c r="A762" s="10" t="s">
        <v>37</v>
      </c>
      <c r="B762" t="b">
        <v>0</v>
      </c>
      <c r="C762" t="b">
        <v>0</v>
      </c>
      <c r="D762" s="1">
        <v>0</v>
      </c>
      <c r="E762" s="1">
        <v>0</v>
      </c>
      <c r="F762" s="1">
        <v>0</v>
      </c>
      <c r="G762" s="1">
        <v>2170</v>
      </c>
      <c r="H762" s="1">
        <v>0</v>
      </c>
      <c r="I762" s="1">
        <v>0</v>
      </c>
      <c r="J762" s="1">
        <f t="shared" si="34"/>
        <v>2170</v>
      </c>
      <c r="K762" s="1">
        <v>0</v>
      </c>
      <c r="L762" s="1">
        <v>0</v>
      </c>
      <c r="M762" s="1">
        <v>0</v>
      </c>
      <c r="N762" s="1">
        <f t="shared" si="35"/>
        <v>0</v>
      </c>
      <c r="O762" s="9">
        <v>16</v>
      </c>
      <c r="P762" s="1">
        <v>0</v>
      </c>
      <c r="Q762" s="1">
        <v>0</v>
      </c>
      <c r="R762" s="12">
        <v>38657</v>
      </c>
      <c r="S762" s="1">
        <v>2186</v>
      </c>
      <c r="T762" s="9" t="s">
        <v>21</v>
      </c>
    </row>
    <row r="763" spans="1:20" x14ac:dyDescent="0.25">
      <c r="A763" s="10" t="s">
        <v>37</v>
      </c>
      <c r="B763" t="b">
        <v>0</v>
      </c>
      <c r="C763" t="b">
        <v>0</v>
      </c>
      <c r="D763" s="1">
        <v>0</v>
      </c>
      <c r="E763" s="1">
        <v>0</v>
      </c>
      <c r="F763" s="1">
        <v>0</v>
      </c>
      <c r="G763" s="1">
        <v>2290</v>
      </c>
      <c r="H763" s="1">
        <v>0</v>
      </c>
      <c r="I763" s="1">
        <v>0</v>
      </c>
      <c r="J763" s="1">
        <f t="shared" si="34"/>
        <v>2290</v>
      </c>
      <c r="K763" s="1">
        <v>0</v>
      </c>
      <c r="L763" s="1">
        <v>0</v>
      </c>
      <c r="M763" s="1">
        <v>0</v>
      </c>
      <c r="N763" s="1">
        <f t="shared" si="35"/>
        <v>0</v>
      </c>
      <c r="O763" s="9">
        <v>18</v>
      </c>
      <c r="P763" s="1">
        <v>0</v>
      </c>
      <c r="Q763" s="1">
        <v>0</v>
      </c>
      <c r="R763" s="12">
        <v>38687</v>
      </c>
      <c r="S763" s="1">
        <v>2308</v>
      </c>
      <c r="T763" s="9" t="s">
        <v>21</v>
      </c>
    </row>
    <row r="764" spans="1:20" x14ac:dyDescent="0.25">
      <c r="A764" s="10" t="s">
        <v>37</v>
      </c>
      <c r="B764" t="b">
        <v>0</v>
      </c>
      <c r="C764" t="b">
        <v>0</v>
      </c>
      <c r="D764" s="1">
        <v>0</v>
      </c>
      <c r="E764" s="1">
        <v>0</v>
      </c>
      <c r="F764" s="1">
        <v>0</v>
      </c>
      <c r="G764" s="1">
        <v>2290</v>
      </c>
      <c r="H764" s="1">
        <v>0</v>
      </c>
      <c r="I764" s="1">
        <v>0</v>
      </c>
      <c r="J764" s="1">
        <f t="shared" si="34"/>
        <v>2290</v>
      </c>
      <c r="K764" s="1">
        <v>0</v>
      </c>
      <c r="L764" s="1">
        <v>0</v>
      </c>
      <c r="M764" s="1">
        <v>0</v>
      </c>
      <c r="N764" s="1">
        <f t="shared" si="35"/>
        <v>0</v>
      </c>
      <c r="O764" s="9">
        <v>18</v>
      </c>
      <c r="P764" s="1">
        <v>0</v>
      </c>
      <c r="Q764" s="1">
        <v>0</v>
      </c>
      <c r="R764" s="12">
        <v>38718</v>
      </c>
      <c r="S764" s="1">
        <v>2308</v>
      </c>
      <c r="T764" s="9" t="s">
        <v>21</v>
      </c>
    </row>
    <row r="765" spans="1:20" x14ac:dyDescent="0.25">
      <c r="A765" s="10" t="s">
        <v>37</v>
      </c>
      <c r="B765" t="b">
        <v>0</v>
      </c>
      <c r="C765" t="b">
        <v>0</v>
      </c>
      <c r="D765" s="1">
        <v>0</v>
      </c>
      <c r="E765" s="1">
        <v>0</v>
      </c>
      <c r="F765" s="1">
        <v>0</v>
      </c>
      <c r="G765" s="1">
        <v>2040</v>
      </c>
      <c r="H765" s="1">
        <v>0</v>
      </c>
      <c r="I765" s="1">
        <v>0</v>
      </c>
      <c r="J765" s="1">
        <f t="shared" si="34"/>
        <v>2040</v>
      </c>
      <c r="K765" s="1">
        <v>0</v>
      </c>
      <c r="L765" s="1">
        <v>0</v>
      </c>
      <c r="M765" s="1">
        <v>0</v>
      </c>
      <c r="N765" s="1">
        <f t="shared" si="35"/>
        <v>0</v>
      </c>
      <c r="O765" s="9">
        <v>16</v>
      </c>
      <c r="P765" s="1">
        <v>0</v>
      </c>
      <c r="Q765" s="1">
        <v>0</v>
      </c>
      <c r="R765" s="12">
        <v>38749</v>
      </c>
      <c r="S765" s="1">
        <v>2056</v>
      </c>
      <c r="T765" s="9" t="s">
        <v>21</v>
      </c>
    </row>
    <row r="766" spans="1:20" x14ac:dyDescent="0.25">
      <c r="A766" s="10" t="s">
        <v>37</v>
      </c>
      <c r="B766" t="b">
        <v>0</v>
      </c>
      <c r="C766" t="b">
        <v>0</v>
      </c>
      <c r="D766" s="1">
        <v>0</v>
      </c>
      <c r="E766" s="1">
        <v>0</v>
      </c>
      <c r="F766" s="1">
        <v>0</v>
      </c>
      <c r="G766" s="1">
        <v>2170</v>
      </c>
      <c r="H766" s="1">
        <v>0</v>
      </c>
      <c r="I766" s="1">
        <v>0</v>
      </c>
      <c r="J766" s="1">
        <f t="shared" si="34"/>
        <v>2170</v>
      </c>
      <c r="K766" s="1">
        <v>0</v>
      </c>
      <c r="L766" s="1">
        <v>0</v>
      </c>
      <c r="M766" s="1">
        <v>0</v>
      </c>
      <c r="N766" s="1">
        <f t="shared" si="35"/>
        <v>0</v>
      </c>
      <c r="O766" s="9">
        <v>16</v>
      </c>
      <c r="P766" s="1">
        <v>0</v>
      </c>
      <c r="Q766" s="1">
        <v>0</v>
      </c>
      <c r="R766" s="12">
        <v>38777</v>
      </c>
      <c r="S766" s="1">
        <v>2186</v>
      </c>
      <c r="T766" s="9" t="s">
        <v>21</v>
      </c>
    </row>
    <row r="767" spans="1:20" x14ac:dyDescent="0.25">
      <c r="A767" s="10" t="s">
        <v>37</v>
      </c>
      <c r="B767" t="b">
        <v>0</v>
      </c>
      <c r="C767" t="b">
        <v>0</v>
      </c>
      <c r="D767" s="1">
        <v>0</v>
      </c>
      <c r="E767" s="1">
        <v>0</v>
      </c>
      <c r="F767" s="1">
        <v>0</v>
      </c>
      <c r="G767" s="1">
        <v>2225</v>
      </c>
      <c r="H767" s="1">
        <v>0</v>
      </c>
      <c r="I767" s="1">
        <v>0</v>
      </c>
      <c r="J767" s="1">
        <f t="shared" si="34"/>
        <v>2225</v>
      </c>
      <c r="K767" s="1">
        <v>0</v>
      </c>
      <c r="L767" s="1">
        <v>0</v>
      </c>
      <c r="M767" s="1">
        <v>0</v>
      </c>
      <c r="N767" s="1">
        <f t="shared" si="35"/>
        <v>0</v>
      </c>
      <c r="O767" s="9">
        <v>20</v>
      </c>
      <c r="P767" s="1">
        <v>0</v>
      </c>
      <c r="Q767" s="1">
        <v>0</v>
      </c>
      <c r="R767" s="12">
        <v>38808</v>
      </c>
      <c r="S767" s="1">
        <v>2245</v>
      </c>
      <c r="T767" s="9" t="s">
        <v>21</v>
      </c>
    </row>
    <row r="768" spans="1:20" x14ac:dyDescent="0.25">
      <c r="A768" s="10" t="s">
        <v>37</v>
      </c>
      <c r="B768" t="b">
        <v>0</v>
      </c>
      <c r="C768" t="b">
        <v>0</v>
      </c>
      <c r="D768" s="1">
        <v>0</v>
      </c>
      <c r="E768" s="1">
        <v>0</v>
      </c>
      <c r="F768" s="1">
        <v>0</v>
      </c>
      <c r="G768" s="1">
        <v>2235</v>
      </c>
      <c r="H768" s="1">
        <v>0</v>
      </c>
      <c r="I768" s="1">
        <v>0</v>
      </c>
      <c r="J768" s="1">
        <f t="shared" si="34"/>
        <v>2235</v>
      </c>
      <c r="K768" s="1">
        <v>0</v>
      </c>
      <c r="L768" s="1">
        <v>0</v>
      </c>
      <c r="M768" s="1">
        <v>0</v>
      </c>
      <c r="N768" s="1">
        <f t="shared" si="35"/>
        <v>0</v>
      </c>
      <c r="O768" s="9">
        <v>0</v>
      </c>
      <c r="P768" s="1">
        <v>0</v>
      </c>
      <c r="Q768" s="1">
        <v>0</v>
      </c>
      <c r="R768" s="12">
        <v>38838</v>
      </c>
      <c r="S768" s="1">
        <v>2235</v>
      </c>
      <c r="T768" s="9" t="s">
        <v>21</v>
      </c>
    </row>
    <row r="769" spans="1:20" x14ac:dyDescent="0.25">
      <c r="A769" s="10" t="s">
        <v>37</v>
      </c>
      <c r="B769" t="b">
        <v>0</v>
      </c>
      <c r="C769" t="b">
        <v>0</v>
      </c>
      <c r="D769" s="1">
        <v>0</v>
      </c>
      <c r="E769" s="1">
        <v>0</v>
      </c>
      <c r="F769" s="1">
        <v>0</v>
      </c>
      <c r="G769" s="1">
        <v>2170</v>
      </c>
      <c r="H769" s="1">
        <v>0</v>
      </c>
      <c r="I769" s="1">
        <v>0</v>
      </c>
      <c r="J769" s="1">
        <f t="shared" si="34"/>
        <v>2170</v>
      </c>
      <c r="K769" s="1">
        <v>0</v>
      </c>
      <c r="L769" s="1">
        <v>0</v>
      </c>
      <c r="M769" s="1">
        <v>0</v>
      </c>
      <c r="N769" s="1">
        <f t="shared" si="35"/>
        <v>0</v>
      </c>
      <c r="O769" s="9">
        <v>16</v>
      </c>
      <c r="P769" s="1">
        <v>0</v>
      </c>
      <c r="Q769" s="1">
        <v>0</v>
      </c>
      <c r="R769" s="12">
        <v>38869</v>
      </c>
      <c r="S769" s="1">
        <v>2186</v>
      </c>
      <c r="T769" s="9" t="s">
        <v>21</v>
      </c>
    </row>
    <row r="770" spans="1:20" x14ac:dyDescent="0.25">
      <c r="A770" s="10" t="s">
        <v>37</v>
      </c>
      <c r="B770" t="b">
        <v>0</v>
      </c>
      <c r="C770" t="b">
        <v>0</v>
      </c>
      <c r="D770" s="1">
        <v>0</v>
      </c>
      <c r="E770" s="1">
        <v>0</v>
      </c>
      <c r="F770" s="1">
        <v>0</v>
      </c>
      <c r="G770" s="1">
        <v>2290</v>
      </c>
      <c r="H770" s="1">
        <v>0</v>
      </c>
      <c r="I770" s="1">
        <v>0</v>
      </c>
      <c r="J770" s="1">
        <f t="shared" si="34"/>
        <v>2290</v>
      </c>
      <c r="K770" s="1">
        <v>0</v>
      </c>
      <c r="L770" s="1">
        <v>0</v>
      </c>
      <c r="M770" s="1">
        <v>0</v>
      </c>
      <c r="N770" s="1">
        <f t="shared" si="35"/>
        <v>0</v>
      </c>
      <c r="O770" s="9">
        <v>20</v>
      </c>
      <c r="P770" s="1">
        <v>0</v>
      </c>
      <c r="Q770" s="1">
        <v>0</v>
      </c>
      <c r="R770" s="12">
        <v>38899</v>
      </c>
      <c r="S770" s="1">
        <v>2310</v>
      </c>
      <c r="T770" s="9" t="s">
        <v>21</v>
      </c>
    </row>
    <row r="771" spans="1:20" x14ac:dyDescent="0.25">
      <c r="A771" s="10" t="s">
        <v>37</v>
      </c>
      <c r="B771" t="b">
        <v>0</v>
      </c>
      <c r="C771" t="b">
        <v>0</v>
      </c>
      <c r="D771" s="1">
        <v>0</v>
      </c>
      <c r="E771" s="1">
        <v>0</v>
      </c>
      <c r="F771" s="1">
        <v>0</v>
      </c>
      <c r="G771" s="1">
        <v>2235</v>
      </c>
      <c r="H771" s="1">
        <v>0</v>
      </c>
      <c r="I771" s="1">
        <v>0</v>
      </c>
      <c r="J771" s="1">
        <f t="shared" si="34"/>
        <v>2235</v>
      </c>
      <c r="K771" s="1">
        <v>0</v>
      </c>
      <c r="L771" s="1">
        <v>0</v>
      </c>
      <c r="M771" s="1">
        <v>0</v>
      </c>
      <c r="N771" s="1">
        <f t="shared" si="35"/>
        <v>0</v>
      </c>
      <c r="O771" s="9">
        <v>17</v>
      </c>
      <c r="P771" s="1">
        <v>0</v>
      </c>
      <c r="Q771" s="1">
        <v>0</v>
      </c>
      <c r="R771" s="12">
        <v>38930</v>
      </c>
      <c r="S771" s="1">
        <v>2252</v>
      </c>
      <c r="T771" s="9" t="s">
        <v>21</v>
      </c>
    </row>
    <row r="772" spans="1:20" x14ac:dyDescent="0.25">
      <c r="A772" s="10" t="s">
        <v>37</v>
      </c>
      <c r="B772" t="b">
        <v>0</v>
      </c>
      <c r="C772" t="b">
        <v>0</v>
      </c>
      <c r="D772" s="1">
        <v>0</v>
      </c>
      <c r="E772" s="1">
        <v>0</v>
      </c>
      <c r="F772" s="1">
        <v>0</v>
      </c>
      <c r="G772" s="1">
        <v>2225</v>
      </c>
      <c r="H772" s="1">
        <v>0</v>
      </c>
      <c r="I772" s="1">
        <v>0</v>
      </c>
      <c r="J772" s="1">
        <f t="shared" si="34"/>
        <v>2225</v>
      </c>
      <c r="K772" s="1">
        <v>0</v>
      </c>
      <c r="L772" s="1">
        <v>0</v>
      </c>
      <c r="M772" s="1">
        <v>0</v>
      </c>
      <c r="N772" s="1">
        <f t="shared" si="35"/>
        <v>0</v>
      </c>
      <c r="O772" s="9">
        <v>20</v>
      </c>
      <c r="P772" s="1">
        <v>0</v>
      </c>
      <c r="Q772" s="1">
        <v>0</v>
      </c>
      <c r="R772" s="12">
        <v>38961</v>
      </c>
      <c r="S772" s="1">
        <v>2245</v>
      </c>
      <c r="T772" s="9" t="s">
        <v>21</v>
      </c>
    </row>
    <row r="773" spans="1:20" x14ac:dyDescent="0.25">
      <c r="A773" s="10" t="s">
        <v>37</v>
      </c>
      <c r="B773" t="b">
        <v>0</v>
      </c>
      <c r="C773" t="b">
        <v>0</v>
      </c>
      <c r="D773" s="1">
        <v>0</v>
      </c>
      <c r="E773" s="1">
        <v>0</v>
      </c>
      <c r="F773" s="1">
        <v>0</v>
      </c>
      <c r="G773" s="1">
        <v>2263</v>
      </c>
      <c r="H773" s="1">
        <v>0</v>
      </c>
      <c r="I773" s="1">
        <v>0</v>
      </c>
      <c r="J773" s="1">
        <f t="shared" si="34"/>
        <v>2263</v>
      </c>
      <c r="K773" s="1">
        <v>0</v>
      </c>
      <c r="L773" s="1">
        <v>0</v>
      </c>
      <c r="M773" s="1">
        <v>0</v>
      </c>
      <c r="N773" s="1">
        <f t="shared" si="35"/>
        <v>0</v>
      </c>
      <c r="O773" s="9">
        <v>18</v>
      </c>
      <c r="P773" s="1">
        <v>0</v>
      </c>
      <c r="Q773" s="1">
        <v>0</v>
      </c>
      <c r="R773" s="12">
        <v>38991</v>
      </c>
      <c r="S773" s="1">
        <v>2281</v>
      </c>
      <c r="T773" s="9" t="s">
        <v>21</v>
      </c>
    </row>
    <row r="774" spans="1:20" x14ac:dyDescent="0.25">
      <c r="A774" s="10" t="s">
        <v>37</v>
      </c>
      <c r="B774" t="b">
        <v>0</v>
      </c>
      <c r="C774" t="b">
        <v>0</v>
      </c>
      <c r="D774" s="1">
        <v>0</v>
      </c>
      <c r="E774" s="1">
        <v>0</v>
      </c>
      <c r="F774" s="1">
        <v>0</v>
      </c>
      <c r="G774" s="1">
        <v>2040</v>
      </c>
      <c r="H774" s="1">
        <v>0</v>
      </c>
      <c r="I774" s="1">
        <v>0</v>
      </c>
      <c r="J774" s="1">
        <f t="shared" si="34"/>
        <v>2040</v>
      </c>
      <c r="K774" s="1">
        <v>0</v>
      </c>
      <c r="L774" s="1">
        <v>0</v>
      </c>
      <c r="M774" s="1">
        <v>0</v>
      </c>
      <c r="N774" s="1">
        <f t="shared" si="35"/>
        <v>0</v>
      </c>
      <c r="O774" s="9">
        <v>16</v>
      </c>
      <c r="P774" s="1">
        <v>0</v>
      </c>
      <c r="Q774" s="1">
        <v>0</v>
      </c>
      <c r="R774" s="12">
        <v>39022</v>
      </c>
      <c r="S774" s="1">
        <v>2056</v>
      </c>
      <c r="T774" s="9" t="s">
        <v>21</v>
      </c>
    </row>
    <row r="775" spans="1:20" x14ac:dyDescent="0.25">
      <c r="A775" s="10" t="s">
        <v>37</v>
      </c>
      <c r="B775" t="b">
        <v>0</v>
      </c>
      <c r="C775" t="b">
        <v>0</v>
      </c>
      <c r="D775" s="1">
        <v>0</v>
      </c>
      <c r="E775" s="1">
        <v>0</v>
      </c>
      <c r="F775" s="1">
        <v>0</v>
      </c>
      <c r="G775" s="1">
        <v>1780</v>
      </c>
      <c r="H775" s="1">
        <v>0</v>
      </c>
      <c r="I775" s="1">
        <v>0</v>
      </c>
      <c r="J775" s="1">
        <f t="shared" ref="J775:J838" si="36">D775+E775+F775+G775+H775+I775</f>
        <v>1780</v>
      </c>
      <c r="K775" s="1">
        <v>0</v>
      </c>
      <c r="L775" s="1">
        <v>0</v>
      </c>
      <c r="M775" s="1">
        <v>0</v>
      </c>
      <c r="N775" s="1">
        <f t="shared" si="35"/>
        <v>0</v>
      </c>
      <c r="O775" s="9">
        <v>0</v>
      </c>
      <c r="P775" s="1">
        <v>0</v>
      </c>
      <c r="Q775" s="1">
        <v>0</v>
      </c>
      <c r="R775" s="12">
        <v>39052</v>
      </c>
      <c r="S775" s="1">
        <v>1780</v>
      </c>
      <c r="T775" s="9" t="s">
        <v>21</v>
      </c>
    </row>
    <row r="776" spans="1:20" x14ac:dyDescent="0.25">
      <c r="A776" s="10" t="s">
        <v>37</v>
      </c>
      <c r="B776" t="b">
        <v>0</v>
      </c>
      <c r="C776" t="b">
        <v>0</v>
      </c>
      <c r="D776" s="1">
        <v>0</v>
      </c>
      <c r="E776" s="1">
        <v>0</v>
      </c>
      <c r="F776" s="1">
        <v>0</v>
      </c>
      <c r="G776" s="1">
        <v>1283</v>
      </c>
      <c r="H776" s="1">
        <v>0</v>
      </c>
      <c r="I776" s="1">
        <v>0</v>
      </c>
      <c r="J776" s="1">
        <f t="shared" si="36"/>
        <v>1283</v>
      </c>
      <c r="K776" s="1">
        <v>0</v>
      </c>
      <c r="L776" s="1">
        <v>0</v>
      </c>
      <c r="M776" s="1">
        <v>0</v>
      </c>
      <c r="N776" s="1">
        <f t="shared" si="35"/>
        <v>0</v>
      </c>
      <c r="O776" s="9">
        <v>16</v>
      </c>
      <c r="P776" s="1">
        <v>0</v>
      </c>
      <c r="Q776" s="1">
        <v>0</v>
      </c>
      <c r="R776" s="12">
        <v>39083</v>
      </c>
      <c r="S776" s="1">
        <v>1299</v>
      </c>
      <c r="T776" s="9" t="s">
        <v>41</v>
      </c>
    </row>
    <row r="777" spans="1:20" x14ac:dyDescent="0.25">
      <c r="A777" s="10" t="s">
        <v>37</v>
      </c>
      <c r="B777" t="b">
        <v>0</v>
      </c>
      <c r="C777" t="b">
        <v>0</v>
      </c>
      <c r="D777" s="1">
        <v>0</v>
      </c>
      <c r="E777" s="1">
        <v>0</v>
      </c>
      <c r="F777" s="1">
        <v>0</v>
      </c>
      <c r="G777" s="1">
        <v>2040</v>
      </c>
      <c r="H777" s="1">
        <v>0</v>
      </c>
      <c r="I777" s="1">
        <v>0</v>
      </c>
      <c r="J777" s="1">
        <f t="shared" si="36"/>
        <v>2040</v>
      </c>
      <c r="K777" s="1">
        <v>0</v>
      </c>
      <c r="L777" s="1">
        <v>0</v>
      </c>
      <c r="M777" s="1">
        <v>0</v>
      </c>
      <c r="N777" s="1">
        <f t="shared" si="35"/>
        <v>0</v>
      </c>
      <c r="O777" s="9">
        <v>16</v>
      </c>
      <c r="P777" s="1">
        <v>0</v>
      </c>
      <c r="Q777" s="1">
        <v>0</v>
      </c>
      <c r="R777" s="12">
        <v>39114</v>
      </c>
      <c r="S777" s="1">
        <v>2056</v>
      </c>
      <c r="T777" s="9" t="s">
        <v>41</v>
      </c>
    </row>
    <row r="778" spans="1:20" x14ac:dyDescent="0.25">
      <c r="A778" s="10" t="s">
        <v>37</v>
      </c>
      <c r="B778" t="b">
        <v>0</v>
      </c>
      <c r="C778" t="b">
        <v>0</v>
      </c>
      <c r="D778" s="1">
        <v>0</v>
      </c>
      <c r="E778" s="1">
        <v>0</v>
      </c>
      <c r="F778" s="1">
        <v>0</v>
      </c>
      <c r="G778" s="1">
        <v>2170</v>
      </c>
      <c r="H778" s="1">
        <v>0</v>
      </c>
      <c r="I778" s="1">
        <v>0</v>
      </c>
      <c r="J778" s="1">
        <f t="shared" si="36"/>
        <v>2170</v>
      </c>
      <c r="K778" s="1">
        <v>0</v>
      </c>
      <c r="L778" s="1">
        <v>0</v>
      </c>
      <c r="M778" s="1">
        <v>0</v>
      </c>
      <c r="N778" s="1">
        <f t="shared" si="35"/>
        <v>0</v>
      </c>
      <c r="O778" s="9">
        <v>20</v>
      </c>
      <c r="P778" s="1">
        <v>0</v>
      </c>
      <c r="Q778" s="1">
        <v>0</v>
      </c>
      <c r="R778" s="12">
        <v>39142</v>
      </c>
      <c r="S778" s="1">
        <v>2190</v>
      </c>
      <c r="T778" s="9" t="s">
        <v>41</v>
      </c>
    </row>
    <row r="779" spans="1:20" x14ac:dyDescent="0.25">
      <c r="A779" s="10" t="s">
        <v>37</v>
      </c>
      <c r="B779" t="b">
        <v>0</v>
      </c>
      <c r="C779" t="b">
        <v>0</v>
      </c>
      <c r="D779" s="1">
        <v>0</v>
      </c>
      <c r="E779" s="1">
        <v>0</v>
      </c>
      <c r="F779" s="1">
        <v>0</v>
      </c>
      <c r="G779" s="1">
        <v>2225</v>
      </c>
      <c r="H779" s="1">
        <v>0</v>
      </c>
      <c r="I779" s="1">
        <v>0</v>
      </c>
      <c r="J779" s="1">
        <f t="shared" si="36"/>
        <v>2225</v>
      </c>
      <c r="K779" s="1">
        <v>0</v>
      </c>
      <c r="L779" s="1">
        <v>0</v>
      </c>
      <c r="M779" s="1">
        <v>0</v>
      </c>
      <c r="N779" s="1">
        <f t="shared" si="35"/>
        <v>0</v>
      </c>
      <c r="O779" s="9">
        <v>20</v>
      </c>
      <c r="P779" s="1">
        <v>0</v>
      </c>
      <c r="Q779" s="1">
        <v>0</v>
      </c>
      <c r="R779" s="12">
        <v>39173</v>
      </c>
      <c r="S779" s="1">
        <v>2245</v>
      </c>
      <c r="T779" s="9" t="s">
        <v>41</v>
      </c>
    </row>
    <row r="780" spans="1:20" x14ac:dyDescent="0.25">
      <c r="A780" s="10" t="s">
        <v>37</v>
      </c>
      <c r="B780" t="b">
        <v>0</v>
      </c>
      <c r="C780" t="b">
        <v>0</v>
      </c>
      <c r="D780" s="1">
        <v>0</v>
      </c>
      <c r="E780" s="1">
        <v>0</v>
      </c>
      <c r="F780" s="1">
        <v>0</v>
      </c>
      <c r="G780" s="1">
        <v>2215</v>
      </c>
      <c r="H780" s="1">
        <v>0</v>
      </c>
      <c r="I780" s="1">
        <v>0</v>
      </c>
      <c r="J780" s="1">
        <f t="shared" si="36"/>
        <v>2215</v>
      </c>
      <c r="K780" s="1">
        <v>0</v>
      </c>
      <c r="L780" s="1">
        <v>0</v>
      </c>
      <c r="M780" s="1">
        <v>0</v>
      </c>
      <c r="N780" s="1">
        <f t="shared" si="35"/>
        <v>0</v>
      </c>
      <c r="O780" s="9">
        <v>19</v>
      </c>
      <c r="P780" s="1">
        <v>0</v>
      </c>
      <c r="Q780" s="1">
        <v>0</v>
      </c>
      <c r="R780" s="12">
        <v>39203</v>
      </c>
      <c r="S780" s="1">
        <v>2234</v>
      </c>
      <c r="T780" s="9" t="s">
        <v>41</v>
      </c>
    </row>
    <row r="781" spans="1:20" x14ac:dyDescent="0.25">
      <c r="A781" s="10" t="s">
        <v>37</v>
      </c>
      <c r="B781" t="b">
        <v>0</v>
      </c>
      <c r="C781" t="b">
        <v>0</v>
      </c>
      <c r="D781" s="1">
        <v>0</v>
      </c>
      <c r="E781" s="1">
        <v>0</v>
      </c>
      <c r="F781" s="1">
        <v>0</v>
      </c>
      <c r="G781" s="1">
        <v>2198</v>
      </c>
      <c r="H781" s="1">
        <v>0</v>
      </c>
      <c r="I781" s="1">
        <v>0</v>
      </c>
      <c r="J781" s="1">
        <f t="shared" si="36"/>
        <v>2198</v>
      </c>
      <c r="K781" s="1">
        <v>0</v>
      </c>
      <c r="L781" s="1">
        <v>0</v>
      </c>
      <c r="M781" s="1">
        <v>0</v>
      </c>
      <c r="N781" s="1">
        <f t="shared" si="35"/>
        <v>0</v>
      </c>
      <c r="O781" s="9">
        <v>18</v>
      </c>
      <c r="P781" s="1">
        <v>0</v>
      </c>
      <c r="Q781" s="1">
        <v>0</v>
      </c>
      <c r="R781" s="12">
        <v>39234</v>
      </c>
      <c r="S781" s="1">
        <v>2216</v>
      </c>
      <c r="T781" s="9" t="s">
        <v>41</v>
      </c>
    </row>
    <row r="782" spans="1:20" x14ac:dyDescent="0.25">
      <c r="A782" s="10" t="s">
        <v>37</v>
      </c>
      <c r="B782" t="b">
        <v>0</v>
      </c>
      <c r="C782" t="b">
        <v>0</v>
      </c>
      <c r="D782" s="1">
        <v>0</v>
      </c>
      <c r="E782" s="1">
        <v>0</v>
      </c>
      <c r="F782" s="1">
        <v>0</v>
      </c>
      <c r="G782" s="1">
        <v>2273</v>
      </c>
      <c r="H782" s="1">
        <v>0</v>
      </c>
      <c r="I782" s="1">
        <v>0</v>
      </c>
      <c r="J782" s="1">
        <f t="shared" si="36"/>
        <v>2273</v>
      </c>
      <c r="K782" s="1">
        <v>0</v>
      </c>
      <c r="L782" s="1">
        <v>0</v>
      </c>
      <c r="M782" s="1">
        <v>0</v>
      </c>
      <c r="N782" s="1">
        <f t="shared" si="35"/>
        <v>0</v>
      </c>
      <c r="O782" s="9">
        <v>18</v>
      </c>
      <c r="P782" s="1">
        <v>0</v>
      </c>
      <c r="Q782" s="1">
        <v>0</v>
      </c>
      <c r="R782" s="12">
        <v>39264</v>
      </c>
      <c r="S782" s="1">
        <v>2291</v>
      </c>
      <c r="T782" s="9" t="s">
        <v>41</v>
      </c>
    </row>
    <row r="783" spans="1:20" x14ac:dyDescent="0.25">
      <c r="A783" s="10" t="s">
        <v>37</v>
      </c>
      <c r="B783" t="b">
        <v>0</v>
      </c>
      <c r="C783" t="b">
        <v>0</v>
      </c>
      <c r="D783" s="1">
        <v>0</v>
      </c>
      <c r="E783" s="1">
        <v>0</v>
      </c>
      <c r="F783" s="1">
        <v>0</v>
      </c>
      <c r="G783" s="1">
        <v>2245</v>
      </c>
      <c r="H783" s="1">
        <v>0</v>
      </c>
      <c r="I783" s="1">
        <v>0</v>
      </c>
      <c r="J783" s="1">
        <f t="shared" si="36"/>
        <v>2245</v>
      </c>
      <c r="K783" s="1">
        <v>0</v>
      </c>
      <c r="L783" s="1">
        <v>0</v>
      </c>
      <c r="M783" s="1">
        <v>0</v>
      </c>
      <c r="N783" s="1">
        <f t="shared" si="35"/>
        <v>0</v>
      </c>
      <c r="O783" s="9">
        <v>18</v>
      </c>
      <c r="P783" s="1">
        <v>0</v>
      </c>
      <c r="Q783" s="1">
        <v>0</v>
      </c>
      <c r="R783" s="12">
        <v>39295</v>
      </c>
      <c r="S783" s="1">
        <v>2263</v>
      </c>
      <c r="T783" s="9" t="s">
        <v>41</v>
      </c>
    </row>
    <row r="784" spans="1:20" x14ac:dyDescent="0.25">
      <c r="A784" s="10" t="s">
        <v>37</v>
      </c>
      <c r="B784" t="b">
        <v>0</v>
      </c>
      <c r="C784" t="b">
        <v>0</v>
      </c>
      <c r="D784" s="1">
        <v>0</v>
      </c>
      <c r="E784" s="1">
        <v>0</v>
      </c>
      <c r="F784" s="1">
        <v>0</v>
      </c>
      <c r="G784" s="1">
        <v>2255</v>
      </c>
      <c r="H784" s="1">
        <v>0</v>
      </c>
      <c r="I784" s="1">
        <v>0</v>
      </c>
      <c r="J784" s="1">
        <f t="shared" si="36"/>
        <v>2255</v>
      </c>
      <c r="K784" s="1">
        <v>0</v>
      </c>
      <c r="L784" s="1">
        <v>0</v>
      </c>
      <c r="M784" s="1">
        <v>0</v>
      </c>
      <c r="N784" s="1">
        <f t="shared" si="35"/>
        <v>0</v>
      </c>
      <c r="O784" s="9">
        <v>23</v>
      </c>
      <c r="P784" s="1">
        <v>0</v>
      </c>
      <c r="Q784" s="1">
        <v>0</v>
      </c>
      <c r="R784" s="12">
        <v>39326</v>
      </c>
      <c r="S784" s="1">
        <v>2278</v>
      </c>
      <c r="T784" s="9" t="s">
        <v>41</v>
      </c>
    </row>
    <row r="785" spans="1:20" x14ac:dyDescent="0.25">
      <c r="A785" s="10" t="s">
        <v>37</v>
      </c>
      <c r="B785" t="b">
        <v>0</v>
      </c>
      <c r="C785" t="b">
        <v>0</v>
      </c>
      <c r="D785" s="1">
        <v>0</v>
      </c>
      <c r="E785" s="1">
        <v>0</v>
      </c>
      <c r="F785" s="1">
        <v>0</v>
      </c>
      <c r="G785" s="1">
        <v>2235</v>
      </c>
      <c r="H785" s="1">
        <v>0</v>
      </c>
      <c r="I785" s="1">
        <v>0</v>
      </c>
      <c r="J785" s="1">
        <f t="shared" si="36"/>
        <v>2235</v>
      </c>
      <c r="K785" s="1">
        <v>0</v>
      </c>
      <c r="L785" s="1">
        <v>0</v>
      </c>
      <c r="M785" s="1">
        <v>0</v>
      </c>
      <c r="N785" s="1">
        <f t="shared" si="35"/>
        <v>0</v>
      </c>
      <c r="O785" s="9">
        <v>17</v>
      </c>
      <c r="P785" s="1">
        <v>0</v>
      </c>
      <c r="Q785" s="1">
        <v>0</v>
      </c>
      <c r="R785" s="12">
        <v>39356</v>
      </c>
      <c r="S785" s="1">
        <v>2252</v>
      </c>
      <c r="T785" s="9" t="s">
        <v>41</v>
      </c>
    </row>
    <row r="786" spans="1:20" x14ac:dyDescent="0.25">
      <c r="A786" s="10" t="s">
        <v>37</v>
      </c>
      <c r="B786" t="b">
        <v>0</v>
      </c>
      <c r="C786" t="b">
        <v>0</v>
      </c>
      <c r="D786" s="1">
        <v>0</v>
      </c>
      <c r="E786" s="1">
        <v>0</v>
      </c>
      <c r="F786" s="1">
        <v>0</v>
      </c>
      <c r="G786" s="1">
        <v>2000</v>
      </c>
      <c r="H786" s="1">
        <v>0</v>
      </c>
      <c r="I786" s="1">
        <v>0</v>
      </c>
      <c r="J786" s="1">
        <f t="shared" si="36"/>
        <v>2000</v>
      </c>
      <c r="K786" s="1">
        <v>0</v>
      </c>
      <c r="L786" s="1">
        <v>0</v>
      </c>
      <c r="M786" s="1">
        <v>0</v>
      </c>
      <c r="N786" s="1">
        <f t="shared" si="35"/>
        <v>0</v>
      </c>
      <c r="O786" s="9">
        <v>20</v>
      </c>
      <c r="P786" s="1">
        <v>0</v>
      </c>
      <c r="Q786" s="1">
        <v>0</v>
      </c>
      <c r="R786" s="12">
        <v>39387</v>
      </c>
      <c r="S786" s="1">
        <v>2020</v>
      </c>
      <c r="T786" s="9" t="s">
        <v>41</v>
      </c>
    </row>
    <row r="787" spans="1:20" x14ac:dyDescent="0.25">
      <c r="A787" s="10" t="s">
        <v>37</v>
      </c>
      <c r="B787" t="b">
        <v>0</v>
      </c>
      <c r="C787" t="b">
        <v>0</v>
      </c>
      <c r="D787" s="1">
        <v>0</v>
      </c>
      <c r="E787" s="1">
        <v>0</v>
      </c>
      <c r="F787" s="1">
        <v>0</v>
      </c>
      <c r="G787" s="1">
        <v>1880</v>
      </c>
      <c r="H787" s="1">
        <v>0</v>
      </c>
      <c r="I787" s="1">
        <v>0</v>
      </c>
      <c r="J787" s="1">
        <f t="shared" si="36"/>
        <v>1880</v>
      </c>
      <c r="K787" s="1">
        <v>0</v>
      </c>
      <c r="L787" s="1">
        <v>0</v>
      </c>
      <c r="M787" s="1">
        <v>0</v>
      </c>
      <c r="N787" s="1">
        <f t="shared" si="35"/>
        <v>0</v>
      </c>
      <c r="O787" s="9">
        <v>30</v>
      </c>
      <c r="P787" s="1">
        <v>0</v>
      </c>
      <c r="Q787" s="1">
        <v>0</v>
      </c>
      <c r="R787" s="12">
        <v>39417</v>
      </c>
      <c r="S787" s="1">
        <v>1910</v>
      </c>
      <c r="T787" s="9" t="s">
        <v>41</v>
      </c>
    </row>
    <row r="788" spans="1:20" x14ac:dyDescent="0.25">
      <c r="A788" s="10" t="s">
        <v>37</v>
      </c>
      <c r="B788" t="b">
        <v>0</v>
      </c>
      <c r="C788" t="b">
        <v>0</v>
      </c>
      <c r="D788" s="1">
        <v>0</v>
      </c>
      <c r="E788" s="1">
        <v>0</v>
      </c>
      <c r="F788" s="1">
        <v>0</v>
      </c>
      <c r="G788" s="1">
        <v>1478</v>
      </c>
      <c r="H788" s="1">
        <v>0</v>
      </c>
      <c r="I788" s="1">
        <v>0</v>
      </c>
      <c r="J788" s="1">
        <f t="shared" si="36"/>
        <v>1478</v>
      </c>
      <c r="K788" s="1">
        <v>0</v>
      </c>
      <c r="L788" s="1">
        <v>0</v>
      </c>
      <c r="M788" s="1">
        <v>0</v>
      </c>
      <c r="N788" s="1">
        <f t="shared" si="35"/>
        <v>0</v>
      </c>
      <c r="O788" s="9">
        <v>29</v>
      </c>
      <c r="P788" s="1">
        <v>0</v>
      </c>
      <c r="Q788" s="1">
        <v>0</v>
      </c>
      <c r="R788" s="12">
        <v>39448</v>
      </c>
      <c r="S788" s="1">
        <v>1507</v>
      </c>
      <c r="T788" s="9" t="s">
        <v>46</v>
      </c>
    </row>
    <row r="789" spans="1:20" x14ac:dyDescent="0.25">
      <c r="A789" s="10" t="s">
        <v>37</v>
      </c>
      <c r="B789" t="b">
        <v>0</v>
      </c>
      <c r="C789" t="b">
        <v>0</v>
      </c>
      <c r="D789" s="1">
        <v>0</v>
      </c>
      <c r="E789" s="1">
        <v>0</v>
      </c>
      <c r="F789" s="1">
        <v>0</v>
      </c>
      <c r="G789" s="1">
        <v>2103</v>
      </c>
      <c r="H789" s="1">
        <v>0</v>
      </c>
      <c r="I789" s="1">
        <v>0</v>
      </c>
      <c r="J789" s="1">
        <f t="shared" si="36"/>
        <v>2103</v>
      </c>
      <c r="K789" s="1">
        <v>0</v>
      </c>
      <c r="L789" s="1">
        <v>0</v>
      </c>
      <c r="M789" s="1">
        <v>0</v>
      </c>
      <c r="N789" s="1">
        <f t="shared" si="35"/>
        <v>0</v>
      </c>
      <c r="O789" s="9">
        <v>16</v>
      </c>
      <c r="P789" s="1">
        <v>0</v>
      </c>
      <c r="Q789" s="1">
        <v>0</v>
      </c>
      <c r="R789" s="12">
        <v>39479</v>
      </c>
      <c r="S789" s="1">
        <v>2119</v>
      </c>
      <c r="T789" s="9" t="s">
        <v>46</v>
      </c>
    </row>
    <row r="790" spans="1:20" x14ac:dyDescent="0.25">
      <c r="A790" s="10" t="s">
        <v>37</v>
      </c>
      <c r="B790" t="b">
        <v>0</v>
      </c>
      <c r="C790" t="b">
        <v>0</v>
      </c>
      <c r="D790" s="1">
        <v>0</v>
      </c>
      <c r="E790" s="1">
        <v>0</v>
      </c>
      <c r="F790" s="1">
        <v>0</v>
      </c>
      <c r="G790" s="1">
        <v>2290</v>
      </c>
      <c r="H790" s="1">
        <v>0</v>
      </c>
      <c r="I790" s="1">
        <v>0</v>
      </c>
      <c r="J790" s="1">
        <f t="shared" si="36"/>
        <v>2290</v>
      </c>
      <c r="K790" s="1">
        <v>0</v>
      </c>
      <c r="L790" s="1">
        <v>0</v>
      </c>
      <c r="M790" s="1">
        <v>0</v>
      </c>
      <c r="N790" s="1">
        <f t="shared" si="35"/>
        <v>0</v>
      </c>
      <c r="O790" s="9">
        <v>21</v>
      </c>
      <c r="P790" s="1">
        <v>0</v>
      </c>
      <c r="Q790" s="1">
        <v>0</v>
      </c>
      <c r="R790" s="12">
        <v>39508</v>
      </c>
      <c r="S790" s="1">
        <v>2311</v>
      </c>
      <c r="T790" s="9" t="s">
        <v>46</v>
      </c>
    </row>
    <row r="791" spans="1:20" x14ac:dyDescent="0.25">
      <c r="A791" s="10" t="s">
        <v>37</v>
      </c>
      <c r="B791" t="b">
        <v>0</v>
      </c>
      <c r="C791" t="b">
        <v>0</v>
      </c>
      <c r="D791" s="1">
        <v>0</v>
      </c>
      <c r="E791" s="1">
        <v>0</v>
      </c>
      <c r="F791" s="1">
        <v>0</v>
      </c>
      <c r="G791" s="1">
        <v>2170</v>
      </c>
      <c r="H791" s="1">
        <v>0</v>
      </c>
      <c r="I791" s="1">
        <v>0</v>
      </c>
      <c r="J791" s="1">
        <f t="shared" si="36"/>
        <v>2170</v>
      </c>
      <c r="K791" s="1">
        <v>0</v>
      </c>
      <c r="L791" s="1">
        <v>0</v>
      </c>
      <c r="M791" s="1">
        <v>0</v>
      </c>
      <c r="N791" s="1">
        <f t="shared" si="35"/>
        <v>0</v>
      </c>
      <c r="O791" s="9">
        <v>18</v>
      </c>
      <c r="P791" s="1">
        <v>0</v>
      </c>
      <c r="Q791" s="1">
        <v>0</v>
      </c>
      <c r="R791" s="12">
        <v>39539</v>
      </c>
      <c r="S791" s="1">
        <v>2188</v>
      </c>
      <c r="T791" s="9" t="s">
        <v>46</v>
      </c>
    </row>
    <row r="792" spans="1:20" x14ac:dyDescent="0.25">
      <c r="A792" s="10" t="s">
        <v>37</v>
      </c>
      <c r="B792" t="b">
        <v>0</v>
      </c>
      <c r="C792" t="b">
        <v>0</v>
      </c>
      <c r="D792" s="1">
        <v>0</v>
      </c>
      <c r="E792" s="1">
        <v>0</v>
      </c>
      <c r="F792" s="1">
        <v>0</v>
      </c>
      <c r="G792" s="1">
        <v>2243</v>
      </c>
      <c r="H792" s="1">
        <v>0</v>
      </c>
      <c r="I792" s="1">
        <v>0</v>
      </c>
      <c r="J792" s="1">
        <f t="shared" si="36"/>
        <v>2243</v>
      </c>
      <c r="K792" s="1">
        <v>0</v>
      </c>
      <c r="L792" s="1">
        <v>0</v>
      </c>
      <c r="M792" s="1">
        <v>0</v>
      </c>
      <c r="N792" s="1">
        <f t="shared" si="35"/>
        <v>0</v>
      </c>
      <c r="O792" s="9">
        <v>25</v>
      </c>
      <c r="P792" s="1">
        <v>0</v>
      </c>
      <c r="Q792" s="1">
        <v>0</v>
      </c>
      <c r="R792" s="12">
        <v>39569</v>
      </c>
      <c r="S792" s="1">
        <v>2268</v>
      </c>
      <c r="T792" s="9" t="s">
        <v>46</v>
      </c>
    </row>
    <row r="793" spans="1:20" x14ac:dyDescent="0.25">
      <c r="A793" s="10" t="s">
        <v>37</v>
      </c>
      <c r="B793" t="b">
        <v>0</v>
      </c>
      <c r="C793" t="b">
        <v>0</v>
      </c>
      <c r="D793" s="1">
        <v>0</v>
      </c>
      <c r="E793" s="1">
        <v>0</v>
      </c>
      <c r="F793" s="1">
        <v>0</v>
      </c>
      <c r="G793" s="1">
        <v>2145</v>
      </c>
      <c r="H793" s="1">
        <v>0</v>
      </c>
      <c r="I793" s="1">
        <v>0</v>
      </c>
      <c r="J793" s="1">
        <f t="shared" si="36"/>
        <v>2145</v>
      </c>
      <c r="K793" s="1">
        <v>0</v>
      </c>
      <c r="L793" s="1">
        <v>0</v>
      </c>
      <c r="M793" s="1">
        <v>0</v>
      </c>
      <c r="N793" s="1">
        <f t="shared" si="35"/>
        <v>0</v>
      </c>
      <c r="O793" s="9">
        <v>27</v>
      </c>
      <c r="P793" s="1">
        <v>0</v>
      </c>
      <c r="Q793" s="1">
        <v>0</v>
      </c>
      <c r="R793" s="12">
        <v>39600</v>
      </c>
      <c r="S793" s="1">
        <v>2172</v>
      </c>
      <c r="T793" s="9" t="s">
        <v>46</v>
      </c>
    </row>
    <row r="794" spans="1:20" x14ac:dyDescent="0.25">
      <c r="A794" s="10" t="s">
        <v>37</v>
      </c>
      <c r="B794" t="b">
        <v>0</v>
      </c>
      <c r="C794" t="b">
        <v>0</v>
      </c>
      <c r="D794" s="1">
        <v>0</v>
      </c>
      <c r="E794" s="1">
        <v>0</v>
      </c>
      <c r="F794" s="1">
        <v>0</v>
      </c>
      <c r="G794" s="1">
        <v>2245</v>
      </c>
      <c r="H794" s="1">
        <v>0</v>
      </c>
      <c r="I794" s="1">
        <v>0</v>
      </c>
      <c r="J794" s="1">
        <f t="shared" si="36"/>
        <v>2245</v>
      </c>
      <c r="K794" s="1">
        <v>0</v>
      </c>
      <c r="L794" s="1">
        <v>0</v>
      </c>
      <c r="M794" s="1">
        <v>0</v>
      </c>
      <c r="N794" s="1">
        <f t="shared" si="35"/>
        <v>0</v>
      </c>
      <c r="O794" s="9">
        <v>16</v>
      </c>
      <c r="P794" s="1">
        <v>0</v>
      </c>
      <c r="Q794" s="1">
        <v>0</v>
      </c>
      <c r="R794" s="12">
        <v>39630</v>
      </c>
      <c r="S794" s="1">
        <v>2261</v>
      </c>
      <c r="T794" s="9" t="s">
        <v>46</v>
      </c>
    </row>
    <row r="795" spans="1:20" x14ac:dyDescent="0.25">
      <c r="A795" s="10" t="s">
        <v>37</v>
      </c>
      <c r="B795" t="b">
        <v>0</v>
      </c>
      <c r="C795" t="b">
        <v>0</v>
      </c>
      <c r="D795" s="1">
        <v>0</v>
      </c>
      <c r="E795" s="1">
        <v>0</v>
      </c>
      <c r="F795" s="1">
        <v>0</v>
      </c>
      <c r="G795" s="1">
        <v>2330</v>
      </c>
      <c r="H795" s="1">
        <v>0</v>
      </c>
      <c r="I795" s="1">
        <v>0</v>
      </c>
      <c r="J795" s="1">
        <f t="shared" si="36"/>
        <v>2330</v>
      </c>
      <c r="K795" s="1">
        <v>0</v>
      </c>
      <c r="L795" s="1">
        <v>0</v>
      </c>
      <c r="M795" s="1">
        <v>0</v>
      </c>
      <c r="N795" s="1">
        <f t="shared" si="35"/>
        <v>0</v>
      </c>
      <c r="O795" s="9">
        <v>23</v>
      </c>
      <c r="P795" s="1">
        <v>0</v>
      </c>
      <c r="Q795" s="1">
        <v>0</v>
      </c>
      <c r="R795" s="12">
        <v>39661</v>
      </c>
      <c r="S795" s="1">
        <v>2353</v>
      </c>
      <c r="T795" s="9" t="s">
        <v>46</v>
      </c>
    </row>
    <row r="796" spans="1:20" x14ac:dyDescent="0.25">
      <c r="A796" s="10" t="s">
        <v>37</v>
      </c>
      <c r="B796" t="b">
        <v>0</v>
      </c>
      <c r="C796" t="b">
        <v>0</v>
      </c>
      <c r="D796" s="1">
        <v>0</v>
      </c>
      <c r="E796" s="1">
        <v>0</v>
      </c>
      <c r="F796" s="1">
        <v>0</v>
      </c>
      <c r="G796" s="1">
        <v>2203</v>
      </c>
      <c r="H796" s="1">
        <v>0</v>
      </c>
      <c r="I796" s="1">
        <v>0</v>
      </c>
      <c r="J796" s="1">
        <f t="shared" si="36"/>
        <v>2203</v>
      </c>
      <c r="K796" s="1">
        <v>0</v>
      </c>
      <c r="L796" s="1">
        <v>0</v>
      </c>
      <c r="M796" s="1">
        <v>0</v>
      </c>
      <c r="N796" s="1">
        <f t="shared" si="35"/>
        <v>0</v>
      </c>
      <c r="O796" s="9">
        <v>0</v>
      </c>
      <c r="P796" s="1">
        <v>0</v>
      </c>
      <c r="Q796" s="1">
        <v>0</v>
      </c>
      <c r="R796" s="12">
        <v>39692</v>
      </c>
      <c r="S796" s="1">
        <v>2203</v>
      </c>
      <c r="T796" s="9" t="s">
        <v>46</v>
      </c>
    </row>
    <row r="797" spans="1:20" x14ac:dyDescent="0.25">
      <c r="A797" s="10" t="s">
        <v>37</v>
      </c>
      <c r="B797" t="b">
        <v>0</v>
      </c>
      <c r="C797" t="b">
        <v>0</v>
      </c>
      <c r="D797" s="1">
        <v>0</v>
      </c>
      <c r="E797" s="1">
        <v>0</v>
      </c>
      <c r="F797" s="1">
        <v>0</v>
      </c>
      <c r="G797" s="1">
        <v>2170</v>
      </c>
      <c r="H797" s="1">
        <v>0</v>
      </c>
      <c r="I797" s="1">
        <v>0</v>
      </c>
      <c r="J797" s="1">
        <f t="shared" si="36"/>
        <v>2170</v>
      </c>
      <c r="K797" s="1">
        <v>0</v>
      </c>
      <c r="L797" s="1">
        <v>0</v>
      </c>
      <c r="M797" s="1">
        <v>0</v>
      </c>
      <c r="N797" s="1">
        <f t="shared" si="35"/>
        <v>0</v>
      </c>
      <c r="O797" s="9">
        <v>0</v>
      </c>
      <c r="P797" s="1">
        <v>0</v>
      </c>
      <c r="Q797" s="1">
        <v>0</v>
      </c>
      <c r="R797" s="12">
        <v>39722</v>
      </c>
      <c r="S797" s="1">
        <v>2170</v>
      </c>
      <c r="T797" s="9" t="s">
        <v>46</v>
      </c>
    </row>
    <row r="798" spans="1:20" x14ac:dyDescent="0.25">
      <c r="A798" s="10" t="s">
        <v>37</v>
      </c>
      <c r="B798" t="b">
        <v>0</v>
      </c>
      <c r="C798" t="b">
        <v>0</v>
      </c>
      <c r="D798" s="1">
        <v>0</v>
      </c>
      <c r="E798" s="1">
        <v>0</v>
      </c>
      <c r="F798" s="1">
        <v>0</v>
      </c>
      <c r="G798" s="1">
        <v>2000</v>
      </c>
      <c r="H798" s="1">
        <v>0</v>
      </c>
      <c r="I798" s="1">
        <v>0</v>
      </c>
      <c r="J798" s="1">
        <f t="shared" si="36"/>
        <v>2000</v>
      </c>
      <c r="K798" s="1">
        <v>0</v>
      </c>
      <c r="L798" s="1">
        <v>0</v>
      </c>
      <c r="M798" s="1">
        <v>0</v>
      </c>
      <c r="N798" s="1">
        <f t="shared" si="35"/>
        <v>0</v>
      </c>
      <c r="O798" s="9">
        <v>24</v>
      </c>
      <c r="P798" s="1">
        <v>0</v>
      </c>
      <c r="Q798" s="1">
        <v>0</v>
      </c>
      <c r="R798" s="12">
        <v>39753</v>
      </c>
      <c r="S798" s="1">
        <v>2024</v>
      </c>
      <c r="T798" s="9" t="s">
        <v>46</v>
      </c>
    </row>
    <row r="799" spans="1:20" x14ac:dyDescent="0.25">
      <c r="A799" s="10" t="s">
        <v>37</v>
      </c>
      <c r="B799" t="b">
        <v>0</v>
      </c>
      <c r="C799" t="b">
        <v>0</v>
      </c>
      <c r="D799" s="1">
        <v>0</v>
      </c>
      <c r="E799" s="1">
        <v>0</v>
      </c>
      <c r="F799" s="1">
        <v>0</v>
      </c>
      <c r="G799" s="1">
        <v>2235</v>
      </c>
      <c r="H799" s="1">
        <v>0</v>
      </c>
      <c r="I799" s="1">
        <v>0</v>
      </c>
      <c r="J799" s="1">
        <f t="shared" si="36"/>
        <v>2235</v>
      </c>
      <c r="K799" s="1">
        <v>0</v>
      </c>
      <c r="L799" s="1">
        <v>0</v>
      </c>
      <c r="M799" s="1">
        <v>0</v>
      </c>
      <c r="N799" s="1">
        <f t="shared" si="35"/>
        <v>0</v>
      </c>
      <c r="O799" s="9">
        <v>16</v>
      </c>
      <c r="P799" s="1">
        <v>0</v>
      </c>
      <c r="Q799" s="1">
        <v>0</v>
      </c>
      <c r="R799" s="12">
        <v>39783</v>
      </c>
      <c r="S799" s="1">
        <v>2251</v>
      </c>
      <c r="T799" s="9" t="s">
        <v>46</v>
      </c>
    </row>
    <row r="800" spans="1:20" x14ac:dyDescent="0.25">
      <c r="A800" s="10" t="s">
        <v>37</v>
      </c>
      <c r="B800" t="b">
        <v>0</v>
      </c>
      <c r="C800" t="b">
        <v>0</v>
      </c>
      <c r="D800" s="1">
        <v>0</v>
      </c>
      <c r="E800" s="1">
        <v>0</v>
      </c>
      <c r="F800" s="1">
        <v>0</v>
      </c>
      <c r="G800" s="1">
        <v>2263</v>
      </c>
      <c r="H800" s="1">
        <v>0</v>
      </c>
      <c r="I800" s="1">
        <v>0</v>
      </c>
      <c r="J800" s="1">
        <f t="shared" si="36"/>
        <v>2263</v>
      </c>
      <c r="K800" s="1">
        <v>0</v>
      </c>
      <c r="L800" s="1">
        <v>0</v>
      </c>
      <c r="M800" s="1">
        <v>0</v>
      </c>
      <c r="N800" s="1">
        <f t="shared" si="35"/>
        <v>0</v>
      </c>
      <c r="O800" s="9">
        <v>18</v>
      </c>
      <c r="P800" s="1">
        <v>0</v>
      </c>
      <c r="Q800" s="1">
        <v>0</v>
      </c>
      <c r="R800" s="12">
        <v>39814</v>
      </c>
      <c r="S800" s="1">
        <v>2281</v>
      </c>
      <c r="T800" s="9" t="s">
        <v>41</v>
      </c>
    </row>
    <row r="801" spans="1:20" x14ac:dyDescent="0.25">
      <c r="A801" s="10" t="s">
        <v>37</v>
      </c>
      <c r="B801" t="b">
        <v>0</v>
      </c>
      <c r="C801" t="b">
        <v>0</v>
      </c>
      <c r="D801" s="1">
        <v>0</v>
      </c>
      <c r="E801" s="1">
        <v>0</v>
      </c>
      <c r="F801" s="1">
        <v>0</v>
      </c>
      <c r="G801" s="1">
        <v>2123</v>
      </c>
      <c r="H801" s="1">
        <v>0</v>
      </c>
      <c r="I801" s="1">
        <v>0</v>
      </c>
      <c r="J801" s="1">
        <f t="shared" si="36"/>
        <v>2123</v>
      </c>
      <c r="K801" s="1">
        <v>0</v>
      </c>
      <c r="L801" s="1">
        <v>0</v>
      </c>
      <c r="M801" s="1">
        <v>0</v>
      </c>
      <c r="N801" s="1">
        <f t="shared" si="35"/>
        <v>0</v>
      </c>
      <c r="O801" s="9">
        <v>14</v>
      </c>
      <c r="P801" s="1">
        <v>0</v>
      </c>
      <c r="Q801" s="1">
        <v>0</v>
      </c>
      <c r="R801" s="12">
        <v>39845</v>
      </c>
      <c r="S801" s="1">
        <v>2137</v>
      </c>
      <c r="T801" s="9" t="s">
        <v>41</v>
      </c>
    </row>
    <row r="802" spans="1:20" x14ac:dyDescent="0.25">
      <c r="A802" s="10" t="s">
        <v>37</v>
      </c>
      <c r="B802" t="b">
        <v>0</v>
      </c>
      <c r="C802" t="b">
        <v>0</v>
      </c>
      <c r="D802" s="1">
        <v>0</v>
      </c>
      <c r="E802" s="1">
        <v>0</v>
      </c>
      <c r="F802" s="1">
        <v>0</v>
      </c>
      <c r="G802" s="1">
        <v>2373</v>
      </c>
      <c r="H802" s="1">
        <v>0</v>
      </c>
      <c r="I802" s="1">
        <v>0</v>
      </c>
      <c r="J802" s="1">
        <f t="shared" si="36"/>
        <v>2373</v>
      </c>
      <c r="K802" s="1">
        <v>0</v>
      </c>
      <c r="L802" s="1">
        <v>0</v>
      </c>
      <c r="M802" s="1">
        <v>0</v>
      </c>
      <c r="N802" s="1">
        <f t="shared" ref="N802:N865" si="37">K802+L802+M802</f>
        <v>0</v>
      </c>
      <c r="O802" s="9">
        <v>18</v>
      </c>
      <c r="P802" s="1">
        <v>0</v>
      </c>
      <c r="Q802" s="1">
        <v>0</v>
      </c>
      <c r="R802" s="12">
        <v>39873</v>
      </c>
      <c r="S802" s="1">
        <v>2391</v>
      </c>
      <c r="T802" s="9" t="s">
        <v>41</v>
      </c>
    </row>
    <row r="803" spans="1:20" x14ac:dyDescent="0.25">
      <c r="A803" s="10" t="s">
        <v>37</v>
      </c>
      <c r="B803" t="b">
        <v>0</v>
      </c>
      <c r="C803" t="b">
        <v>0</v>
      </c>
      <c r="D803" s="1">
        <v>0</v>
      </c>
      <c r="E803" s="1">
        <v>0</v>
      </c>
      <c r="F803" s="1">
        <v>0</v>
      </c>
      <c r="G803" s="1">
        <v>2170</v>
      </c>
      <c r="H803" s="1">
        <v>0</v>
      </c>
      <c r="I803" s="1">
        <v>0</v>
      </c>
      <c r="J803" s="1">
        <f t="shared" si="36"/>
        <v>2170</v>
      </c>
      <c r="K803" s="1">
        <v>0</v>
      </c>
      <c r="L803" s="1">
        <v>0</v>
      </c>
      <c r="M803" s="1">
        <v>0</v>
      </c>
      <c r="N803" s="1">
        <f t="shared" si="37"/>
        <v>0</v>
      </c>
      <c r="O803" s="9">
        <v>16</v>
      </c>
      <c r="P803" s="1">
        <v>0</v>
      </c>
      <c r="Q803" s="1">
        <v>0</v>
      </c>
      <c r="R803" s="12">
        <v>39904</v>
      </c>
      <c r="S803" s="1">
        <v>2186</v>
      </c>
      <c r="T803" s="9" t="s">
        <v>41</v>
      </c>
    </row>
    <row r="804" spans="1:20" x14ac:dyDescent="0.25">
      <c r="A804" s="10" t="s">
        <v>37</v>
      </c>
      <c r="B804" t="b">
        <v>0</v>
      </c>
      <c r="C804" t="b">
        <v>0</v>
      </c>
      <c r="D804" s="1">
        <v>0</v>
      </c>
      <c r="E804" s="1">
        <v>0</v>
      </c>
      <c r="F804" s="1">
        <v>0</v>
      </c>
      <c r="G804" s="1">
        <v>2270</v>
      </c>
      <c r="H804" s="1">
        <v>0</v>
      </c>
      <c r="I804" s="1">
        <v>0</v>
      </c>
      <c r="J804" s="1">
        <f t="shared" si="36"/>
        <v>2270</v>
      </c>
      <c r="K804" s="1">
        <v>0</v>
      </c>
      <c r="L804" s="1">
        <v>0</v>
      </c>
      <c r="M804" s="1">
        <v>0</v>
      </c>
      <c r="N804" s="1">
        <f t="shared" si="37"/>
        <v>0</v>
      </c>
      <c r="O804" s="9">
        <v>0</v>
      </c>
      <c r="P804" s="1">
        <v>33</v>
      </c>
      <c r="Q804" s="1">
        <v>0</v>
      </c>
      <c r="R804" s="12">
        <v>39934</v>
      </c>
      <c r="S804" s="1">
        <v>2303</v>
      </c>
      <c r="T804" s="9" t="s">
        <v>41</v>
      </c>
    </row>
    <row r="805" spans="1:20" x14ac:dyDescent="0.25">
      <c r="A805" s="10" t="s">
        <v>37</v>
      </c>
      <c r="B805" t="b">
        <v>0</v>
      </c>
      <c r="C805" t="b">
        <v>0</v>
      </c>
      <c r="D805" s="1">
        <v>0</v>
      </c>
      <c r="E805" s="1">
        <v>0</v>
      </c>
      <c r="F805" s="1">
        <v>0</v>
      </c>
      <c r="G805" s="1">
        <v>2220</v>
      </c>
      <c r="H805" s="1">
        <v>0</v>
      </c>
      <c r="I805" s="1">
        <v>0</v>
      </c>
      <c r="J805" s="1">
        <f t="shared" si="36"/>
        <v>2220</v>
      </c>
      <c r="K805" s="1">
        <v>0</v>
      </c>
      <c r="L805" s="1">
        <v>0</v>
      </c>
      <c r="M805" s="1">
        <v>0</v>
      </c>
      <c r="N805" s="1">
        <f t="shared" si="37"/>
        <v>0</v>
      </c>
      <c r="O805" s="9">
        <v>36</v>
      </c>
      <c r="P805" s="1">
        <v>0</v>
      </c>
      <c r="Q805" s="1">
        <v>0</v>
      </c>
      <c r="R805" s="12">
        <v>39965</v>
      </c>
      <c r="S805" s="1">
        <v>2256</v>
      </c>
      <c r="T805" s="9" t="s">
        <v>41</v>
      </c>
    </row>
    <row r="806" spans="1:20" x14ac:dyDescent="0.25">
      <c r="A806" s="10" t="s">
        <v>37</v>
      </c>
      <c r="B806" t="b">
        <v>0</v>
      </c>
      <c r="C806" t="b">
        <v>0</v>
      </c>
      <c r="D806" s="1">
        <v>148</v>
      </c>
      <c r="E806" s="1">
        <v>0</v>
      </c>
      <c r="F806" s="1">
        <v>0</v>
      </c>
      <c r="G806" s="1">
        <v>2245</v>
      </c>
      <c r="H806" s="1">
        <v>0</v>
      </c>
      <c r="I806" s="1">
        <v>0</v>
      </c>
      <c r="J806" s="1">
        <f t="shared" si="36"/>
        <v>2393</v>
      </c>
      <c r="K806" s="1">
        <v>0</v>
      </c>
      <c r="L806" s="1">
        <v>0</v>
      </c>
      <c r="M806" s="1">
        <v>0</v>
      </c>
      <c r="N806" s="1">
        <f t="shared" si="37"/>
        <v>0</v>
      </c>
      <c r="O806" s="9">
        <v>13</v>
      </c>
      <c r="P806" s="1">
        <v>0</v>
      </c>
      <c r="Q806" s="1">
        <v>0</v>
      </c>
      <c r="R806" s="12">
        <v>39995</v>
      </c>
      <c r="S806" s="1">
        <v>2406</v>
      </c>
      <c r="T806" s="9" t="s">
        <v>41</v>
      </c>
    </row>
    <row r="807" spans="1:20" x14ac:dyDescent="0.25">
      <c r="A807" s="10" t="s">
        <v>37</v>
      </c>
      <c r="B807" t="b">
        <v>0</v>
      </c>
      <c r="C807" t="b">
        <v>0</v>
      </c>
      <c r="D807" s="1">
        <v>373</v>
      </c>
      <c r="E807" s="1">
        <v>0</v>
      </c>
      <c r="F807" s="1">
        <v>0</v>
      </c>
      <c r="G807" s="1">
        <v>2195</v>
      </c>
      <c r="H807" s="1">
        <v>0</v>
      </c>
      <c r="I807" s="1">
        <v>0</v>
      </c>
      <c r="J807" s="1">
        <f t="shared" si="36"/>
        <v>2568</v>
      </c>
      <c r="K807" s="1">
        <v>0</v>
      </c>
      <c r="L807" s="1">
        <v>0</v>
      </c>
      <c r="M807" s="1">
        <v>0</v>
      </c>
      <c r="N807" s="1">
        <f t="shared" si="37"/>
        <v>0</v>
      </c>
      <c r="O807" s="9">
        <v>24</v>
      </c>
      <c r="P807" s="1">
        <v>0</v>
      </c>
      <c r="Q807" s="1">
        <v>0</v>
      </c>
      <c r="R807" s="12">
        <v>40026</v>
      </c>
      <c r="S807" s="1">
        <v>2592</v>
      </c>
      <c r="T807" s="9" t="s">
        <v>41</v>
      </c>
    </row>
    <row r="808" spans="1:20" x14ac:dyDescent="0.25">
      <c r="A808" s="10" t="s">
        <v>37</v>
      </c>
      <c r="B808" t="b">
        <v>0</v>
      </c>
      <c r="C808" t="b">
        <v>0</v>
      </c>
      <c r="D808" s="1">
        <v>165</v>
      </c>
      <c r="E808" s="1">
        <v>0</v>
      </c>
      <c r="F808" s="1">
        <v>0</v>
      </c>
      <c r="G808" s="1">
        <v>2023</v>
      </c>
      <c r="H808" s="1">
        <v>0</v>
      </c>
      <c r="I808" s="1">
        <v>0</v>
      </c>
      <c r="J808" s="1">
        <f t="shared" si="36"/>
        <v>2188</v>
      </c>
      <c r="K808" s="1">
        <v>0</v>
      </c>
      <c r="L808" s="1">
        <v>0</v>
      </c>
      <c r="M808" s="1">
        <v>0</v>
      </c>
      <c r="N808" s="1">
        <f t="shared" si="37"/>
        <v>0</v>
      </c>
      <c r="O808" s="9">
        <v>10</v>
      </c>
      <c r="P808" s="1">
        <v>0</v>
      </c>
      <c r="Q808" s="1">
        <v>0</v>
      </c>
      <c r="R808" s="12">
        <v>40057</v>
      </c>
      <c r="S808" s="1">
        <v>2198</v>
      </c>
      <c r="T808" s="9" t="s">
        <v>41</v>
      </c>
    </row>
    <row r="809" spans="1:20" x14ac:dyDescent="0.25">
      <c r="A809" s="10" t="s">
        <v>37</v>
      </c>
      <c r="B809" t="b">
        <v>0</v>
      </c>
      <c r="C809" t="b">
        <v>0</v>
      </c>
      <c r="D809" s="1">
        <v>125</v>
      </c>
      <c r="E809" s="1">
        <v>0</v>
      </c>
      <c r="F809" s="1">
        <v>0</v>
      </c>
      <c r="G809" s="1">
        <v>173</v>
      </c>
      <c r="H809" s="1">
        <v>0</v>
      </c>
      <c r="I809" s="1">
        <v>0</v>
      </c>
      <c r="J809" s="1">
        <f t="shared" si="36"/>
        <v>298</v>
      </c>
      <c r="K809" s="1">
        <v>0</v>
      </c>
      <c r="L809" s="1">
        <v>0</v>
      </c>
      <c r="M809" s="1">
        <v>0</v>
      </c>
      <c r="N809" s="1">
        <f t="shared" si="37"/>
        <v>0</v>
      </c>
      <c r="O809" s="9">
        <v>13</v>
      </c>
      <c r="P809" s="1">
        <v>0</v>
      </c>
      <c r="Q809" s="1">
        <v>0</v>
      </c>
      <c r="R809" s="12">
        <v>40087</v>
      </c>
      <c r="S809" s="1">
        <v>311</v>
      </c>
      <c r="T809" s="9" t="s">
        <v>41</v>
      </c>
    </row>
    <row r="810" spans="1:20" x14ac:dyDescent="0.25">
      <c r="A810" s="10" t="s">
        <v>37</v>
      </c>
      <c r="B810" t="b">
        <v>0</v>
      </c>
      <c r="C810" t="b">
        <v>0</v>
      </c>
      <c r="D810" s="1">
        <v>135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f t="shared" si="36"/>
        <v>135</v>
      </c>
      <c r="K810" s="1">
        <v>0</v>
      </c>
      <c r="L810" s="1">
        <v>0</v>
      </c>
      <c r="M810" s="1">
        <v>0</v>
      </c>
      <c r="N810" s="1">
        <f t="shared" si="37"/>
        <v>0</v>
      </c>
      <c r="O810" s="9">
        <v>27</v>
      </c>
      <c r="P810" s="1">
        <v>0</v>
      </c>
      <c r="Q810" s="1">
        <v>0</v>
      </c>
      <c r="R810" s="12">
        <v>40118</v>
      </c>
      <c r="S810" s="1">
        <v>162</v>
      </c>
      <c r="T810" s="9" t="s">
        <v>41</v>
      </c>
    </row>
    <row r="811" spans="1:20" x14ac:dyDescent="0.25">
      <c r="A811" s="10" t="s">
        <v>37</v>
      </c>
      <c r="B811" t="b">
        <v>0</v>
      </c>
      <c r="C811" t="b">
        <v>0</v>
      </c>
      <c r="D811" s="1">
        <v>143</v>
      </c>
      <c r="E811" s="1">
        <v>0</v>
      </c>
      <c r="F811" s="1">
        <v>0</v>
      </c>
      <c r="G811" s="1">
        <v>148</v>
      </c>
      <c r="H811" s="1">
        <v>0</v>
      </c>
      <c r="I811" s="1">
        <v>0</v>
      </c>
      <c r="J811" s="1">
        <f t="shared" si="36"/>
        <v>291</v>
      </c>
      <c r="K811" s="1">
        <v>0</v>
      </c>
      <c r="L811" s="1">
        <v>0</v>
      </c>
      <c r="M811" s="1">
        <v>0</v>
      </c>
      <c r="N811" s="1">
        <f t="shared" si="37"/>
        <v>0</v>
      </c>
      <c r="O811" s="9">
        <v>12</v>
      </c>
      <c r="P811" s="1">
        <v>0</v>
      </c>
      <c r="Q811" s="1">
        <v>0</v>
      </c>
      <c r="R811" s="12">
        <v>40148</v>
      </c>
      <c r="S811" s="1">
        <v>303</v>
      </c>
      <c r="T811" s="9" t="s">
        <v>41</v>
      </c>
    </row>
    <row r="812" spans="1:20" x14ac:dyDescent="0.25">
      <c r="A812" s="10" t="s">
        <v>37</v>
      </c>
      <c r="B812" t="b">
        <v>0</v>
      </c>
      <c r="C812" t="b">
        <v>0</v>
      </c>
      <c r="D812" s="1">
        <v>75</v>
      </c>
      <c r="E812" s="1">
        <v>0</v>
      </c>
      <c r="F812" s="1">
        <v>0</v>
      </c>
      <c r="G812" s="1">
        <v>228</v>
      </c>
      <c r="H812" s="1">
        <v>0</v>
      </c>
      <c r="I812" s="1">
        <v>0</v>
      </c>
      <c r="J812" s="1">
        <f t="shared" si="36"/>
        <v>303</v>
      </c>
      <c r="K812" s="1">
        <v>0</v>
      </c>
      <c r="L812" s="1">
        <v>0</v>
      </c>
      <c r="M812" s="1">
        <v>0</v>
      </c>
      <c r="N812" s="1">
        <f t="shared" si="37"/>
        <v>0</v>
      </c>
      <c r="O812" s="9">
        <v>5</v>
      </c>
      <c r="P812" s="1">
        <v>0</v>
      </c>
      <c r="Q812" s="1">
        <v>0</v>
      </c>
      <c r="R812" s="12">
        <v>40179</v>
      </c>
      <c r="S812" s="1">
        <v>308</v>
      </c>
      <c r="T812" s="9" t="s">
        <v>21</v>
      </c>
    </row>
    <row r="813" spans="1:20" x14ac:dyDescent="0.25">
      <c r="A813" s="10" t="s">
        <v>37</v>
      </c>
      <c r="B813" t="b">
        <v>0</v>
      </c>
      <c r="C813" t="b">
        <v>0</v>
      </c>
      <c r="D813" s="1">
        <v>88</v>
      </c>
      <c r="E813" s="1">
        <v>0</v>
      </c>
      <c r="F813" s="1">
        <v>0</v>
      </c>
      <c r="G813" s="1">
        <v>2043</v>
      </c>
      <c r="H813" s="1">
        <v>0</v>
      </c>
      <c r="I813" s="1">
        <v>0</v>
      </c>
      <c r="J813" s="1">
        <f t="shared" si="36"/>
        <v>2131</v>
      </c>
      <c r="K813" s="1">
        <v>0</v>
      </c>
      <c r="L813" s="1">
        <v>0</v>
      </c>
      <c r="M813" s="1">
        <v>0</v>
      </c>
      <c r="N813" s="1">
        <f t="shared" si="37"/>
        <v>0</v>
      </c>
      <c r="O813" s="9">
        <v>10</v>
      </c>
      <c r="P813" s="1">
        <v>0</v>
      </c>
      <c r="Q813" s="1">
        <v>0</v>
      </c>
      <c r="R813" s="12">
        <v>40210</v>
      </c>
      <c r="S813" s="1">
        <v>2141</v>
      </c>
      <c r="T813" s="9" t="s">
        <v>21</v>
      </c>
    </row>
    <row r="814" spans="1:20" x14ac:dyDescent="0.25">
      <c r="A814" s="10" t="s">
        <v>37</v>
      </c>
      <c r="B814" t="b">
        <v>0</v>
      </c>
      <c r="C814" t="b">
        <v>0</v>
      </c>
      <c r="D814" s="1">
        <v>135</v>
      </c>
      <c r="E814" s="1">
        <v>0</v>
      </c>
      <c r="F814" s="1">
        <v>0</v>
      </c>
      <c r="G814" s="1">
        <v>2238</v>
      </c>
      <c r="H814" s="1">
        <v>0</v>
      </c>
      <c r="I814" s="1">
        <v>0</v>
      </c>
      <c r="J814" s="1">
        <f t="shared" si="36"/>
        <v>2373</v>
      </c>
      <c r="K814" s="1">
        <v>0</v>
      </c>
      <c r="L814" s="1">
        <v>0</v>
      </c>
      <c r="M814" s="1">
        <v>0</v>
      </c>
      <c r="N814" s="1">
        <f t="shared" si="37"/>
        <v>0</v>
      </c>
      <c r="O814" s="9">
        <v>10</v>
      </c>
      <c r="P814" s="1">
        <v>0</v>
      </c>
      <c r="Q814" s="1">
        <v>0</v>
      </c>
      <c r="R814" s="12">
        <v>40238</v>
      </c>
      <c r="S814" s="1">
        <v>2383</v>
      </c>
      <c r="T814" s="9" t="s">
        <v>21</v>
      </c>
    </row>
    <row r="815" spans="1:20" x14ac:dyDescent="0.25">
      <c r="A815" s="10" t="s">
        <v>37</v>
      </c>
      <c r="B815" t="b">
        <v>0</v>
      </c>
      <c r="C815" t="b">
        <v>0</v>
      </c>
      <c r="D815" s="1">
        <v>173</v>
      </c>
      <c r="E815" s="1">
        <v>0</v>
      </c>
      <c r="F815" s="1">
        <v>0</v>
      </c>
      <c r="G815" s="1">
        <v>2175</v>
      </c>
      <c r="H815" s="1">
        <v>0</v>
      </c>
      <c r="I815" s="1">
        <v>0</v>
      </c>
      <c r="J815" s="1">
        <f t="shared" si="36"/>
        <v>2348</v>
      </c>
      <c r="K815" s="1">
        <v>0</v>
      </c>
      <c r="L815" s="1">
        <v>0</v>
      </c>
      <c r="M815" s="1">
        <v>0</v>
      </c>
      <c r="N815" s="1">
        <f t="shared" si="37"/>
        <v>0</v>
      </c>
      <c r="O815" s="9">
        <v>13</v>
      </c>
      <c r="P815" s="1">
        <v>0</v>
      </c>
      <c r="Q815" s="1">
        <v>0</v>
      </c>
      <c r="R815" s="12">
        <v>40269</v>
      </c>
      <c r="S815" s="1">
        <v>2361</v>
      </c>
      <c r="T815" s="9" t="s">
        <v>21</v>
      </c>
    </row>
    <row r="816" spans="1:20" x14ac:dyDescent="0.25">
      <c r="A816" s="10" t="s">
        <v>37</v>
      </c>
      <c r="B816" t="b">
        <v>0</v>
      </c>
      <c r="C816" t="b">
        <v>0</v>
      </c>
      <c r="D816" s="1">
        <v>155</v>
      </c>
      <c r="E816" s="1">
        <v>0</v>
      </c>
      <c r="F816" s="1">
        <v>0</v>
      </c>
      <c r="G816" s="1">
        <v>2225</v>
      </c>
      <c r="H816" s="1">
        <v>0</v>
      </c>
      <c r="I816" s="1">
        <v>0</v>
      </c>
      <c r="J816" s="1">
        <f t="shared" si="36"/>
        <v>2380</v>
      </c>
      <c r="K816" s="1">
        <v>0</v>
      </c>
      <c r="L816" s="1">
        <v>0</v>
      </c>
      <c r="M816" s="1">
        <v>0</v>
      </c>
      <c r="N816" s="1">
        <f t="shared" si="37"/>
        <v>0</v>
      </c>
      <c r="O816" s="9">
        <v>14</v>
      </c>
      <c r="P816" s="1">
        <v>0</v>
      </c>
      <c r="Q816" s="1">
        <v>0</v>
      </c>
      <c r="R816" s="12">
        <v>40299</v>
      </c>
      <c r="S816" s="1">
        <v>2394</v>
      </c>
      <c r="T816" s="9" t="s">
        <v>21</v>
      </c>
    </row>
    <row r="817" spans="1:20" x14ac:dyDescent="0.25">
      <c r="A817" s="10" t="s">
        <v>37</v>
      </c>
      <c r="B817" t="b">
        <v>0</v>
      </c>
      <c r="C817" t="b">
        <v>0</v>
      </c>
      <c r="D817" s="1">
        <v>0</v>
      </c>
      <c r="E817" s="1">
        <v>0</v>
      </c>
      <c r="F817" s="1">
        <v>0</v>
      </c>
      <c r="G817" s="1">
        <v>260</v>
      </c>
      <c r="H817" s="1">
        <v>0</v>
      </c>
      <c r="I817" s="1">
        <v>0</v>
      </c>
      <c r="J817" s="1">
        <f t="shared" si="36"/>
        <v>260</v>
      </c>
      <c r="K817" s="1">
        <v>0</v>
      </c>
      <c r="L817" s="1">
        <v>0</v>
      </c>
      <c r="M817" s="1">
        <v>0</v>
      </c>
      <c r="N817" s="1">
        <f t="shared" si="37"/>
        <v>0</v>
      </c>
      <c r="O817" s="9">
        <v>18</v>
      </c>
      <c r="P817" s="1">
        <v>0</v>
      </c>
      <c r="Q817" s="1">
        <v>0</v>
      </c>
      <c r="R817" s="12">
        <v>40330</v>
      </c>
      <c r="S817" s="1">
        <v>278</v>
      </c>
      <c r="T817" s="9" t="s">
        <v>21</v>
      </c>
    </row>
    <row r="818" spans="1:20" x14ac:dyDescent="0.25">
      <c r="A818" s="10" t="s">
        <v>37</v>
      </c>
      <c r="B818" t="b">
        <v>0</v>
      </c>
      <c r="C818" t="b">
        <v>0</v>
      </c>
      <c r="D818" s="1">
        <v>0</v>
      </c>
      <c r="E818" s="1">
        <v>0</v>
      </c>
      <c r="F818" s="1">
        <v>0</v>
      </c>
      <c r="G818" s="1">
        <v>215</v>
      </c>
      <c r="H818" s="1">
        <v>0</v>
      </c>
      <c r="I818" s="1">
        <v>0</v>
      </c>
      <c r="J818" s="1">
        <f t="shared" si="36"/>
        <v>215</v>
      </c>
      <c r="K818" s="1">
        <v>0</v>
      </c>
      <c r="L818" s="1">
        <v>0</v>
      </c>
      <c r="M818" s="1">
        <v>0</v>
      </c>
      <c r="N818" s="1">
        <f t="shared" si="37"/>
        <v>0</v>
      </c>
      <c r="O818" s="9">
        <v>20</v>
      </c>
      <c r="P818" s="1">
        <v>0</v>
      </c>
      <c r="Q818" s="1">
        <v>0</v>
      </c>
      <c r="R818" s="12">
        <v>40360</v>
      </c>
      <c r="S818" s="1">
        <v>235</v>
      </c>
      <c r="T818" s="9" t="s">
        <v>21</v>
      </c>
    </row>
    <row r="819" spans="1:20" x14ac:dyDescent="0.25">
      <c r="A819" s="10" t="s">
        <v>37</v>
      </c>
      <c r="B819" t="b">
        <v>0</v>
      </c>
      <c r="C819" t="b">
        <v>0</v>
      </c>
      <c r="D819" s="1">
        <v>0</v>
      </c>
      <c r="E819" s="1">
        <v>0</v>
      </c>
      <c r="F819" s="1">
        <v>0</v>
      </c>
      <c r="G819" s="1">
        <v>210</v>
      </c>
      <c r="H819" s="1">
        <v>0</v>
      </c>
      <c r="I819" s="1">
        <v>0</v>
      </c>
      <c r="J819" s="1">
        <f t="shared" si="36"/>
        <v>210</v>
      </c>
      <c r="K819" s="1">
        <v>0</v>
      </c>
      <c r="L819" s="1">
        <v>0</v>
      </c>
      <c r="M819" s="1">
        <v>0</v>
      </c>
      <c r="N819" s="1">
        <f t="shared" si="37"/>
        <v>0</v>
      </c>
      <c r="O819" s="9">
        <v>20</v>
      </c>
      <c r="P819" s="1">
        <v>0</v>
      </c>
      <c r="Q819" s="1">
        <v>0</v>
      </c>
      <c r="R819" s="12">
        <v>40391</v>
      </c>
      <c r="S819" s="1">
        <v>230</v>
      </c>
      <c r="T819" s="9" t="s">
        <v>21</v>
      </c>
    </row>
    <row r="820" spans="1:20" x14ac:dyDescent="0.25">
      <c r="A820" s="10" t="s">
        <v>37</v>
      </c>
      <c r="B820" t="b">
        <v>0</v>
      </c>
      <c r="C820" t="b">
        <v>0</v>
      </c>
      <c r="D820" s="1">
        <v>0</v>
      </c>
      <c r="E820" s="1">
        <v>0</v>
      </c>
      <c r="F820" s="1">
        <v>0</v>
      </c>
      <c r="G820" s="1">
        <v>328</v>
      </c>
      <c r="H820" s="1">
        <v>0</v>
      </c>
      <c r="I820" s="1">
        <v>0</v>
      </c>
      <c r="J820" s="1">
        <f t="shared" si="36"/>
        <v>328</v>
      </c>
      <c r="K820" s="1">
        <v>0</v>
      </c>
      <c r="L820" s="1">
        <v>0</v>
      </c>
      <c r="M820" s="1">
        <v>0</v>
      </c>
      <c r="N820" s="1">
        <f t="shared" si="37"/>
        <v>0</v>
      </c>
      <c r="O820" s="9">
        <v>37</v>
      </c>
      <c r="P820" s="1">
        <v>0</v>
      </c>
      <c r="Q820" s="1">
        <v>0</v>
      </c>
      <c r="R820" s="12">
        <v>40422</v>
      </c>
      <c r="S820" s="1">
        <v>365</v>
      </c>
      <c r="T820" s="9" t="s">
        <v>21</v>
      </c>
    </row>
    <row r="821" spans="1:20" x14ac:dyDescent="0.25">
      <c r="A821" s="10" t="s">
        <v>37</v>
      </c>
      <c r="B821" t="b">
        <v>0</v>
      </c>
      <c r="C821" t="b">
        <v>0</v>
      </c>
      <c r="D821" s="1">
        <v>10</v>
      </c>
      <c r="E821" s="1">
        <v>0</v>
      </c>
      <c r="F821" s="1">
        <v>0</v>
      </c>
      <c r="G821" s="1">
        <v>328</v>
      </c>
      <c r="H821" s="1">
        <v>0</v>
      </c>
      <c r="I821" s="1">
        <v>0</v>
      </c>
      <c r="J821" s="1">
        <f t="shared" si="36"/>
        <v>338</v>
      </c>
      <c r="K821" s="1">
        <v>0</v>
      </c>
      <c r="L821" s="1">
        <v>0</v>
      </c>
      <c r="M821" s="1">
        <v>0</v>
      </c>
      <c r="N821" s="1">
        <f t="shared" si="37"/>
        <v>0</v>
      </c>
      <c r="O821" s="9">
        <v>44</v>
      </c>
      <c r="P821" s="1">
        <v>0</v>
      </c>
      <c r="Q821" s="1">
        <v>0</v>
      </c>
      <c r="R821" s="12">
        <v>40452</v>
      </c>
      <c r="S821" s="1">
        <v>382</v>
      </c>
      <c r="T821" s="9" t="s">
        <v>21</v>
      </c>
    </row>
    <row r="822" spans="1:20" x14ac:dyDescent="0.25">
      <c r="A822" s="10" t="s">
        <v>37</v>
      </c>
      <c r="B822" t="b">
        <v>0</v>
      </c>
      <c r="C822" t="b">
        <v>0</v>
      </c>
      <c r="D822" s="1">
        <v>38</v>
      </c>
      <c r="E822" s="1">
        <v>0</v>
      </c>
      <c r="F822" s="1">
        <v>0</v>
      </c>
      <c r="G822" s="1">
        <v>343</v>
      </c>
      <c r="H822" s="1">
        <v>0</v>
      </c>
      <c r="I822" s="1">
        <v>0</v>
      </c>
      <c r="J822" s="1">
        <f t="shared" si="36"/>
        <v>381</v>
      </c>
      <c r="K822" s="1">
        <v>0</v>
      </c>
      <c r="L822" s="1">
        <v>0</v>
      </c>
      <c r="M822" s="1">
        <v>0</v>
      </c>
      <c r="N822" s="1">
        <f t="shared" si="37"/>
        <v>0</v>
      </c>
      <c r="O822" s="9">
        <v>2</v>
      </c>
      <c r="P822" s="1">
        <v>0</v>
      </c>
      <c r="Q822" s="1">
        <v>0</v>
      </c>
      <c r="R822" s="12">
        <v>40483</v>
      </c>
      <c r="S822" s="1">
        <v>383</v>
      </c>
      <c r="T822" s="9" t="s">
        <v>21</v>
      </c>
    </row>
    <row r="823" spans="1:20" x14ac:dyDescent="0.25">
      <c r="A823" s="10" t="s">
        <v>37</v>
      </c>
      <c r="B823" t="b">
        <v>0</v>
      </c>
      <c r="C823" t="b">
        <v>0</v>
      </c>
      <c r="D823" s="1">
        <v>3</v>
      </c>
      <c r="E823" s="1">
        <v>0</v>
      </c>
      <c r="F823" s="1">
        <v>0</v>
      </c>
      <c r="G823" s="1">
        <v>245</v>
      </c>
      <c r="H823" s="1">
        <v>0</v>
      </c>
      <c r="I823" s="1">
        <v>0</v>
      </c>
      <c r="J823" s="1">
        <f t="shared" si="36"/>
        <v>248</v>
      </c>
      <c r="K823" s="1">
        <v>0</v>
      </c>
      <c r="L823" s="1">
        <v>0</v>
      </c>
      <c r="M823" s="1">
        <v>0</v>
      </c>
      <c r="N823" s="1">
        <f t="shared" si="37"/>
        <v>0</v>
      </c>
      <c r="O823" s="9">
        <v>1</v>
      </c>
      <c r="P823" s="1">
        <v>0</v>
      </c>
      <c r="Q823" s="1">
        <v>0</v>
      </c>
      <c r="R823" s="12">
        <v>40513</v>
      </c>
      <c r="S823" s="1">
        <v>249</v>
      </c>
      <c r="T823" s="9" t="s">
        <v>21</v>
      </c>
    </row>
    <row r="824" spans="1:20" x14ac:dyDescent="0.25">
      <c r="A824" s="10" t="s">
        <v>37</v>
      </c>
      <c r="B824" t="b">
        <v>0</v>
      </c>
      <c r="C824" t="b">
        <v>0</v>
      </c>
      <c r="D824" s="1">
        <v>0</v>
      </c>
      <c r="E824" s="1">
        <v>0</v>
      </c>
      <c r="F824" s="1">
        <v>0</v>
      </c>
      <c r="G824" s="1">
        <v>278</v>
      </c>
      <c r="H824" s="1">
        <v>0</v>
      </c>
      <c r="I824" s="1">
        <v>0</v>
      </c>
      <c r="J824" s="1">
        <f t="shared" si="36"/>
        <v>278</v>
      </c>
      <c r="K824" s="1">
        <v>0</v>
      </c>
      <c r="L824" s="1">
        <v>0</v>
      </c>
      <c r="M824" s="1">
        <v>0</v>
      </c>
      <c r="N824" s="1">
        <f t="shared" si="37"/>
        <v>0</v>
      </c>
      <c r="O824" s="9">
        <v>15</v>
      </c>
      <c r="P824" s="1">
        <v>0</v>
      </c>
      <c r="Q824" s="1">
        <v>0</v>
      </c>
      <c r="R824" s="12">
        <v>40544</v>
      </c>
      <c r="S824" s="1">
        <v>293</v>
      </c>
      <c r="T824" s="9" t="s">
        <v>21</v>
      </c>
    </row>
    <row r="825" spans="1:20" x14ac:dyDescent="0.25">
      <c r="A825" s="10" t="s">
        <v>37</v>
      </c>
      <c r="B825" t="b">
        <v>0</v>
      </c>
      <c r="C825" t="b">
        <v>0</v>
      </c>
      <c r="D825" s="1">
        <v>30</v>
      </c>
      <c r="E825" s="1">
        <v>0</v>
      </c>
      <c r="F825" s="1">
        <v>0</v>
      </c>
      <c r="G825" s="1">
        <v>185</v>
      </c>
      <c r="H825" s="1">
        <v>0</v>
      </c>
      <c r="I825" s="1">
        <v>0</v>
      </c>
      <c r="J825" s="1">
        <f t="shared" si="36"/>
        <v>215</v>
      </c>
      <c r="K825" s="1">
        <v>0</v>
      </c>
      <c r="L825" s="1">
        <v>0</v>
      </c>
      <c r="M825" s="1">
        <v>0</v>
      </c>
      <c r="N825" s="1">
        <f t="shared" si="37"/>
        <v>0</v>
      </c>
      <c r="O825" s="9">
        <v>2</v>
      </c>
      <c r="P825" s="1">
        <v>0</v>
      </c>
      <c r="Q825" s="1">
        <v>0</v>
      </c>
      <c r="R825" s="12">
        <v>40575</v>
      </c>
      <c r="S825" s="1">
        <v>217</v>
      </c>
      <c r="T825" s="9" t="s">
        <v>21</v>
      </c>
    </row>
    <row r="826" spans="1:20" x14ac:dyDescent="0.25">
      <c r="A826" s="10" t="s">
        <v>37</v>
      </c>
      <c r="B826" t="b">
        <v>0</v>
      </c>
      <c r="C826" t="b">
        <v>0</v>
      </c>
      <c r="D826" s="1">
        <v>53</v>
      </c>
      <c r="E826" s="1">
        <v>0</v>
      </c>
      <c r="F826" s="1">
        <v>0</v>
      </c>
      <c r="G826" s="1">
        <v>125</v>
      </c>
      <c r="H826" s="1">
        <v>0</v>
      </c>
      <c r="I826" s="1">
        <v>0</v>
      </c>
      <c r="J826" s="1">
        <f t="shared" si="36"/>
        <v>178</v>
      </c>
      <c r="K826" s="1">
        <v>0</v>
      </c>
      <c r="L826" s="1">
        <v>0</v>
      </c>
      <c r="M826" s="1">
        <v>0</v>
      </c>
      <c r="N826" s="1">
        <f t="shared" si="37"/>
        <v>0</v>
      </c>
      <c r="O826" s="9">
        <v>7</v>
      </c>
      <c r="P826" s="1">
        <v>0</v>
      </c>
      <c r="Q826" s="1">
        <v>0</v>
      </c>
      <c r="R826" s="12">
        <v>40603</v>
      </c>
      <c r="S826" s="1">
        <v>185</v>
      </c>
      <c r="T826" s="9" t="s">
        <v>21</v>
      </c>
    </row>
    <row r="827" spans="1:20" x14ac:dyDescent="0.25">
      <c r="A827" s="10" t="s">
        <v>37</v>
      </c>
      <c r="B827" t="b">
        <v>0</v>
      </c>
      <c r="C827" t="b">
        <v>0</v>
      </c>
      <c r="D827" s="1">
        <v>0</v>
      </c>
      <c r="E827" s="1">
        <v>0</v>
      </c>
      <c r="F827" s="1">
        <v>0</v>
      </c>
      <c r="G827" s="1">
        <v>208</v>
      </c>
      <c r="H827" s="1">
        <v>0</v>
      </c>
      <c r="I827" s="1">
        <v>0</v>
      </c>
      <c r="J827" s="1">
        <f t="shared" si="36"/>
        <v>208</v>
      </c>
      <c r="K827" s="1">
        <v>0</v>
      </c>
      <c r="L827" s="1">
        <v>0</v>
      </c>
      <c r="M827" s="1">
        <v>0</v>
      </c>
      <c r="N827" s="1">
        <f t="shared" si="37"/>
        <v>0</v>
      </c>
      <c r="O827" s="9">
        <v>10</v>
      </c>
      <c r="P827" s="1">
        <v>0</v>
      </c>
      <c r="Q827" s="1">
        <v>0</v>
      </c>
      <c r="R827" s="12">
        <v>40634</v>
      </c>
      <c r="S827" s="1">
        <v>218</v>
      </c>
      <c r="T827" s="9" t="s">
        <v>21</v>
      </c>
    </row>
    <row r="828" spans="1:20" x14ac:dyDescent="0.25">
      <c r="A828" s="10" t="s">
        <v>37</v>
      </c>
      <c r="B828" t="b">
        <v>0</v>
      </c>
      <c r="C828" t="b">
        <v>0</v>
      </c>
      <c r="D828" s="1">
        <v>0</v>
      </c>
      <c r="E828" s="1">
        <v>0</v>
      </c>
      <c r="F828" s="1">
        <v>0</v>
      </c>
      <c r="G828" s="1">
        <v>225</v>
      </c>
      <c r="H828" s="1">
        <v>0</v>
      </c>
      <c r="I828" s="1">
        <v>0</v>
      </c>
      <c r="J828" s="1">
        <f t="shared" si="36"/>
        <v>225</v>
      </c>
      <c r="K828" s="1">
        <v>0</v>
      </c>
      <c r="L828" s="1">
        <v>0</v>
      </c>
      <c r="M828" s="1">
        <v>0</v>
      </c>
      <c r="N828" s="1">
        <f t="shared" si="37"/>
        <v>0</v>
      </c>
      <c r="O828" s="9">
        <v>17</v>
      </c>
      <c r="P828" s="1">
        <v>0</v>
      </c>
      <c r="Q828" s="1">
        <v>0</v>
      </c>
      <c r="R828" s="12">
        <v>40664</v>
      </c>
      <c r="S828" s="1">
        <v>242</v>
      </c>
      <c r="T828" s="9" t="s">
        <v>21</v>
      </c>
    </row>
    <row r="829" spans="1:20" x14ac:dyDescent="0.25">
      <c r="A829" s="10" t="s">
        <v>37</v>
      </c>
      <c r="B829" t="b">
        <v>0</v>
      </c>
      <c r="C829" t="b">
        <v>0</v>
      </c>
      <c r="D829" s="1">
        <v>28</v>
      </c>
      <c r="E829" s="1">
        <v>0</v>
      </c>
      <c r="F829" s="1">
        <v>0</v>
      </c>
      <c r="G829" s="1">
        <v>203</v>
      </c>
      <c r="H829" s="1">
        <v>0</v>
      </c>
      <c r="I829" s="1">
        <v>0</v>
      </c>
      <c r="J829" s="1">
        <f t="shared" si="36"/>
        <v>231</v>
      </c>
      <c r="K829" s="1">
        <v>0</v>
      </c>
      <c r="L829" s="1">
        <v>0</v>
      </c>
      <c r="M829" s="1">
        <v>0</v>
      </c>
      <c r="N829" s="1">
        <f t="shared" si="37"/>
        <v>0</v>
      </c>
      <c r="O829" s="9">
        <v>21</v>
      </c>
      <c r="P829" s="1">
        <v>0</v>
      </c>
      <c r="Q829" s="1">
        <v>0</v>
      </c>
      <c r="R829" s="12">
        <v>40695</v>
      </c>
      <c r="S829" s="1">
        <v>252</v>
      </c>
      <c r="T829" s="9" t="s">
        <v>21</v>
      </c>
    </row>
    <row r="830" spans="1:20" x14ac:dyDescent="0.25">
      <c r="A830" s="10" t="s">
        <v>37</v>
      </c>
      <c r="B830" t="b">
        <v>0</v>
      </c>
      <c r="C830" t="b">
        <v>0</v>
      </c>
      <c r="D830" s="1">
        <v>83</v>
      </c>
      <c r="E830" s="1">
        <v>0</v>
      </c>
      <c r="F830" s="1">
        <v>0</v>
      </c>
      <c r="G830" s="1">
        <v>195</v>
      </c>
      <c r="H830" s="1">
        <v>0</v>
      </c>
      <c r="I830" s="1">
        <v>0</v>
      </c>
      <c r="J830" s="1">
        <f t="shared" si="36"/>
        <v>278</v>
      </c>
      <c r="K830" s="1">
        <v>0</v>
      </c>
      <c r="L830" s="1">
        <v>0</v>
      </c>
      <c r="M830" s="1">
        <v>0</v>
      </c>
      <c r="N830" s="1">
        <f t="shared" si="37"/>
        <v>0</v>
      </c>
      <c r="O830" s="9">
        <v>18</v>
      </c>
      <c r="P830" s="1">
        <v>0</v>
      </c>
      <c r="Q830" s="1">
        <v>0</v>
      </c>
      <c r="R830" s="12">
        <v>40725</v>
      </c>
      <c r="S830" s="1">
        <v>296</v>
      </c>
      <c r="T830" s="9" t="s">
        <v>21</v>
      </c>
    </row>
    <row r="831" spans="1:20" x14ac:dyDescent="0.25">
      <c r="A831" s="10" t="s">
        <v>37</v>
      </c>
      <c r="B831" t="b">
        <v>0</v>
      </c>
      <c r="C831" t="b">
        <v>0</v>
      </c>
      <c r="D831" s="1">
        <v>0</v>
      </c>
      <c r="E831" s="1">
        <v>0</v>
      </c>
      <c r="F831" s="1">
        <v>0</v>
      </c>
      <c r="G831" s="1">
        <v>285</v>
      </c>
      <c r="H831" s="1">
        <v>0</v>
      </c>
      <c r="I831" s="1">
        <v>0</v>
      </c>
      <c r="J831" s="1">
        <f t="shared" si="36"/>
        <v>285</v>
      </c>
      <c r="K831" s="1">
        <v>0</v>
      </c>
      <c r="L831" s="1">
        <v>0</v>
      </c>
      <c r="M831" s="1">
        <v>0</v>
      </c>
      <c r="N831" s="1">
        <f t="shared" si="37"/>
        <v>0</v>
      </c>
      <c r="O831" s="9">
        <v>16</v>
      </c>
      <c r="P831" s="1">
        <v>0</v>
      </c>
      <c r="Q831" s="1">
        <v>0</v>
      </c>
      <c r="R831" s="12">
        <v>40756</v>
      </c>
      <c r="S831" s="1">
        <v>301</v>
      </c>
      <c r="T831" s="9" t="s">
        <v>21</v>
      </c>
    </row>
    <row r="832" spans="1:20" x14ac:dyDescent="0.25">
      <c r="A832" s="10" t="s">
        <v>37</v>
      </c>
      <c r="B832" t="b">
        <v>0</v>
      </c>
      <c r="C832" t="b">
        <v>0</v>
      </c>
      <c r="D832" s="1">
        <v>8</v>
      </c>
      <c r="E832" s="1">
        <v>0</v>
      </c>
      <c r="F832" s="1">
        <v>0</v>
      </c>
      <c r="G832" s="1">
        <v>208</v>
      </c>
      <c r="H832" s="1">
        <v>0</v>
      </c>
      <c r="I832" s="1">
        <v>0</v>
      </c>
      <c r="J832" s="1">
        <f t="shared" si="36"/>
        <v>216</v>
      </c>
      <c r="K832" s="1">
        <v>0</v>
      </c>
      <c r="L832" s="1">
        <v>0</v>
      </c>
      <c r="M832" s="1">
        <v>0</v>
      </c>
      <c r="N832" s="1">
        <f t="shared" si="37"/>
        <v>0</v>
      </c>
      <c r="O832" s="9">
        <v>0</v>
      </c>
      <c r="P832" s="1">
        <v>0</v>
      </c>
      <c r="Q832" s="1">
        <v>0</v>
      </c>
      <c r="R832" s="12">
        <v>40787</v>
      </c>
      <c r="S832" s="1">
        <v>216</v>
      </c>
      <c r="T832" s="9" t="s">
        <v>21</v>
      </c>
    </row>
    <row r="833" spans="1:20" x14ac:dyDescent="0.25">
      <c r="A833" s="10" t="s">
        <v>37</v>
      </c>
      <c r="B833" t="b">
        <v>0</v>
      </c>
      <c r="C833" t="b">
        <v>0</v>
      </c>
      <c r="D833" s="1">
        <v>0</v>
      </c>
      <c r="E833" s="1">
        <v>0</v>
      </c>
      <c r="F833" s="1">
        <v>0</v>
      </c>
      <c r="G833" s="1">
        <v>238</v>
      </c>
      <c r="H833" s="1">
        <v>0</v>
      </c>
      <c r="I833" s="1">
        <v>0</v>
      </c>
      <c r="J833" s="1">
        <f t="shared" si="36"/>
        <v>238</v>
      </c>
      <c r="K833" s="1">
        <v>0</v>
      </c>
      <c r="L833" s="1">
        <v>0</v>
      </c>
      <c r="M833" s="1">
        <v>0</v>
      </c>
      <c r="N833" s="1">
        <f t="shared" si="37"/>
        <v>0</v>
      </c>
      <c r="O833" s="9">
        <v>0</v>
      </c>
      <c r="P833" s="1">
        <v>0</v>
      </c>
      <c r="Q833" s="1">
        <v>0</v>
      </c>
      <c r="R833" s="12">
        <v>40817</v>
      </c>
      <c r="S833" s="1">
        <v>238</v>
      </c>
      <c r="T833" s="9" t="s">
        <v>21</v>
      </c>
    </row>
    <row r="834" spans="1:20" x14ac:dyDescent="0.25">
      <c r="A834" s="10" t="s">
        <v>37</v>
      </c>
      <c r="B834" t="b">
        <v>0</v>
      </c>
      <c r="C834" t="b">
        <v>0</v>
      </c>
      <c r="D834" s="1">
        <v>0</v>
      </c>
      <c r="E834" s="1">
        <v>0</v>
      </c>
      <c r="F834" s="1">
        <v>0</v>
      </c>
      <c r="G834" s="1">
        <v>78</v>
      </c>
      <c r="H834" s="1">
        <v>0</v>
      </c>
      <c r="I834" s="1">
        <v>0</v>
      </c>
      <c r="J834" s="1">
        <f t="shared" si="36"/>
        <v>78</v>
      </c>
      <c r="K834" s="1">
        <v>0</v>
      </c>
      <c r="L834" s="1">
        <v>0</v>
      </c>
      <c r="M834" s="1">
        <v>0</v>
      </c>
      <c r="N834" s="1">
        <f t="shared" si="37"/>
        <v>0</v>
      </c>
      <c r="O834" s="9">
        <v>0</v>
      </c>
      <c r="P834" s="1">
        <v>0</v>
      </c>
      <c r="Q834" s="1">
        <v>0</v>
      </c>
      <c r="R834" s="12">
        <v>40848</v>
      </c>
      <c r="S834" s="1">
        <v>78</v>
      </c>
      <c r="T834" s="9" t="s">
        <v>21</v>
      </c>
    </row>
    <row r="835" spans="1:20" x14ac:dyDescent="0.25">
      <c r="A835" s="10" t="s">
        <v>37</v>
      </c>
      <c r="B835" t="b">
        <v>0</v>
      </c>
      <c r="C835" t="b">
        <v>0</v>
      </c>
      <c r="D835" s="1">
        <v>0</v>
      </c>
      <c r="E835" s="1">
        <v>0</v>
      </c>
      <c r="F835" s="1">
        <v>0</v>
      </c>
      <c r="G835" s="1">
        <v>55</v>
      </c>
      <c r="H835" s="1">
        <v>0</v>
      </c>
      <c r="I835" s="1">
        <v>0</v>
      </c>
      <c r="J835" s="1">
        <f t="shared" si="36"/>
        <v>55</v>
      </c>
      <c r="K835" s="1">
        <v>0</v>
      </c>
      <c r="L835" s="1">
        <v>0</v>
      </c>
      <c r="M835" s="1">
        <v>0</v>
      </c>
      <c r="N835" s="1">
        <f t="shared" si="37"/>
        <v>0</v>
      </c>
      <c r="O835" s="9">
        <v>0</v>
      </c>
      <c r="P835" s="1">
        <v>0</v>
      </c>
      <c r="Q835" s="1">
        <v>0</v>
      </c>
      <c r="R835" s="12">
        <v>40878</v>
      </c>
      <c r="S835" s="1">
        <v>55</v>
      </c>
      <c r="T835" s="9" t="s">
        <v>21</v>
      </c>
    </row>
    <row r="836" spans="1:20" x14ac:dyDescent="0.25">
      <c r="A836" s="10" t="s">
        <v>37</v>
      </c>
      <c r="B836" t="b">
        <v>0</v>
      </c>
      <c r="C836" t="b">
        <v>0</v>
      </c>
      <c r="D836" s="1">
        <v>0</v>
      </c>
      <c r="E836" s="1">
        <v>0</v>
      </c>
      <c r="F836" s="1">
        <v>0</v>
      </c>
      <c r="G836" s="1">
        <v>418</v>
      </c>
      <c r="H836" s="1">
        <v>0</v>
      </c>
      <c r="I836" s="1">
        <v>0</v>
      </c>
      <c r="J836" s="1">
        <f t="shared" si="36"/>
        <v>418</v>
      </c>
      <c r="K836" s="1">
        <v>0</v>
      </c>
      <c r="L836" s="1">
        <v>0</v>
      </c>
      <c r="M836" s="1">
        <v>0</v>
      </c>
      <c r="N836" s="1">
        <f t="shared" si="37"/>
        <v>0</v>
      </c>
      <c r="O836" s="9">
        <v>0</v>
      </c>
      <c r="P836" s="1">
        <v>0</v>
      </c>
      <c r="Q836" s="1">
        <v>0</v>
      </c>
      <c r="R836" s="12">
        <v>40909</v>
      </c>
      <c r="S836" s="1">
        <v>418</v>
      </c>
      <c r="T836" s="9" t="s">
        <v>21</v>
      </c>
    </row>
    <row r="837" spans="1:20" x14ac:dyDescent="0.25">
      <c r="A837" s="10" t="s">
        <v>37</v>
      </c>
      <c r="B837" t="b">
        <v>0</v>
      </c>
      <c r="C837" t="b">
        <v>0</v>
      </c>
      <c r="D837" s="1">
        <v>0</v>
      </c>
      <c r="E837" s="1">
        <v>0</v>
      </c>
      <c r="F837" s="1">
        <v>0</v>
      </c>
      <c r="G837" s="1">
        <v>564</v>
      </c>
      <c r="H837" s="1">
        <v>0</v>
      </c>
      <c r="I837" s="1">
        <v>0</v>
      </c>
      <c r="J837" s="1">
        <f t="shared" si="36"/>
        <v>564</v>
      </c>
      <c r="K837" s="1">
        <v>0</v>
      </c>
      <c r="L837" s="1">
        <v>0</v>
      </c>
      <c r="M837" s="1">
        <v>0</v>
      </c>
      <c r="N837" s="1">
        <f t="shared" si="37"/>
        <v>0</v>
      </c>
      <c r="O837" s="9">
        <v>3</v>
      </c>
      <c r="P837" s="1">
        <v>0</v>
      </c>
      <c r="Q837" s="1">
        <v>0</v>
      </c>
      <c r="R837" s="12">
        <v>40940</v>
      </c>
      <c r="S837" s="1">
        <v>567</v>
      </c>
      <c r="T837" s="9" t="s">
        <v>21</v>
      </c>
    </row>
    <row r="838" spans="1:20" x14ac:dyDescent="0.25">
      <c r="A838" s="10" t="s">
        <v>37</v>
      </c>
      <c r="B838" t="b">
        <v>0</v>
      </c>
      <c r="C838" t="b">
        <v>0</v>
      </c>
      <c r="D838" s="1">
        <v>0</v>
      </c>
      <c r="E838" s="1">
        <v>0</v>
      </c>
      <c r="F838" s="1">
        <v>0</v>
      </c>
      <c r="G838" s="1">
        <v>816</v>
      </c>
      <c r="H838" s="1">
        <v>0</v>
      </c>
      <c r="I838" s="1">
        <v>0</v>
      </c>
      <c r="J838" s="1">
        <f t="shared" si="36"/>
        <v>816</v>
      </c>
      <c r="K838" s="1">
        <v>0</v>
      </c>
      <c r="L838" s="1">
        <v>0</v>
      </c>
      <c r="M838" s="1">
        <v>0</v>
      </c>
      <c r="N838" s="1">
        <f t="shared" si="37"/>
        <v>0</v>
      </c>
      <c r="O838" s="9">
        <v>0</v>
      </c>
      <c r="P838" s="1">
        <v>0</v>
      </c>
      <c r="Q838" s="1">
        <v>0</v>
      </c>
      <c r="R838" s="12">
        <v>40969</v>
      </c>
      <c r="S838" s="1">
        <v>816</v>
      </c>
      <c r="T838" s="9" t="s">
        <v>21</v>
      </c>
    </row>
    <row r="839" spans="1:20" x14ac:dyDescent="0.25">
      <c r="A839" s="10" t="s">
        <v>37</v>
      </c>
      <c r="B839" t="b">
        <v>0</v>
      </c>
      <c r="C839" t="b">
        <v>0</v>
      </c>
      <c r="D839" s="1">
        <v>0</v>
      </c>
      <c r="E839" s="1">
        <v>0</v>
      </c>
      <c r="F839" s="1">
        <v>0</v>
      </c>
      <c r="G839" s="1">
        <v>738</v>
      </c>
      <c r="H839" s="1">
        <v>0</v>
      </c>
      <c r="I839" s="1">
        <v>0</v>
      </c>
      <c r="J839" s="1">
        <f t="shared" ref="J839:J902" si="38">D839+E839+F839+G839+H839+I839</f>
        <v>738</v>
      </c>
      <c r="K839" s="1">
        <v>0</v>
      </c>
      <c r="L839" s="1">
        <v>0</v>
      </c>
      <c r="M839" s="1">
        <v>0</v>
      </c>
      <c r="N839" s="1">
        <f t="shared" si="37"/>
        <v>0</v>
      </c>
      <c r="O839" s="9">
        <v>0</v>
      </c>
      <c r="P839" s="1">
        <v>0</v>
      </c>
      <c r="Q839" s="1">
        <v>0</v>
      </c>
      <c r="R839" s="12">
        <v>41000</v>
      </c>
      <c r="S839" s="1">
        <v>738</v>
      </c>
      <c r="T839" s="9" t="s">
        <v>21</v>
      </c>
    </row>
    <row r="840" spans="1:20" x14ac:dyDescent="0.25">
      <c r="A840" s="10" t="s">
        <v>37</v>
      </c>
      <c r="B840" t="b">
        <v>0</v>
      </c>
      <c r="C840" t="b">
        <v>0</v>
      </c>
      <c r="D840" s="1">
        <v>0</v>
      </c>
      <c r="E840" s="1">
        <v>0</v>
      </c>
      <c r="F840" s="1">
        <v>0</v>
      </c>
      <c r="G840" s="1">
        <v>1368</v>
      </c>
      <c r="H840" s="1">
        <v>0</v>
      </c>
      <c r="I840" s="1">
        <v>0</v>
      </c>
      <c r="J840" s="1">
        <f t="shared" si="38"/>
        <v>1368</v>
      </c>
      <c r="K840" s="1">
        <v>0</v>
      </c>
      <c r="L840" s="1">
        <v>0</v>
      </c>
      <c r="M840" s="1">
        <v>0</v>
      </c>
      <c r="N840" s="1">
        <f t="shared" si="37"/>
        <v>0</v>
      </c>
      <c r="O840" s="9">
        <v>0</v>
      </c>
      <c r="P840" s="1">
        <v>0</v>
      </c>
      <c r="Q840" s="1">
        <v>0</v>
      </c>
      <c r="R840" s="12">
        <v>41030</v>
      </c>
      <c r="S840" s="1">
        <v>1368</v>
      </c>
      <c r="T840" s="9" t="s">
        <v>21</v>
      </c>
    </row>
    <row r="841" spans="1:20" x14ac:dyDescent="0.25">
      <c r="A841" s="10" t="s">
        <v>37</v>
      </c>
      <c r="B841" t="b">
        <v>0</v>
      </c>
      <c r="C841" t="b">
        <v>0</v>
      </c>
      <c r="D841" s="1">
        <v>0</v>
      </c>
      <c r="E841" s="1">
        <v>0</v>
      </c>
      <c r="F841" s="1">
        <v>0</v>
      </c>
      <c r="G841" s="1">
        <v>1266</v>
      </c>
      <c r="H841" s="1">
        <v>0</v>
      </c>
      <c r="I841" s="1">
        <v>0</v>
      </c>
      <c r="J841" s="1">
        <f t="shared" si="38"/>
        <v>1266</v>
      </c>
      <c r="K841" s="1">
        <v>0</v>
      </c>
      <c r="L841" s="1">
        <v>0</v>
      </c>
      <c r="M841" s="1">
        <v>0</v>
      </c>
      <c r="N841" s="1">
        <f t="shared" si="37"/>
        <v>0</v>
      </c>
      <c r="O841" s="9">
        <v>0</v>
      </c>
      <c r="P841" s="1">
        <v>0</v>
      </c>
      <c r="Q841" s="1">
        <v>0</v>
      </c>
      <c r="R841" s="12">
        <v>41061</v>
      </c>
      <c r="S841" s="1">
        <v>1266</v>
      </c>
      <c r="T841" s="9" t="s">
        <v>21</v>
      </c>
    </row>
    <row r="842" spans="1:20" x14ac:dyDescent="0.25">
      <c r="A842" s="10" t="s">
        <v>37</v>
      </c>
      <c r="B842" t="b">
        <v>0</v>
      </c>
      <c r="C842" t="b">
        <v>0</v>
      </c>
      <c r="D842" s="1">
        <v>0</v>
      </c>
      <c r="E842" s="1">
        <v>0</v>
      </c>
      <c r="F842" s="1">
        <v>0</v>
      </c>
      <c r="G842" s="1">
        <v>954</v>
      </c>
      <c r="H842" s="1">
        <v>0</v>
      </c>
      <c r="I842" s="1">
        <v>0</v>
      </c>
      <c r="J842" s="1">
        <f t="shared" si="38"/>
        <v>954</v>
      </c>
      <c r="K842" s="1">
        <v>0</v>
      </c>
      <c r="L842" s="1">
        <v>0</v>
      </c>
      <c r="M842" s="1">
        <v>0</v>
      </c>
      <c r="N842" s="1">
        <f t="shared" si="37"/>
        <v>0</v>
      </c>
      <c r="O842" s="9">
        <v>54</v>
      </c>
      <c r="P842" s="1">
        <v>0</v>
      </c>
      <c r="Q842" s="1">
        <v>0</v>
      </c>
      <c r="R842" s="12">
        <v>41091</v>
      </c>
      <c r="S842" s="1">
        <v>1008</v>
      </c>
      <c r="T842" s="9" t="s">
        <v>21</v>
      </c>
    </row>
    <row r="843" spans="1:20" x14ac:dyDescent="0.25">
      <c r="A843" s="10" t="s">
        <v>37</v>
      </c>
      <c r="B843" t="b">
        <v>0</v>
      </c>
      <c r="C843" t="b">
        <v>0</v>
      </c>
      <c r="D843" s="1">
        <v>0</v>
      </c>
      <c r="E843" s="1">
        <v>0</v>
      </c>
      <c r="F843" s="1">
        <v>0</v>
      </c>
      <c r="G843" s="1">
        <v>670</v>
      </c>
      <c r="H843" s="1">
        <v>0</v>
      </c>
      <c r="I843" s="1">
        <v>0</v>
      </c>
      <c r="J843" s="1">
        <f t="shared" si="38"/>
        <v>670</v>
      </c>
      <c r="K843" s="1">
        <v>0</v>
      </c>
      <c r="L843" s="1">
        <v>0</v>
      </c>
      <c r="M843" s="1">
        <v>0</v>
      </c>
      <c r="N843" s="1">
        <f t="shared" si="37"/>
        <v>0</v>
      </c>
      <c r="O843" s="9">
        <v>35</v>
      </c>
      <c r="P843" s="1">
        <v>0</v>
      </c>
      <c r="Q843" s="1">
        <v>0</v>
      </c>
      <c r="R843" s="12">
        <v>41122</v>
      </c>
      <c r="S843" s="1">
        <v>705</v>
      </c>
      <c r="T843" s="9" t="s">
        <v>21</v>
      </c>
    </row>
    <row r="844" spans="1:20" x14ac:dyDescent="0.25">
      <c r="A844" s="10" t="s">
        <v>37</v>
      </c>
      <c r="B844" t="b">
        <v>0</v>
      </c>
      <c r="C844" t="b">
        <v>0</v>
      </c>
      <c r="D844" s="1">
        <v>83</v>
      </c>
      <c r="E844" s="1">
        <v>0</v>
      </c>
      <c r="F844" s="1">
        <v>0</v>
      </c>
      <c r="G844" s="1">
        <v>616</v>
      </c>
      <c r="H844" s="1">
        <v>0</v>
      </c>
      <c r="I844" s="1">
        <v>0</v>
      </c>
      <c r="J844" s="1">
        <f t="shared" si="38"/>
        <v>699</v>
      </c>
      <c r="K844" s="1">
        <v>0</v>
      </c>
      <c r="L844" s="1">
        <v>0</v>
      </c>
      <c r="M844" s="1">
        <v>0</v>
      </c>
      <c r="N844" s="1">
        <f t="shared" si="37"/>
        <v>0</v>
      </c>
      <c r="O844" s="9">
        <v>12</v>
      </c>
      <c r="P844" s="1">
        <v>0</v>
      </c>
      <c r="Q844" s="1">
        <v>0</v>
      </c>
      <c r="R844" s="12">
        <v>41153</v>
      </c>
      <c r="S844" s="1">
        <v>711</v>
      </c>
      <c r="T844" s="9" t="s">
        <v>21</v>
      </c>
    </row>
    <row r="845" spans="1:20" x14ac:dyDescent="0.25">
      <c r="A845" s="10" t="s">
        <v>37</v>
      </c>
      <c r="B845" t="b">
        <v>0</v>
      </c>
      <c r="C845" t="b">
        <v>0</v>
      </c>
      <c r="D845" s="1">
        <v>48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f t="shared" si="38"/>
        <v>48</v>
      </c>
      <c r="K845" s="1">
        <v>0</v>
      </c>
      <c r="L845" s="1">
        <v>0</v>
      </c>
      <c r="M845" s="1">
        <v>0</v>
      </c>
      <c r="N845" s="1">
        <f t="shared" si="37"/>
        <v>0</v>
      </c>
      <c r="O845" s="9">
        <v>1</v>
      </c>
      <c r="P845" s="1">
        <v>0</v>
      </c>
      <c r="Q845" s="1">
        <v>0</v>
      </c>
      <c r="R845" s="12">
        <v>41183</v>
      </c>
      <c r="S845" s="1">
        <v>49</v>
      </c>
      <c r="T845" s="9" t="s">
        <v>21</v>
      </c>
    </row>
    <row r="846" spans="1:20" x14ac:dyDescent="0.25">
      <c r="A846" s="10" t="s">
        <v>37</v>
      </c>
      <c r="B846" t="b">
        <v>0</v>
      </c>
      <c r="C846" t="b">
        <v>0</v>
      </c>
      <c r="D846" s="1">
        <v>93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f t="shared" si="38"/>
        <v>93</v>
      </c>
      <c r="K846" s="1">
        <v>0</v>
      </c>
      <c r="L846" s="1">
        <v>0</v>
      </c>
      <c r="M846" s="1">
        <v>0</v>
      </c>
      <c r="N846" s="1">
        <f t="shared" si="37"/>
        <v>0</v>
      </c>
      <c r="O846" s="9">
        <v>0</v>
      </c>
      <c r="P846" s="1">
        <v>0</v>
      </c>
      <c r="Q846" s="1">
        <v>0</v>
      </c>
      <c r="R846" s="12">
        <v>41214</v>
      </c>
      <c r="S846" s="1">
        <v>93</v>
      </c>
      <c r="T846" s="9" t="s">
        <v>21</v>
      </c>
    </row>
    <row r="847" spans="1:20" x14ac:dyDescent="0.25">
      <c r="A847" s="10" t="s">
        <v>37</v>
      </c>
      <c r="B847" t="b">
        <v>0</v>
      </c>
      <c r="C847" t="b">
        <v>0</v>
      </c>
      <c r="D847" s="1">
        <v>18</v>
      </c>
      <c r="E847" s="1">
        <v>0</v>
      </c>
      <c r="F847" s="1">
        <v>0</v>
      </c>
      <c r="G847" s="1">
        <v>505</v>
      </c>
      <c r="H847" s="1">
        <v>0</v>
      </c>
      <c r="I847" s="1">
        <v>0</v>
      </c>
      <c r="J847" s="1">
        <f t="shared" si="38"/>
        <v>523</v>
      </c>
      <c r="K847" s="1">
        <v>0</v>
      </c>
      <c r="L847" s="1">
        <v>0</v>
      </c>
      <c r="M847" s="1">
        <v>0</v>
      </c>
      <c r="N847" s="1">
        <f t="shared" si="37"/>
        <v>0</v>
      </c>
      <c r="O847" s="9">
        <v>0</v>
      </c>
      <c r="P847" s="1">
        <v>0</v>
      </c>
      <c r="Q847" s="1">
        <v>0</v>
      </c>
      <c r="R847" s="12">
        <v>41244</v>
      </c>
      <c r="S847" s="1">
        <v>523</v>
      </c>
      <c r="T847" s="9" t="s">
        <v>21</v>
      </c>
    </row>
    <row r="848" spans="1:20" x14ac:dyDescent="0.25">
      <c r="A848" s="10" t="s">
        <v>37</v>
      </c>
      <c r="B848" t="b">
        <v>0</v>
      </c>
      <c r="C848" t="b">
        <v>0</v>
      </c>
      <c r="D848" s="1">
        <v>55</v>
      </c>
      <c r="E848" s="1">
        <v>0</v>
      </c>
      <c r="F848" s="1">
        <v>0</v>
      </c>
      <c r="G848" s="1">
        <v>433</v>
      </c>
      <c r="H848" s="1">
        <v>0</v>
      </c>
      <c r="I848" s="1">
        <v>0</v>
      </c>
      <c r="J848" s="1">
        <f t="shared" si="38"/>
        <v>488</v>
      </c>
      <c r="K848" s="1">
        <v>0</v>
      </c>
      <c r="L848" s="1">
        <v>0</v>
      </c>
      <c r="M848" s="1">
        <v>0</v>
      </c>
      <c r="N848" s="1">
        <f t="shared" si="37"/>
        <v>0</v>
      </c>
      <c r="O848" s="9">
        <v>0</v>
      </c>
      <c r="P848" s="1">
        <v>0</v>
      </c>
      <c r="Q848" s="1">
        <v>0</v>
      </c>
      <c r="R848" s="12">
        <v>41275</v>
      </c>
      <c r="S848" s="1">
        <v>488</v>
      </c>
      <c r="T848" s="9" t="s">
        <v>40</v>
      </c>
    </row>
    <row r="849" spans="1:20" x14ac:dyDescent="0.25">
      <c r="A849" s="10" t="s">
        <v>37</v>
      </c>
      <c r="B849" t="b">
        <v>0</v>
      </c>
      <c r="C849" t="b">
        <v>0</v>
      </c>
      <c r="D849" s="1">
        <v>128</v>
      </c>
      <c r="E849" s="1">
        <v>0</v>
      </c>
      <c r="F849" s="1">
        <v>0</v>
      </c>
      <c r="G849" s="1">
        <v>163</v>
      </c>
      <c r="H849" s="1">
        <v>0</v>
      </c>
      <c r="I849" s="1">
        <v>0</v>
      </c>
      <c r="J849" s="1">
        <f t="shared" si="38"/>
        <v>291</v>
      </c>
      <c r="K849" s="1">
        <v>0</v>
      </c>
      <c r="L849" s="1">
        <v>0</v>
      </c>
      <c r="M849" s="1">
        <v>0</v>
      </c>
      <c r="N849" s="1">
        <f t="shared" si="37"/>
        <v>0</v>
      </c>
      <c r="O849" s="9">
        <v>4</v>
      </c>
      <c r="P849" s="1">
        <v>0</v>
      </c>
      <c r="Q849" s="1">
        <v>0</v>
      </c>
      <c r="R849" s="12">
        <v>41306</v>
      </c>
      <c r="S849" s="1">
        <v>295</v>
      </c>
      <c r="T849" s="9" t="s">
        <v>40</v>
      </c>
    </row>
    <row r="850" spans="1:20" x14ac:dyDescent="0.25">
      <c r="A850" s="10" t="s">
        <v>37</v>
      </c>
      <c r="B850" t="b">
        <v>0</v>
      </c>
      <c r="C850" t="b">
        <v>0</v>
      </c>
      <c r="D850" s="1">
        <v>141</v>
      </c>
      <c r="E850" s="1">
        <v>0</v>
      </c>
      <c r="F850" s="1">
        <v>0</v>
      </c>
      <c r="G850" s="1">
        <v>412</v>
      </c>
      <c r="H850" s="1">
        <v>0</v>
      </c>
      <c r="I850" s="1">
        <v>0</v>
      </c>
      <c r="J850" s="1">
        <f t="shared" si="38"/>
        <v>553</v>
      </c>
      <c r="K850" s="1">
        <v>0</v>
      </c>
      <c r="L850" s="1">
        <v>0</v>
      </c>
      <c r="M850" s="1">
        <v>0</v>
      </c>
      <c r="N850" s="1">
        <f t="shared" si="37"/>
        <v>0</v>
      </c>
      <c r="O850" s="9">
        <v>0</v>
      </c>
      <c r="P850" s="1">
        <v>5</v>
      </c>
      <c r="Q850" s="1">
        <v>0</v>
      </c>
      <c r="R850" s="12">
        <v>41334</v>
      </c>
      <c r="S850" s="1">
        <v>558</v>
      </c>
      <c r="T850" s="9" t="s">
        <v>40</v>
      </c>
    </row>
    <row r="851" spans="1:20" x14ac:dyDescent="0.25">
      <c r="A851" s="10" t="s">
        <v>37</v>
      </c>
      <c r="B851" t="b">
        <v>0</v>
      </c>
      <c r="C851" t="b">
        <v>0</v>
      </c>
      <c r="D851" s="1">
        <v>147</v>
      </c>
      <c r="E851" s="1">
        <v>0</v>
      </c>
      <c r="F851" s="1">
        <v>0</v>
      </c>
      <c r="G851" s="1">
        <v>371</v>
      </c>
      <c r="H851" s="1">
        <v>0</v>
      </c>
      <c r="I851" s="1">
        <v>0</v>
      </c>
      <c r="J851" s="1">
        <f t="shared" si="38"/>
        <v>518</v>
      </c>
      <c r="K851" s="1">
        <v>0</v>
      </c>
      <c r="L851" s="1">
        <v>0</v>
      </c>
      <c r="M851" s="1">
        <v>0</v>
      </c>
      <c r="N851" s="1">
        <f t="shared" si="37"/>
        <v>0</v>
      </c>
      <c r="O851" s="9">
        <v>0</v>
      </c>
      <c r="P851" s="1">
        <v>0</v>
      </c>
      <c r="Q851" s="1">
        <v>0</v>
      </c>
      <c r="R851" s="12">
        <v>41365</v>
      </c>
      <c r="S851" s="1">
        <v>518</v>
      </c>
      <c r="T851" s="9" t="s">
        <v>40</v>
      </c>
    </row>
    <row r="852" spans="1:20" x14ac:dyDescent="0.25">
      <c r="A852" s="10" t="s">
        <v>37</v>
      </c>
      <c r="B852" t="b">
        <v>0</v>
      </c>
      <c r="C852" t="b">
        <v>0</v>
      </c>
      <c r="D852" s="1">
        <v>552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f t="shared" si="38"/>
        <v>552</v>
      </c>
      <c r="K852" s="1">
        <v>0</v>
      </c>
      <c r="L852" s="1">
        <v>0</v>
      </c>
      <c r="M852" s="1">
        <v>0</v>
      </c>
      <c r="N852" s="1">
        <f t="shared" si="37"/>
        <v>0</v>
      </c>
      <c r="O852" s="9">
        <v>10</v>
      </c>
      <c r="P852" s="1">
        <v>0</v>
      </c>
      <c r="Q852" s="1">
        <v>0</v>
      </c>
      <c r="R852" s="12">
        <v>41395</v>
      </c>
      <c r="S852" s="1">
        <v>562</v>
      </c>
      <c r="T852" s="9" t="s">
        <v>40</v>
      </c>
    </row>
    <row r="853" spans="1:20" x14ac:dyDescent="0.25">
      <c r="A853" s="10" t="s">
        <v>37</v>
      </c>
      <c r="B853" t="b">
        <v>0</v>
      </c>
      <c r="C853" t="b">
        <v>0</v>
      </c>
      <c r="D853" s="1">
        <v>657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f t="shared" si="38"/>
        <v>657</v>
      </c>
      <c r="K853" s="1">
        <v>0</v>
      </c>
      <c r="L853" s="1">
        <v>0</v>
      </c>
      <c r="M853" s="1">
        <v>0</v>
      </c>
      <c r="N853" s="1">
        <f t="shared" si="37"/>
        <v>0</v>
      </c>
      <c r="O853" s="9">
        <v>19</v>
      </c>
      <c r="P853" s="1">
        <v>0</v>
      </c>
      <c r="Q853" s="1">
        <v>0</v>
      </c>
      <c r="R853" s="12">
        <v>41426</v>
      </c>
      <c r="S853" s="1">
        <v>676</v>
      </c>
      <c r="T853" s="9" t="s">
        <v>40</v>
      </c>
    </row>
    <row r="854" spans="1:20" x14ac:dyDescent="0.25">
      <c r="A854" s="10" t="s">
        <v>37</v>
      </c>
      <c r="B854" t="b">
        <v>0</v>
      </c>
      <c r="C854" t="b">
        <v>0</v>
      </c>
      <c r="D854" s="1">
        <v>237</v>
      </c>
      <c r="E854" s="1">
        <v>0</v>
      </c>
      <c r="F854" s="1">
        <v>0</v>
      </c>
      <c r="G854" s="1">
        <v>649</v>
      </c>
      <c r="H854" s="1">
        <v>0</v>
      </c>
      <c r="I854" s="1">
        <v>0</v>
      </c>
      <c r="J854" s="1">
        <f t="shared" si="38"/>
        <v>886</v>
      </c>
      <c r="K854" s="1">
        <v>0</v>
      </c>
      <c r="L854" s="1">
        <v>0</v>
      </c>
      <c r="M854" s="1">
        <v>0</v>
      </c>
      <c r="N854" s="1">
        <f t="shared" si="37"/>
        <v>0</v>
      </c>
      <c r="O854" s="9">
        <v>9</v>
      </c>
      <c r="P854" s="1">
        <v>0</v>
      </c>
      <c r="Q854" s="1">
        <v>0</v>
      </c>
      <c r="R854" s="12">
        <v>41456</v>
      </c>
      <c r="S854" s="1">
        <v>895</v>
      </c>
      <c r="T854" s="9" t="s">
        <v>40</v>
      </c>
    </row>
    <row r="855" spans="1:20" x14ac:dyDescent="0.25">
      <c r="A855" s="10" t="s">
        <v>37</v>
      </c>
      <c r="B855" t="b">
        <v>0</v>
      </c>
      <c r="C855" t="b">
        <v>0</v>
      </c>
      <c r="D855" s="1">
        <v>144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f t="shared" si="38"/>
        <v>144</v>
      </c>
      <c r="K855" s="1">
        <v>0</v>
      </c>
      <c r="L855" s="1">
        <v>0</v>
      </c>
      <c r="M855" s="1">
        <v>0</v>
      </c>
      <c r="N855" s="1">
        <f t="shared" si="37"/>
        <v>0</v>
      </c>
      <c r="O855" s="9">
        <v>0</v>
      </c>
      <c r="P855" s="1">
        <v>0</v>
      </c>
      <c r="Q855" s="1">
        <v>0</v>
      </c>
      <c r="R855" s="12">
        <v>41487</v>
      </c>
      <c r="S855" s="1">
        <v>144</v>
      </c>
      <c r="T855" s="9" t="s">
        <v>40</v>
      </c>
    </row>
    <row r="856" spans="1:20" x14ac:dyDescent="0.25">
      <c r="A856" s="10" t="s">
        <v>37</v>
      </c>
      <c r="B856" t="b">
        <v>0</v>
      </c>
      <c r="C856" t="b">
        <v>0</v>
      </c>
      <c r="D856" s="1">
        <v>48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f t="shared" si="38"/>
        <v>48</v>
      </c>
      <c r="K856" s="1">
        <v>0</v>
      </c>
      <c r="L856" s="1">
        <v>0</v>
      </c>
      <c r="M856" s="1">
        <v>0</v>
      </c>
      <c r="N856" s="1">
        <f t="shared" si="37"/>
        <v>0</v>
      </c>
      <c r="O856" s="9">
        <v>0</v>
      </c>
      <c r="P856" s="1">
        <v>0</v>
      </c>
      <c r="Q856" s="1">
        <v>0</v>
      </c>
      <c r="R856" s="12">
        <v>41518</v>
      </c>
      <c r="S856" s="1">
        <v>48</v>
      </c>
      <c r="T856" s="9" t="s">
        <v>40</v>
      </c>
    </row>
    <row r="857" spans="1:20" x14ac:dyDescent="0.25">
      <c r="A857" s="10" t="s">
        <v>37</v>
      </c>
      <c r="B857" t="b">
        <v>0</v>
      </c>
      <c r="C857" t="b">
        <v>0</v>
      </c>
      <c r="D857" s="1">
        <v>165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f t="shared" si="38"/>
        <v>165</v>
      </c>
      <c r="K857" s="1">
        <v>0</v>
      </c>
      <c r="L857" s="1">
        <v>0</v>
      </c>
      <c r="M857" s="1">
        <v>0</v>
      </c>
      <c r="N857" s="1">
        <f t="shared" si="37"/>
        <v>0</v>
      </c>
      <c r="O857" s="9">
        <v>0</v>
      </c>
      <c r="P857" s="1">
        <v>0</v>
      </c>
      <c r="Q857" s="1">
        <v>0</v>
      </c>
      <c r="R857" s="12">
        <v>41548</v>
      </c>
      <c r="S857" s="1">
        <v>165</v>
      </c>
      <c r="T857" s="9" t="s">
        <v>40</v>
      </c>
    </row>
    <row r="858" spans="1:20" x14ac:dyDescent="0.25">
      <c r="A858" s="10" t="s">
        <v>37</v>
      </c>
      <c r="B858" t="b">
        <v>0</v>
      </c>
      <c r="C858" t="b">
        <v>0</v>
      </c>
      <c r="D858" s="1">
        <v>108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f t="shared" si="38"/>
        <v>108</v>
      </c>
      <c r="K858" s="1">
        <v>0</v>
      </c>
      <c r="L858" s="1">
        <v>0</v>
      </c>
      <c r="M858" s="1">
        <v>0</v>
      </c>
      <c r="N858" s="1">
        <f t="shared" si="37"/>
        <v>0</v>
      </c>
      <c r="O858" s="9">
        <v>0</v>
      </c>
      <c r="P858" s="1">
        <v>0</v>
      </c>
      <c r="Q858" s="1">
        <v>0</v>
      </c>
      <c r="R858" s="12">
        <v>41579</v>
      </c>
      <c r="S858" s="1">
        <v>108</v>
      </c>
      <c r="T858" s="9" t="s">
        <v>40</v>
      </c>
    </row>
    <row r="859" spans="1:20" x14ac:dyDescent="0.25">
      <c r="A859" s="10" t="s">
        <v>37</v>
      </c>
      <c r="B859" t="b">
        <v>0</v>
      </c>
      <c r="C859" t="b">
        <v>0</v>
      </c>
      <c r="D859" s="1">
        <v>21</v>
      </c>
      <c r="E859" s="1">
        <v>0</v>
      </c>
      <c r="F859" s="1">
        <v>0</v>
      </c>
      <c r="G859" s="1">
        <v>586</v>
      </c>
      <c r="H859" s="1">
        <v>0</v>
      </c>
      <c r="I859" s="1">
        <v>0</v>
      </c>
      <c r="J859" s="1">
        <f t="shared" si="38"/>
        <v>607</v>
      </c>
      <c r="K859" s="1">
        <v>0</v>
      </c>
      <c r="L859" s="1">
        <v>0</v>
      </c>
      <c r="M859" s="1">
        <v>0</v>
      </c>
      <c r="N859" s="1">
        <f t="shared" si="37"/>
        <v>0</v>
      </c>
      <c r="O859" s="9">
        <v>0</v>
      </c>
      <c r="P859" s="1">
        <v>0</v>
      </c>
      <c r="Q859" s="1">
        <v>0</v>
      </c>
      <c r="R859" s="12">
        <v>41609</v>
      </c>
      <c r="S859" s="1">
        <v>607</v>
      </c>
      <c r="T859" s="9" t="s">
        <v>40</v>
      </c>
    </row>
    <row r="860" spans="1:20" x14ac:dyDescent="0.25">
      <c r="A860" s="10" t="s">
        <v>37</v>
      </c>
      <c r="B860" t="b">
        <v>0</v>
      </c>
      <c r="C860" t="b">
        <v>0</v>
      </c>
      <c r="D860" s="1">
        <v>138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f t="shared" si="38"/>
        <v>138</v>
      </c>
      <c r="K860" s="1">
        <v>0</v>
      </c>
      <c r="L860" s="1">
        <v>0</v>
      </c>
      <c r="M860" s="1">
        <v>0</v>
      </c>
      <c r="N860" s="1">
        <f t="shared" si="37"/>
        <v>0</v>
      </c>
      <c r="O860" s="9">
        <v>0</v>
      </c>
      <c r="P860" s="1">
        <v>0</v>
      </c>
      <c r="Q860" s="1">
        <v>0</v>
      </c>
      <c r="R860" s="12">
        <v>41640</v>
      </c>
      <c r="S860" s="1">
        <v>138</v>
      </c>
      <c r="T860" s="9" t="s">
        <v>39</v>
      </c>
    </row>
    <row r="861" spans="1:20" x14ac:dyDescent="0.25">
      <c r="A861" s="10" t="s">
        <v>37</v>
      </c>
      <c r="B861" t="b">
        <v>0</v>
      </c>
      <c r="C861" t="b">
        <v>0</v>
      </c>
      <c r="D861" s="1">
        <v>102</v>
      </c>
      <c r="E861" s="1">
        <v>0</v>
      </c>
      <c r="F861" s="1">
        <v>0</v>
      </c>
      <c r="G861" s="1">
        <v>116</v>
      </c>
      <c r="H861" s="1">
        <v>0</v>
      </c>
      <c r="I861" s="1">
        <v>0</v>
      </c>
      <c r="J861" s="1">
        <f t="shared" si="38"/>
        <v>218</v>
      </c>
      <c r="K861" s="1">
        <v>0</v>
      </c>
      <c r="L861" s="1">
        <v>0</v>
      </c>
      <c r="M861" s="1">
        <v>0</v>
      </c>
      <c r="N861" s="1">
        <f t="shared" si="37"/>
        <v>0</v>
      </c>
      <c r="O861" s="9">
        <v>1</v>
      </c>
      <c r="P861" s="1">
        <v>0</v>
      </c>
      <c r="Q861" s="1">
        <v>0</v>
      </c>
      <c r="R861" s="12">
        <v>41671</v>
      </c>
      <c r="S861" s="1">
        <v>219</v>
      </c>
      <c r="T861" s="9" t="s">
        <v>39</v>
      </c>
    </row>
    <row r="862" spans="1:20" x14ac:dyDescent="0.25">
      <c r="A862" s="10" t="s">
        <v>37</v>
      </c>
      <c r="B862" t="b">
        <v>0</v>
      </c>
      <c r="C862" t="b">
        <v>0</v>
      </c>
      <c r="D862" s="1">
        <v>0</v>
      </c>
      <c r="E862" s="1">
        <v>0</v>
      </c>
      <c r="F862" s="1">
        <v>0</v>
      </c>
      <c r="G862" s="1">
        <v>247</v>
      </c>
      <c r="H862" s="1">
        <v>0</v>
      </c>
      <c r="I862" s="1">
        <v>0</v>
      </c>
      <c r="J862" s="1">
        <f t="shared" si="38"/>
        <v>247</v>
      </c>
      <c r="K862" s="1">
        <v>0</v>
      </c>
      <c r="L862" s="1">
        <v>0</v>
      </c>
      <c r="M862" s="1">
        <v>0</v>
      </c>
      <c r="N862" s="1">
        <f t="shared" si="37"/>
        <v>0</v>
      </c>
      <c r="O862" s="9">
        <v>0</v>
      </c>
      <c r="P862" s="1">
        <v>0</v>
      </c>
      <c r="Q862" s="1">
        <v>0</v>
      </c>
      <c r="R862" s="12">
        <v>41699</v>
      </c>
      <c r="S862" s="1">
        <v>247</v>
      </c>
      <c r="T862" s="9" t="s">
        <v>39</v>
      </c>
    </row>
    <row r="863" spans="1:20" x14ac:dyDescent="0.25">
      <c r="A863" s="10" t="s">
        <v>37</v>
      </c>
      <c r="B863" t="b">
        <v>0</v>
      </c>
      <c r="C863" t="b">
        <v>0</v>
      </c>
      <c r="D863" s="1">
        <v>105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f t="shared" si="38"/>
        <v>105</v>
      </c>
      <c r="K863" s="1">
        <v>0</v>
      </c>
      <c r="L863" s="1">
        <v>0</v>
      </c>
      <c r="M863" s="1">
        <v>0</v>
      </c>
      <c r="N863" s="1">
        <f t="shared" si="37"/>
        <v>0</v>
      </c>
      <c r="O863" s="9">
        <v>0</v>
      </c>
      <c r="P863" s="1">
        <v>0</v>
      </c>
      <c r="Q863" s="1">
        <v>0</v>
      </c>
      <c r="R863" s="12">
        <v>41730</v>
      </c>
      <c r="S863" s="1">
        <v>105</v>
      </c>
      <c r="T863" s="9" t="s">
        <v>39</v>
      </c>
    </row>
    <row r="864" spans="1:20" x14ac:dyDescent="0.25">
      <c r="A864" s="10" t="s">
        <v>37</v>
      </c>
      <c r="B864" t="b">
        <v>0</v>
      </c>
      <c r="C864" t="b">
        <v>0</v>
      </c>
      <c r="D864" s="1">
        <v>384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f t="shared" si="38"/>
        <v>384</v>
      </c>
      <c r="K864" s="1">
        <v>0</v>
      </c>
      <c r="L864" s="1">
        <v>0</v>
      </c>
      <c r="M864" s="1">
        <v>0</v>
      </c>
      <c r="N864" s="1">
        <f t="shared" si="37"/>
        <v>0</v>
      </c>
      <c r="O864" s="9">
        <v>3</v>
      </c>
      <c r="P864" s="1">
        <v>0</v>
      </c>
      <c r="Q864" s="1">
        <v>0</v>
      </c>
      <c r="R864" s="12">
        <v>41760</v>
      </c>
      <c r="S864" s="1">
        <v>387</v>
      </c>
      <c r="T864" s="9" t="s">
        <v>39</v>
      </c>
    </row>
    <row r="865" spans="1:20" x14ac:dyDescent="0.25">
      <c r="A865" s="10" t="s">
        <v>37</v>
      </c>
      <c r="B865" t="b">
        <v>0</v>
      </c>
      <c r="C865" t="b">
        <v>0</v>
      </c>
      <c r="D865" s="1">
        <v>555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f t="shared" si="38"/>
        <v>555</v>
      </c>
      <c r="K865" s="1">
        <v>0</v>
      </c>
      <c r="L865" s="1">
        <v>0</v>
      </c>
      <c r="M865" s="1">
        <v>0</v>
      </c>
      <c r="N865" s="1">
        <f t="shared" si="37"/>
        <v>0</v>
      </c>
      <c r="O865" s="9">
        <v>14</v>
      </c>
      <c r="P865" s="1">
        <v>0</v>
      </c>
      <c r="Q865" s="1">
        <v>0</v>
      </c>
      <c r="R865" s="12">
        <v>41791</v>
      </c>
      <c r="S865" s="1">
        <v>569</v>
      </c>
      <c r="T865" s="9" t="s">
        <v>39</v>
      </c>
    </row>
    <row r="866" spans="1:20" x14ac:dyDescent="0.25">
      <c r="A866" s="10" t="s">
        <v>37</v>
      </c>
      <c r="B866" t="b">
        <v>0</v>
      </c>
      <c r="C866" t="b">
        <v>0</v>
      </c>
      <c r="D866" s="1">
        <v>738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f t="shared" si="38"/>
        <v>738</v>
      </c>
      <c r="K866" s="1">
        <v>0</v>
      </c>
      <c r="L866" s="1">
        <v>0</v>
      </c>
      <c r="M866" s="1">
        <v>0</v>
      </c>
      <c r="N866" s="1">
        <f t="shared" ref="N866:N929" si="39">K866+L866+M866</f>
        <v>0</v>
      </c>
      <c r="O866" s="9">
        <v>30</v>
      </c>
      <c r="P866" s="1">
        <v>0</v>
      </c>
      <c r="Q866" s="1">
        <v>0</v>
      </c>
      <c r="R866" s="12">
        <v>41821</v>
      </c>
      <c r="S866" s="1">
        <v>768</v>
      </c>
      <c r="T866" s="9" t="s">
        <v>39</v>
      </c>
    </row>
    <row r="867" spans="1:20" x14ac:dyDescent="0.25">
      <c r="A867" s="10" t="s">
        <v>37</v>
      </c>
      <c r="B867" t="b">
        <v>0</v>
      </c>
      <c r="C867" t="b">
        <v>0</v>
      </c>
      <c r="D867" s="1">
        <v>372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f t="shared" si="38"/>
        <v>372</v>
      </c>
      <c r="K867" s="1">
        <v>0</v>
      </c>
      <c r="L867" s="1">
        <v>0</v>
      </c>
      <c r="M867" s="1">
        <v>0</v>
      </c>
      <c r="N867" s="1">
        <f t="shared" si="39"/>
        <v>0</v>
      </c>
      <c r="O867" s="9">
        <v>3</v>
      </c>
      <c r="P867" s="1">
        <v>0</v>
      </c>
      <c r="Q867" s="1">
        <v>0</v>
      </c>
      <c r="R867" s="12">
        <v>41852</v>
      </c>
      <c r="S867" s="1">
        <v>375</v>
      </c>
      <c r="T867" s="9" t="s">
        <v>39</v>
      </c>
    </row>
    <row r="868" spans="1:20" x14ac:dyDescent="0.25">
      <c r="A868" s="10" t="s">
        <v>37</v>
      </c>
      <c r="B868" t="b">
        <v>0</v>
      </c>
      <c r="C868" t="b">
        <v>0</v>
      </c>
      <c r="D868" s="1">
        <v>171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f t="shared" si="38"/>
        <v>171</v>
      </c>
      <c r="K868" s="1">
        <v>0</v>
      </c>
      <c r="L868" s="1">
        <v>0</v>
      </c>
      <c r="M868" s="1">
        <v>0</v>
      </c>
      <c r="N868" s="1">
        <f t="shared" si="39"/>
        <v>0</v>
      </c>
      <c r="O868" s="9">
        <v>0</v>
      </c>
      <c r="P868" s="1">
        <v>0</v>
      </c>
      <c r="Q868" s="1">
        <v>0</v>
      </c>
      <c r="R868" s="12">
        <v>41883</v>
      </c>
      <c r="S868" s="1">
        <v>171</v>
      </c>
      <c r="T868" s="9" t="s">
        <v>39</v>
      </c>
    </row>
    <row r="869" spans="1:20" x14ac:dyDescent="0.25">
      <c r="A869" s="10" t="s">
        <v>37</v>
      </c>
      <c r="B869" t="b">
        <v>0</v>
      </c>
      <c r="C869" t="b">
        <v>0</v>
      </c>
      <c r="D869" s="1">
        <v>171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f t="shared" si="38"/>
        <v>171</v>
      </c>
      <c r="K869" s="1">
        <v>0</v>
      </c>
      <c r="L869" s="1">
        <v>0</v>
      </c>
      <c r="M869" s="1">
        <v>0</v>
      </c>
      <c r="N869" s="1">
        <f t="shared" si="39"/>
        <v>0</v>
      </c>
      <c r="O869" s="9">
        <v>0</v>
      </c>
      <c r="P869" s="1">
        <v>0</v>
      </c>
      <c r="Q869" s="1">
        <v>0</v>
      </c>
      <c r="R869" s="12">
        <v>41913</v>
      </c>
      <c r="S869" s="1">
        <v>171</v>
      </c>
      <c r="T869" s="9" t="s">
        <v>39</v>
      </c>
    </row>
    <row r="870" spans="1:20" x14ac:dyDescent="0.25">
      <c r="A870" s="10" t="s">
        <v>37</v>
      </c>
      <c r="B870" t="b">
        <v>0</v>
      </c>
      <c r="C870" t="b">
        <v>0</v>
      </c>
      <c r="D870" s="1">
        <v>0</v>
      </c>
      <c r="E870" s="1">
        <v>0</v>
      </c>
      <c r="F870" s="1">
        <v>0</v>
      </c>
      <c r="G870" s="1">
        <v>99</v>
      </c>
      <c r="H870" s="1">
        <v>0</v>
      </c>
      <c r="I870" s="1">
        <v>0</v>
      </c>
      <c r="J870" s="1">
        <f t="shared" si="38"/>
        <v>99</v>
      </c>
      <c r="K870" s="1">
        <v>0</v>
      </c>
      <c r="L870" s="1">
        <v>0</v>
      </c>
      <c r="M870" s="1">
        <v>0</v>
      </c>
      <c r="N870" s="1">
        <f t="shared" si="39"/>
        <v>0</v>
      </c>
      <c r="O870" s="9">
        <v>0</v>
      </c>
      <c r="P870" s="1">
        <v>0</v>
      </c>
      <c r="Q870" s="1">
        <v>0</v>
      </c>
      <c r="R870" s="12">
        <v>41944</v>
      </c>
      <c r="S870" s="1">
        <v>99</v>
      </c>
      <c r="T870" s="9" t="s">
        <v>39</v>
      </c>
    </row>
    <row r="871" spans="1:20" x14ac:dyDescent="0.25">
      <c r="A871" s="10" t="s">
        <v>37</v>
      </c>
      <c r="B871" t="b">
        <v>0</v>
      </c>
      <c r="C871" t="b">
        <v>0</v>
      </c>
      <c r="D871" s="1">
        <v>260</v>
      </c>
      <c r="E871" s="1">
        <v>0</v>
      </c>
      <c r="F871" s="1">
        <v>0</v>
      </c>
      <c r="G871" s="1">
        <v>2</v>
      </c>
      <c r="H871" s="1">
        <v>0</v>
      </c>
      <c r="I871" s="1">
        <v>0</v>
      </c>
      <c r="J871" s="1">
        <f t="shared" si="38"/>
        <v>262</v>
      </c>
      <c r="K871" s="1">
        <v>90</v>
      </c>
      <c r="L871" s="1">
        <v>0</v>
      </c>
      <c r="M871" s="1">
        <v>0</v>
      </c>
      <c r="N871" s="1">
        <f t="shared" si="39"/>
        <v>90</v>
      </c>
      <c r="O871" s="9">
        <v>0</v>
      </c>
      <c r="P871" s="1">
        <v>0</v>
      </c>
      <c r="Q871" s="1">
        <v>0</v>
      </c>
      <c r="R871" s="12">
        <v>41974</v>
      </c>
      <c r="S871" s="1">
        <v>352</v>
      </c>
      <c r="T871" s="9" t="s">
        <v>39</v>
      </c>
    </row>
    <row r="872" spans="1:20" x14ac:dyDescent="0.25">
      <c r="A872" s="10" t="s">
        <v>37</v>
      </c>
      <c r="B872" t="b">
        <v>0</v>
      </c>
      <c r="C872" t="b">
        <v>0</v>
      </c>
      <c r="D872" s="1">
        <v>135</v>
      </c>
      <c r="E872" s="1">
        <v>0</v>
      </c>
      <c r="F872" s="1">
        <v>0</v>
      </c>
      <c r="G872" s="1">
        <v>6</v>
      </c>
      <c r="H872" s="1">
        <v>0</v>
      </c>
      <c r="I872" s="1">
        <v>0</v>
      </c>
      <c r="J872" s="1">
        <f t="shared" si="38"/>
        <v>141</v>
      </c>
      <c r="K872" s="1">
        <v>0</v>
      </c>
      <c r="L872" s="1">
        <v>0</v>
      </c>
      <c r="M872" s="1">
        <v>0</v>
      </c>
      <c r="N872" s="1">
        <f t="shared" si="39"/>
        <v>0</v>
      </c>
      <c r="O872" s="9">
        <v>9</v>
      </c>
      <c r="P872" s="1">
        <v>1</v>
      </c>
      <c r="Q872" s="1">
        <v>0</v>
      </c>
      <c r="R872" s="12">
        <v>42005</v>
      </c>
      <c r="S872" s="1">
        <v>151</v>
      </c>
      <c r="T872" s="9" t="s">
        <v>39</v>
      </c>
    </row>
    <row r="873" spans="1:20" x14ac:dyDescent="0.25">
      <c r="A873" s="10" t="s">
        <v>37</v>
      </c>
      <c r="B873" t="b">
        <v>0</v>
      </c>
      <c r="C873" t="b">
        <v>0</v>
      </c>
      <c r="D873" s="1">
        <v>207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f t="shared" si="38"/>
        <v>207</v>
      </c>
      <c r="K873" s="1">
        <v>0</v>
      </c>
      <c r="L873" s="1">
        <v>0</v>
      </c>
      <c r="M873" s="1">
        <v>0</v>
      </c>
      <c r="N873" s="1">
        <f t="shared" si="39"/>
        <v>0</v>
      </c>
      <c r="O873" s="9">
        <v>7</v>
      </c>
      <c r="P873" s="1">
        <v>0</v>
      </c>
      <c r="Q873" s="1">
        <v>0</v>
      </c>
      <c r="R873" s="12">
        <v>42036</v>
      </c>
      <c r="S873" s="1">
        <v>214</v>
      </c>
      <c r="T873" s="9" t="s">
        <v>39</v>
      </c>
    </row>
    <row r="874" spans="1:20" x14ac:dyDescent="0.25">
      <c r="A874" s="10" t="s">
        <v>37</v>
      </c>
      <c r="B874" t="b">
        <v>0</v>
      </c>
      <c r="C874" t="b">
        <v>0</v>
      </c>
      <c r="D874" s="1">
        <v>324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f t="shared" si="38"/>
        <v>324</v>
      </c>
      <c r="K874" s="1">
        <v>0</v>
      </c>
      <c r="L874" s="1">
        <v>0</v>
      </c>
      <c r="M874" s="1">
        <v>0</v>
      </c>
      <c r="N874" s="1">
        <f t="shared" si="39"/>
        <v>0</v>
      </c>
      <c r="O874" s="9">
        <v>19</v>
      </c>
      <c r="P874" s="1">
        <v>0</v>
      </c>
      <c r="Q874" s="1">
        <v>0</v>
      </c>
      <c r="R874" s="12">
        <v>42064</v>
      </c>
      <c r="S874" s="1">
        <v>343</v>
      </c>
      <c r="T874" s="9" t="s">
        <v>39</v>
      </c>
    </row>
    <row r="875" spans="1:20" x14ac:dyDescent="0.25">
      <c r="A875" s="10" t="s">
        <v>37</v>
      </c>
      <c r="B875" t="b">
        <v>0</v>
      </c>
      <c r="C875" t="b">
        <v>0</v>
      </c>
      <c r="D875" s="1">
        <v>369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f t="shared" si="38"/>
        <v>369</v>
      </c>
      <c r="K875" s="1">
        <v>0</v>
      </c>
      <c r="L875" s="1">
        <v>0</v>
      </c>
      <c r="M875" s="1">
        <v>0</v>
      </c>
      <c r="N875" s="1">
        <f t="shared" si="39"/>
        <v>0</v>
      </c>
      <c r="O875" s="9">
        <v>24</v>
      </c>
      <c r="P875" s="1">
        <v>0</v>
      </c>
      <c r="Q875" s="1">
        <v>0</v>
      </c>
      <c r="R875" s="12">
        <v>42095</v>
      </c>
      <c r="S875" s="1">
        <v>393</v>
      </c>
      <c r="T875" s="9" t="s">
        <v>39</v>
      </c>
    </row>
    <row r="876" spans="1:20" x14ac:dyDescent="0.25">
      <c r="A876" s="10" t="s">
        <v>37</v>
      </c>
      <c r="B876" t="b">
        <v>0</v>
      </c>
      <c r="C876" t="b">
        <v>0</v>
      </c>
      <c r="D876" s="1">
        <v>198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f t="shared" si="38"/>
        <v>198</v>
      </c>
      <c r="K876" s="1">
        <v>0</v>
      </c>
      <c r="L876" s="1">
        <v>0</v>
      </c>
      <c r="M876" s="1">
        <v>0</v>
      </c>
      <c r="N876" s="1">
        <f t="shared" si="39"/>
        <v>0</v>
      </c>
      <c r="O876" s="9">
        <v>7</v>
      </c>
      <c r="P876" s="1">
        <v>0</v>
      </c>
      <c r="Q876" s="1">
        <v>0</v>
      </c>
      <c r="R876" s="12">
        <v>42125</v>
      </c>
      <c r="S876" s="1">
        <v>205</v>
      </c>
      <c r="T876" s="9" t="s">
        <v>39</v>
      </c>
    </row>
    <row r="877" spans="1:20" x14ac:dyDescent="0.25">
      <c r="A877" s="10" t="s">
        <v>37</v>
      </c>
      <c r="B877" t="b">
        <v>0</v>
      </c>
      <c r="C877" t="b">
        <v>0</v>
      </c>
      <c r="D877" s="1">
        <v>201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f t="shared" si="38"/>
        <v>201</v>
      </c>
      <c r="K877" s="1">
        <v>0</v>
      </c>
      <c r="L877" s="1">
        <v>0</v>
      </c>
      <c r="M877" s="1">
        <v>0</v>
      </c>
      <c r="N877" s="1">
        <f t="shared" si="39"/>
        <v>0</v>
      </c>
      <c r="O877" s="9">
        <v>15</v>
      </c>
      <c r="P877" s="1">
        <v>0</v>
      </c>
      <c r="Q877" s="1">
        <v>0</v>
      </c>
      <c r="R877" s="12">
        <v>42156</v>
      </c>
      <c r="S877" s="1">
        <v>216</v>
      </c>
      <c r="T877" s="9" t="s">
        <v>39</v>
      </c>
    </row>
    <row r="878" spans="1:20" x14ac:dyDescent="0.25">
      <c r="A878" s="10" t="s">
        <v>37</v>
      </c>
      <c r="B878" t="b">
        <v>0</v>
      </c>
      <c r="C878" t="b">
        <v>0</v>
      </c>
      <c r="D878" s="1">
        <v>618</v>
      </c>
      <c r="E878" s="1">
        <v>1</v>
      </c>
      <c r="F878" s="1">
        <v>0</v>
      </c>
      <c r="G878" s="1">
        <v>0</v>
      </c>
      <c r="H878" s="1">
        <v>0</v>
      </c>
      <c r="I878" s="1">
        <v>0</v>
      </c>
      <c r="J878" s="1">
        <f t="shared" si="38"/>
        <v>619</v>
      </c>
      <c r="K878" s="1">
        <v>0</v>
      </c>
      <c r="L878" s="1">
        <v>0</v>
      </c>
      <c r="M878" s="1">
        <v>0</v>
      </c>
      <c r="N878" s="1">
        <f t="shared" si="39"/>
        <v>0</v>
      </c>
      <c r="O878" s="9">
        <v>27</v>
      </c>
      <c r="P878" s="1">
        <v>0</v>
      </c>
      <c r="Q878" s="1">
        <v>0</v>
      </c>
      <c r="R878" s="12">
        <v>42186</v>
      </c>
      <c r="S878" s="1">
        <v>646</v>
      </c>
      <c r="T878" s="9" t="s">
        <v>39</v>
      </c>
    </row>
    <row r="879" spans="1:20" x14ac:dyDescent="0.25">
      <c r="A879" s="10" t="s">
        <v>37</v>
      </c>
      <c r="B879" t="b">
        <v>0</v>
      </c>
      <c r="C879" t="b">
        <v>0</v>
      </c>
      <c r="D879" s="1">
        <v>255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f t="shared" si="38"/>
        <v>255</v>
      </c>
      <c r="K879" s="1">
        <v>0</v>
      </c>
      <c r="L879" s="1">
        <v>0</v>
      </c>
      <c r="M879" s="1">
        <v>0</v>
      </c>
      <c r="N879" s="1">
        <f t="shared" si="39"/>
        <v>0</v>
      </c>
      <c r="O879" s="9">
        <v>10</v>
      </c>
      <c r="P879" s="1">
        <v>0</v>
      </c>
      <c r="Q879" s="1">
        <v>0</v>
      </c>
      <c r="R879" s="12">
        <v>42217</v>
      </c>
      <c r="S879" s="1">
        <v>265</v>
      </c>
      <c r="T879" s="9" t="s">
        <v>39</v>
      </c>
    </row>
    <row r="880" spans="1:20" x14ac:dyDescent="0.25">
      <c r="A880" s="10" t="s">
        <v>37</v>
      </c>
      <c r="B880" t="b">
        <v>0</v>
      </c>
      <c r="C880" t="b">
        <v>0</v>
      </c>
      <c r="D880" s="1">
        <v>57</v>
      </c>
      <c r="E880" s="1">
        <v>0</v>
      </c>
      <c r="F880" s="1">
        <v>0</v>
      </c>
      <c r="G880" s="1">
        <v>125</v>
      </c>
      <c r="H880" s="1">
        <v>0</v>
      </c>
      <c r="I880" s="1">
        <v>0</v>
      </c>
      <c r="J880" s="1">
        <f t="shared" si="38"/>
        <v>182</v>
      </c>
      <c r="K880" s="1">
        <v>0</v>
      </c>
      <c r="L880" s="1">
        <v>0</v>
      </c>
      <c r="M880" s="1">
        <v>0</v>
      </c>
      <c r="N880" s="1">
        <f t="shared" si="39"/>
        <v>0</v>
      </c>
      <c r="O880" s="9">
        <v>0</v>
      </c>
      <c r="P880" s="1">
        <v>0</v>
      </c>
      <c r="Q880" s="1">
        <v>0</v>
      </c>
      <c r="R880" s="12">
        <v>42248</v>
      </c>
      <c r="S880" s="1">
        <v>182</v>
      </c>
      <c r="T880" s="9" t="s">
        <v>39</v>
      </c>
    </row>
    <row r="881" spans="1:20" x14ac:dyDescent="0.25">
      <c r="A881" s="10" t="s">
        <v>37</v>
      </c>
      <c r="B881" t="b">
        <v>0</v>
      </c>
      <c r="C881" t="b">
        <v>0</v>
      </c>
      <c r="D881" s="1">
        <v>0</v>
      </c>
      <c r="E881" s="1">
        <v>0</v>
      </c>
      <c r="F881" s="1">
        <v>0</v>
      </c>
      <c r="G881" s="1">
        <v>165</v>
      </c>
      <c r="H881" s="1">
        <v>0</v>
      </c>
      <c r="I881" s="1">
        <v>0</v>
      </c>
      <c r="J881" s="1">
        <f t="shared" si="38"/>
        <v>165</v>
      </c>
      <c r="K881" s="1">
        <v>0</v>
      </c>
      <c r="L881" s="1">
        <v>0</v>
      </c>
      <c r="M881" s="1">
        <v>0</v>
      </c>
      <c r="N881" s="1">
        <f t="shared" si="39"/>
        <v>0</v>
      </c>
      <c r="O881" s="9">
        <v>0</v>
      </c>
      <c r="P881" s="1">
        <v>0</v>
      </c>
      <c r="Q881" s="1">
        <v>0</v>
      </c>
      <c r="R881" s="12">
        <v>42278</v>
      </c>
      <c r="S881" s="1">
        <v>165</v>
      </c>
      <c r="T881" s="9" t="s">
        <v>39</v>
      </c>
    </row>
    <row r="882" spans="1:20" x14ac:dyDescent="0.25">
      <c r="A882" s="10" t="s">
        <v>37</v>
      </c>
      <c r="B882" t="b">
        <v>0</v>
      </c>
      <c r="C882" t="b">
        <v>0</v>
      </c>
      <c r="D882" s="1">
        <v>0</v>
      </c>
      <c r="E882" s="1">
        <v>0</v>
      </c>
      <c r="F882" s="1">
        <v>0</v>
      </c>
      <c r="G882" s="1">
        <v>84</v>
      </c>
      <c r="H882" s="1">
        <v>0</v>
      </c>
      <c r="I882" s="1">
        <v>0</v>
      </c>
      <c r="J882" s="1">
        <f t="shared" si="38"/>
        <v>84</v>
      </c>
      <c r="K882" s="1">
        <v>0</v>
      </c>
      <c r="L882" s="1">
        <v>0</v>
      </c>
      <c r="M882" s="1">
        <v>0</v>
      </c>
      <c r="N882" s="1">
        <f t="shared" si="39"/>
        <v>0</v>
      </c>
      <c r="O882" s="9">
        <v>0</v>
      </c>
      <c r="P882" s="1">
        <v>0</v>
      </c>
      <c r="Q882" s="1">
        <v>0</v>
      </c>
      <c r="R882" s="12">
        <v>42309</v>
      </c>
      <c r="S882" s="1">
        <v>84</v>
      </c>
      <c r="T882" s="9" t="s">
        <v>39</v>
      </c>
    </row>
    <row r="883" spans="1:20" x14ac:dyDescent="0.25">
      <c r="A883" s="10" t="s">
        <v>37</v>
      </c>
      <c r="B883" t="b">
        <v>0</v>
      </c>
      <c r="C883" t="b">
        <v>0</v>
      </c>
      <c r="D883" s="1">
        <v>6</v>
      </c>
      <c r="E883" s="1">
        <v>0</v>
      </c>
      <c r="F883" s="1">
        <v>0</v>
      </c>
      <c r="G883" s="1">
        <v>46</v>
      </c>
      <c r="H883" s="1">
        <v>0</v>
      </c>
      <c r="I883" s="1">
        <v>0</v>
      </c>
      <c r="J883" s="1">
        <f t="shared" si="38"/>
        <v>52</v>
      </c>
      <c r="K883" s="1">
        <v>0</v>
      </c>
      <c r="L883" s="1">
        <v>0</v>
      </c>
      <c r="M883" s="1">
        <v>0</v>
      </c>
      <c r="N883" s="1">
        <f t="shared" si="39"/>
        <v>0</v>
      </c>
      <c r="O883" s="9">
        <v>0</v>
      </c>
      <c r="P883" s="1">
        <v>0</v>
      </c>
      <c r="Q883" s="1">
        <v>0</v>
      </c>
      <c r="R883" s="12">
        <v>42339</v>
      </c>
      <c r="S883" s="1">
        <v>52</v>
      </c>
      <c r="T883" s="9" t="s">
        <v>39</v>
      </c>
    </row>
    <row r="884" spans="1:20" x14ac:dyDescent="0.25">
      <c r="A884" s="10" t="s">
        <v>37</v>
      </c>
      <c r="B884" t="b">
        <v>0</v>
      </c>
      <c r="C884" t="b">
        <v>0</v>
      </c>
      <c r="D884" s="1">
        <v>21</v>
      </c>
      <c r="E884" s="1">
        <v>0</v>
      </c>
      <c r="F884" s="1">
        <v>0</v>
      </c>
      <c r="G884" s="1">
        <v>49</v>
      </c>
      <c r="H884" s="1">
        <v>0</v>
      </c>
      <c r="I884" s="1">
        <v>0</v>
      </c>
      <c r="J884" s="1">
        <f t="shared" si="38"/>
        <v>70</v>
      </c>
      <c r="K884" s="1">
        <v>0</v>
      </c>
      <c r="L884" s="1">
        <v>0</v>
      </c>
      <c r="M884" s="1">
        <v>0</v>
      </c>
      <c r="N884" s="1">
        <f t="shared" si="39"/>
        <v>0</v>
      </c>
      <c r="O884" s="9">
        <v>0</v>
      </c>
      <c r="P884" s="1">
        <v>0</v>
      </c>
      <c r="Q884" s="1">
        <v>0</v>
      </c>
      <c r="R884" s="12">
        <v>42370</v>
      </c>
      <c r="S884" s="1">
        <v>70</v>
      </c>
      <c r="T884" s="9" t="s">
        <v>46</v>
      </c>
    </row>
    <row r="885" spans="1:20" x14ac:dyDescent="0.25">
      <c r="A885" s="10" t="s">
        <v>37</v>
      </c>
      <c r="B885" t="b">
        <v>0</v>
      </c>
      <c r="C885" t="b">
        <v>0</v>
      </c>
      <c r="D885" s="1">
        <v>12</v>
      </c>
      <c r="E885" s="1">
        <v>0</v>
      </c>
      <c r="F885" s="1">
        <v>0</v>
      </c>
      <c r="G885" s="1">
        <v>32</v>
      </c>
      <c r="H885" s="1">
        <v>0</v>
      </c>
      <c r="I885" s="1">
        <v>0</v>
      </c>
      <c r="J885" s="1">
        <f t="shared" si="38"/>
        <v>44</v>
      </c>
      <c r="K885" s="1">
        <v>0</v>
      </c>
      <c r="L885" s="1">
        <v>0</v>
      </c>
      <c r="M885" s="1">
        <v>0</v>
      </c>
      <c r="N885" s="1">
        <f t="shared" si="39"/>
        <v>0</v>
      </c>
      <c r="O885" s="9">
        <v>0</v>
      </c>
      <c r="P885" s="1">
        <v>0</v>
      </c>
      <c r="Q885" s="1">
        <v>0</v>
      </c>
      <c r="R885" s="12">
        <v>42401</v>
      </c>
      <c r="S885" s="1">
        <v>44</v>
      </c>
      <c r="T885" s="9" t="s">
        <v>46</v>
      </c>
    </row>
    <row r="886" spans="1:20" x14ac:dyDescent="0.25">
      <c r="A886" s="10" t="s">
        <v>37</v>
      </c>
      <c r="B886" t="b">
        <v>0</v>
      </c>
      <c r="C886" t="b">
        <v>0</v>
      </c>
      <c r="D886" s="1">
        <v>15</v>
      </c>
      <c r="E886" s="1">
        <v>0</v>
      </c>
      <c r="F886" s="1">
        <v>0</v>
      </c>
      <c r="G886" s="1">
        <v>41</v>
      </c>
      <c r="H886" s="1">
        <v>0</v>
      </c>
      <c r="I886" s="1">
        <v>0</v>
      </c>
      <c r="J886" s="1">
        <f t="shared" si="38"/>
        <v>56</v>
      </c>
      <c r="K886" s="1">
        <v>0</v>
      </c>
      <c r="L886" s="1">
        <v>0</v>
      </c>
      <c r="M886" s="1">
        <v>0</v>
      </c>
      <c r="N886" s="1">
        <f t="shared" si="39"/>
        <v>0</v>
      </c>
      <c r="O886" s="9">
        <v>0</v>
      </c>
      <c r="P886" s="1">
        <v>0</v>
      </c>
      <c r="Q886" s="1">
        <v>0</v>
      </c>
      <c r="R886" s="12">
        <v>42430</v>
      </c>
      <c r="S886" s="1">
        <v>56</v>
      </c>
      <c r="T886" s="9" t="s">
        <v>46</v>
      </c>
    </row>
    <row r="887" spans="1:20" x14ac:dyDescent="0.25">
      <c r="A887" s="10" t="s">
        <v>37</v>
      </c>
      <c r="B887" t="b">
        <v>0</v>
      </c>
      <c r="C887" t="b">
        <v>0</v>
      </c>
      <c r="D887" s="1">
        <v>33</v>
      </c>
      <c r="E887" s="1">
        <v>0</v>
      </c>
      <c r="F887" s="1">
        <v>0</v>
      </c>
      <c r="G887" s="1">
        <v>90</v>
      </c>
      <c r="H887" s="1">
        <v>0</v>
      </c>
      <c r="I887" s="1">
        <v>0</v>
      </c>
      <c r="J887" s="1">
        <f t="shared" si="38"/>
        <v>123</v>
      </c>
      <c r="K887" s="1">
        <v>0</v>
      </c>
      <c r="L887" s="1">
        <v>0</v>
      </c>
      <c r="M887" s="1">
        <v>0</v>
      </c>
      <c r="N887" s="1">
        <f t="shared" si="39"/>
        <v>0</v>
      </c>
      <c r="O887" s="9">
        <v>0</v>
      </c>
      <c r="P887" s="1">
        <v>0</v>
      </c>
      <c r="Q887" s="1">
        <v>0</v>
      </c>
      <c r="R887" s="12">
        <v>42461</v>
      </c>
      <c r="S887" s="1">
        <v>123</v>
      </c>
      <c r="T887" s="9" t="s">
        <v>46</v>
      </c>
    </row>
    <row r="888" spans="1:20" x14ac:dyDescent="0.25">
      <c r="A888" s="10" t="s">
        <v>37</v>
      </c>
      <c r="B888" t="b">
        <v>0</v>
      </c>
      <c r="C888" t="b">
        <v>0</v>
      </c>
      <c r="D888" s="1">
        <v>30</v>
      </c>
      <c r="E888" s="1">
        <v>0</v>
      </c>
      <c r="F888" s="1">
        <v>0</v>
      </c>
      <c r="G888" s="1">
        <v>61</v>
      </c>
      <c r="H888" s="1">
        <v>0</v>
      </c>
      <c r="I888" s="1">
        <v>0</v>
      </c>
      <c r="J888" s="1">
        <f t="shared" si="38"/>
        <v>91</v>
      </c>
      <c r="K888" s="1">
        <v>0</v>
      </c>
      <c r="L888" s="1">
        <v>0</v>
      </c>
      <c r="M888" s="1">
        <v>0</v>
      </c>
      <c r="N888" s="1">
        <f t="shared" si="39"/>
        <v>0</v>
      </c>
      <c r="O888" s="9">
        <v>0</v>
      </c>
      <c r="P888" s="1">
        <v>0</v>
      </c>
      <c r="Q888" s="1">
        <v>0</v>
      </c>
      <c r="R888" s="12">
        <v>42491</v>
      </c>
      <c r="S888" s="1">
        <v>91</v>
      </c>
      <c r="T888" s="9" t="s">
        <v>46</v>
      </c>
    </row>
    <row r="889" spans="1:20" x14ac:dyDescent="0.25">
      <c r="A889" s="10" t="s">
        <v>37</v>
      </c>
      <c r="B889" t="b">
        <v>0</v>
      </c>
      <c r="C889" t="b">
        <v>0</v>
      </c>
      <c r="D889" s="1">
        <v>201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f t="shared" si="38"/>
        <v>201</v>
      </c>
      <c r="K889" s="1">
        <v>0</v>
      </c>
      <c r="L889" s="1">
        <v>0</v>
      </c>
      <c r="M889" s="1">
        <v>0</v>
      </c>
      <c r="N889" s="1">
        <f t="shared" si="39"/>
        <v>0</v>
      </c>
      <c r="O889" s="9">
        <v>15</v>
      </c>
      <c r="P889" s="1">
        <v>0</v>
      </c>
      <c r="Q889" s="1">
        <v>0</v>
      </c>
      <c r="R889" s="12">
        <v>42522</v>
      </c>
      <c r="S889" s="1">
        <v>216</v>
      </c>
      <c r="T889" s="9" t="s">
        <v>46</v>
      </c>
    </row>
    <row r="890" spans="1:20" x14ac:dyDescent="0.25">
      <c r="A890" s="10" t="s">
        <v>37</v>
      </c>
      <c r="B890" t="b">
        <v>0</v>
      </c>
      <c r="C890" t="b">
        <v>0</v>
      </c>
      <c r="D890" s="1">
        <v>288</v>
      </c>
      <c r="E890" s="1">
        <v>0</v>
      </c>
      <c r="F890" s="1">
        <v>0</v>
      </c>
      <c r="G890" s="1">
        <v>185</v>
      </c>
      <c r="H890" s="1">
        <v>0</v>
      </c>
      <c r="I890" s="1">
        <v>0</v>
      </c>
      <c r="J890" s="1">
        <f t="shared" si="38"/>
        <v>473</v>
      </c>
      <c r="K890" s="1">
        <v>0</v>
      </c>
      <c r="L890" s="1">
        <v>0</v>
      </c>
      <c r="M890" s="1">
        <v>0</v>
      </c>
      <c r="N890" s="1">
        <f t="shared" si="39"/>
        <v>0</v>
      </c>
      <c r="O890" s="9">
        <v>31</v>
      </c>
      <c r="P890" s="1">
        <v>0</v>
      </c>
      <c r="Q890" s="1">
        <v>0</v>
      </c>
      <c r="R890" s="12">
        <v>42552</v>
      </c>
      <c r="S890" s="1">
        <v>504</v>
      </c>
      <c r="T890" s="9" t="s">
        <v>46</v>
      </c>
    </row>
    <row r="891" spans="1:20" x14ac:dyDescent="0.25">
      <c r="A891" s="10" t="s">
        <v>37</v>
      </c>
      <c r="B891" t="b">
        <v>0</v>
      </c>
      <c r="C891" t="b">
        <v>0</v>
      </c>
      <c r="D891" s="1">
        <v>244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f t="shared" si="38"/>
        <v>244</v>
      </c>
      <c r="K891" s="1">
        <v>0</v>
      </c>
      <c r="L891" s="1">
        <v>0</v>
      </c>
      <c r="M891" s="1">
        <v>0</v>
      </c>
      <c r="N891" s="1">
        <f t="shared" si="39"/>
        <v>0</v>
      </c>
      <c r="O891" s="9">
        <v>12</v>
      </c>
      <c r="P891" s="1">
        <v>0</v>
      </c>
      <c r="Q891" s="1">
        <v>0</v>
      </c>
      <c r="R891" s="12">
        <v>42583</v>
      </c>
      <c r="S891" s="1">
        <v>256</v>
      </c>
      <c r="T891" s="9" t="s">
        <v>46</v>
      </c>
    </row>
    <row r="892" spans="1:20" x14ac:dyDescent="0.25">
      <c r="A892" s="10" t="s">
        <v>37</v>
      </c>
      <c r="B892" t="b">
        <v>0</v>
      </c>
      <c r="C892" t="b">
        <v>0</v>
      </c>
      <c r="D892" s="1">
        <v>89</v>
      </c>
      <c r="E892" s="1">
        <v>0</v>
      </c>
      <c r="F892" s="1">
        <v>0</v>
      </c>
      <c r="G892" s="1">
        <v>120</v>
      </c>
      <c r="H892" s="1">
        <v>0</v>
      </c>
      <c r="I892" s="1">
        <v>0</v>
      </c>
      <c r="J892" s="1">
        <f t="shared" si="38"/>
        <v>209</v>
      </c>
      <c r="K892" s="1">
        <v>0</v>
      </c>
      <c r="L892" s="1">
        <v>0</v>
      </c>
      <c r="M892" s="1">
        <v>0</v>
      </c>
      <c r="N892" s="1">
        <f t="shared" si="39"/>
        <v>0</v>
      </c>
      <c r="O892" s="9">
        <v>0</v>
      </c>
      <c r="P892" s="1">
        <v>0</v>
      </c>
      <c r="Q892" s="1">
        <v>0</v>
      </c>
      <c r="R892" s="12">
        <v>42614</v>
      </c>
      <c r="S892" s="1">
        <v>209</v>
      </c>
      <c r="T892" s="9" t="s">
        <v>46</v>
      </c>
    </row>
    <row r="893" spans="1:20" x14ac:dyDescent="0.25">
      <c r="A893" s="10" t="s">
        <v>37</v>
      </c>
      <c r="B893" t="b">
        <v>0</v>
      </c>
      <c r="C893" t="b">
        <v>0</v>
      </c>
      <c r="D893" s="1">
        <v>60</v>
      </c>
      <c r="E893" s="1">
        <v>0</v>
      </c>
      <c r="F893" s="1">
        <v>0</v>
      </c>
      <c r="G893" s="1">
        <v>140</v>
      </c>
      <c r="H893" s="1">
        <v>0</v>
      </c>
      <c r="I893" s="1">
        <v>0</v>
      </c>
      <c r="J893" s="1">
        <f t="shared" si="38"/>
        <v>200</v>
      </c>
      <c r="K893" s="1">
        <v>0</v>
      </c>
      <c r="L893" s="1">
        <v>0</v>
      </c>
      <c r="M893" s="1">
        <v>0</v>
      </c>
      <c r="N893" s="1">
        <f t="shared" si="39"/>
        <v>0</v>
      </c>
      <c r="O893" s="9">
        <v>0</v>
      </c>
      <c r="P893" s="1">
        <v>0</v>
      </c>
      <c r="Q893" s="1">
        <v>0</v>
      </c>
      <c r="R893" s="12">
        <v>42644</v>
      </c>
      <c r="S893" s="1">
        <v>200</v>
      </c>
      <c r="T893" s="9" t="s">
        <v>46</v>
      </c>
    </row>
    <row r="894" spans="1:20" x14ac:dyDescent="0.25">
      <c r="A894" s="10" t="s">
        <v>37</v>
      </c>
      <c r="B894" t="b">
        <v>0</v>
      </c>
      <c r="C894" t="b">
        <v>0</v>
      </c>
      <c r="D894" s="1">
        <v>40</v>
      </c>
      <c r="E894" s="1">
        <v>0</v>
      </c>
      <c r="F894" s="1">
        <v>0</v>
      </c>
      <c r="G894" s="1">
        <v>76</v>
      </c>
      <c r="H894" s="1">
        <v>0</v>
      </c>
      <c r="I894" s="1">
        <v>0</v>
      </c>
      <c r="J894" s="1">
        <f t="shared" si="38"/>
        <v>116</v>
      </c>
      <c r="K894" s="1">
        <v>0</v>
      </c>
      <c r="L894" s="1">
        <v>0</v>
      </c>
      <c r="M894" s="1">
        <v>0</v>
      </c>
      <c r="N894" s="1">
        <f t="shared" si="39"/>
        <v>0</v>
      </c>
      <c r="O894" s="9">
        <v>0</v>
      </c>
      <c r="P894" s="1">
        <v>0</v>
      </c>
      <c r="Q894" s="1">
        <v>0</v>
      </c>
      <c r="R894" s="12">
        <v>42675</v>
      </c>
      <c r="S894" s="1">
        <v>116</v>
      </c>
      <c r="T894" s="9" t="s">
        <v>46</v>
      </c>
    </row>
    <row r="895" spans="1:20" x14ac:dyDescent="0.25">
      <c r="A895" s="10" t="s">
        <v>37</v>
      </c>
      <c r="B895" t="b">
        <v>0</v>
      </c>
      <c r="C895" t="b">
        <v>0</v>
      </c>
      <c r="D895" s="1">
        <v>21</v>
      </c>
      <c r="E895" s="1">
        <v>0</v>
      </c>
      <c r="F895" s="1">
        <v>0</v>
      </c>
      <c r="G895" s="1">
        <v>501</v>
      </c>
      <c r="H895" s="1">
        <v>0</v>
      </c>
      <c r="I895" s="1">
        <v>0</v>
      </c>
      <c r="J895" s="1">
        <f t="shared" si="38"/>
        <v>522</v>
      </c>
      <c r="K895" s="1">
        <v>0</v>
      </c>
      <c r="L895" s="1">
        <v>0</v>
      </c>
      <c r="M895" s="1">
        <v>0</v>
      </c>
      <c r="N895" s="1">
        <f t="shared" si="39"/>
        <v>0</v>
      </c>
      <c r="O895" s="9">
        <v>0</v>
      </c>
      <c r="P895" s="1">
        <v>0</v>
      </c>
      <c r="Q895" s="1">
        <v>0</v>
      </c>
      <c r="R895" s="12">
        <v>42705</v>
      </c>
      <c r="S895" s="1">
        <v>522</v>
      </c>
      <c r="T895" s="9" t="s">
        <v>46</v>
      </c>
    </row>
    <row r="896" spans="1:20" x14ac:dyDescent="0.25">
      <c r="A896" s="10" t="s">
        <v>37</v>
      </c>
      <c r="B896" t="b">
        <v>0</v>
      </c>
      <c r="C896" t="b">
        <v>0</v>
      </c>
      <c r="D896" s="1">
        <v>0</v>
      </c>
      <c r="E896" s="1">
        <v>0</v>
      </c>
      <c r="F896" s="1">
        <v>0</v>
      </c>
      <c r="G896" s="1">
        <v>38</v>
      </c>
      <c r="H896" s="1">
        <v>0</v>
      </c>
      <c r="I896" s="1">
        <v>0</v>
      </c>
      <c r="J896" s="1">
        <f t="shared" si="38"/>
        <v>38</v>
      </c>
      <c r="K896" s="1">
        <v>0</v>
      </c>
      <c r="L896" s="1">
        <v>0</v>
      </c>
      <c r="M896" s="1">
        <v>0</v>
      </c>
      <c r="N896" s="1">
        <f t="shared" si="39"/>
        <v>0</v>
      </c>
      <c r="O896" s="9">
        <v>0</v>
      </c>
      <c r="P896" s="1">
        <v>0</v>
      </c>
      <c r="Q896" s="1">
        <v>0</v>
      </c>
      <c r="R896" s="12">
        <v>42736</v>
      </c>
      <c r="S896" s="1">
        <v>38</v>
      </c>
      <c r="T896" s="9" t="s">
        <v>21</v>
      </c>
    </row>
    <row r="897" spans="1:20" x14ac:dyDescent="0.25">
      <c r="A897" s="10" t="s">
        <v>37</v>
      </c>
      <c r="B897" t="b">
        <v>0</v>
      </c>
      <c r="C897" t="b">
        <v>0</v>
      </c>
      <c r="D897" s="1">
        <v>0</v>
      </c>
      <c r="E897" s="1">
        <v>0</v>
      </c>
      <c r="F897" s="1">
        <v>0</v>
      </c>
      <c r="G897" s="1">
        <v>32</v>
      </c>
      <c r="H897" s="1">
        <v>0</v>
      </c>
      <c r="I897" s="1">
        <v>0</v>
      </c>
      <c r="J897" s="1">
        <f t="shared" si="38"/>
        <v>32</v>
      </c>
      <c r="K897" s="1">
        <v>0</v>
      </c>
      <c r="L897" s="1">
        <v>0</v>
      </c>
      <c r="M897" s="1">
        <v>0</v>
      </c>
      <c r="N897" s="1">
        <f t="shared" si="39"/>
        <v>0</v>
      </c>
      <c r="O897" s="9">
        <v>0</v>
      </c>
      <c r="P897" s="1">
        <v>0</v>
      </c>
      <c r="Q897" s="1">
        <v>0</v>
      </c>
      <c r="R897" s="12">
        <v>42767</v>
      </c>
      <c r="S897" s="1">
        <v>32</v>
      </c>
      <c r="T897" s="9" t="s">
        <v>21</v>
      </c>
    </row>
    <row r="898" spans="1:20" x14ac:dyDescent="0.25">
      <c r="A898" s="10" t="s">
        <v>37</v>
      </c>
      <c r="B898" t="b">
        <v>0</v>
      </c>
      <c r="C898" t="b">
        <v>0</v>
      </c>
      <c r="D898" s="1">
        <v>0</v>
      </c>
      <c r="E898" s="1">
        <v>0</v>
      </c>
      <c r="F898" s="1">
        <v>0</v>
      </c>
      <c r="G898" s="1">
        <v>49</v>
      </c>
      <c r="H898" s="1">
        <v>0</v>
      </c>
      <c r="I898" s="1">
        <v>0</v>
      </c>
      <c r="J898" s="1">
        <f t="shared" si="38"/>
        <v>49</v>
      </c>
      <c r="K898" s="1">
        <v>0</v>
      </c>
      <c r="L898" s="1">
        <v>0</v>
      </c>
      <c r="M898" s="1">
        <v>0</v>
      </c>
      <c r="N898" s="1">
        <f t="shared" si="39"/>
        <v>0</v>
      </c>
      <c r="O898" s="9">
        <v>0</v>
      </c>
      <c r="P898" s="1">
        <v>0</v>
      </c>
      <c r="Q898" s="1">
        <v>0</v>
      </c>
      <c r="R898" s="12">
        <v>42795</v>
      </c>
      <c r="S898" s="1">
        <v>49</v>
      </c>
      <c r="T898" s="9" t="s">
        <v>21</v>
      </c>
    </row>
    <row r="899" spans="1:20" x14ac:dyDescent="0.25">
      <c r="A899" s="10" t="s">
        <v>37</v>
      </c>
      <c r="B899" t="b">
        <v>0</v>
      </c>
      <c r="C899" t="b">
        <v>0</v>
      </c>
      <c r="D899" s="1">
        <v>0</v>
      </c>
      <c r="E899" s="1">
        <v>0</v>
      </c>
      <c r="F899" s="1">
        <v>0</v>
      </c>
      <c r="G899" s="1">
        <v>90</v>
      </c>
      <c r="H899" s="1">
        <v>0</v>
      </c>
      <c r="I899" s="1">
        <v>0</v>
      </c>
      <c r="J899" s="1">
        <f t="shared" si="38"/>
        <v>90</v>
      </c>
      <c r="K899" s="1">
        <v>0</v>
      </c>
      <c r="L899" s="1">
        <v>0</v>
      </c>
      <c r="M899" s="1">
        <v>0</v>
      </c>
      <c r="N899" s="1">
        <f t="shared" si="39"/>
        <v>0</v>
      </c>
      <c r="O899" s="9">
        <v>0</v>
      </c>
      <c r="P899" s="1">
        <v>0</v>
      </c>
      <c r="Q899" s="1">
        <v>0</v>
      </c>
      <c r="R899" s="12">
        <v>42826</v>
      </c>
      <c r="S899" s="1">
        <v>90</v>
      </c>
      <c r="T899" s="9" t="s">
        <v>21</v>
      </c>
    </row>
    <row r="900" spans="1:20" x14ac:dyDescent="0.25">
      <c r="A900" s="10" t="s">
        <v>37</v>
      </c>
      <c r="B900" t="b">
        <v>0</v>
      </c>
      <c r="C900" t="b">
        <v>0</v>
      </c>
      <c r="D900" s="1">
        <v>0</v>
      </c>
      <c r="E900" s="1">
        <v>0</v>
      </c>
      <c r="F900" s="1">
        <v>0</v>
      </c>
      <c r="G900" s="1">
        <v>197</v>
      </c>
      <c r="H900" s="1">
        <v>0</v>
      </c>
      <c r="I900" s="1">
        <v>0</v>
      </c>
      <c r="J900" s="1">
        <f t="shared" si="38"/>
        <v>197</v>
      </c>
      <c r="K900" s="1">
        <v>0</v>
      </c>
      <c r="L900" s="1">
        <v>0</v>
      </c>
      <c r="M900" s="1">
        <v>0</v>
      </c>
      <c r="N900" s="1">
        <f t="shared" si="39"/>
        <v>0</v>
      </c>
      <c r="O900" s="9">
        <v>0</v>
      </c>
      <c r="P900" s="1">
        <v>0</v>
      </c>
      <c r="Q900" s="1">
        <v>0</v>
      </c>
      <c r="R900" s="12">
        <v>42856</v>
      </c>
      <c r="S900" s="1">
        <v>197</v>
      </c>
      <c r="T900" s="9" t="s">
        <v>21</v>
      </c>
    </row>
    <row r="901" spans="1:20" x14ac:dyDescent="0.25">
      <c r="A901" s="10" t="s">
        <v>37</v>
      </c>
      <c r="B901" t="b">
        <v>0</v>
      </c>
      <c r="C901" t="b">
        <v>0</v>
      </c>
      <c r="D901" s="1">
        <v>0</v>
      </c>
      <c r="E901" s="1">
        <v>0</v>
      </c>
      <c r="F901" s="1">
        <v>0</v>
      </c>
      <c r="G901" s="1">
        <v>93</v>
      </c>
      <c r="H901" s="1">
        <v>0</v>
      </c>
      <c r="I901" s="1">
        <v>0</v>
      </c>
      <c r="J901" s="1">
        <f t="shared" si="38"/>
        <v>93</v>
      </c>
      <c r="K901" s="1">
        <v>0</v>
      </c>
      <c r="L901" s="1">
        <v>0</v>
      </c>
      <c r="M901" s="1">
        <v>0</v>
      </c>
      <c r="N901" s="1">
        <f t="shared" si="39"/>
        <v>0</v>
      </c>
      <c r="O901" s="9">
        <v>5</v>
      </c>
      <c r="P901" s="1">
        <v>0</v>
      </c>
      <c r="Q901" s="1">
        <v>0</v>
      </c>
      <c r="R901" s="12">
        <v>42887</v>
      </c>
      <c r="S901" s="1">
        <v>98</v>
      </c>
      <c r="T901" s="9" t="s">
        <v>21</v>
      </c>
    </row>
    <row r="902" spans="1:20" x14ac:dyDescent="0.25">
      <c r="A902" s="10" t="s">
        <v>37</v>
      </c>
      <c r="B902" t="b">
        <v>0</v>
      </c>
      <c r="C902" t="b">
        <v>0</v>
      </c>
      <c r="D902" s="1">
        <v>291</v>
      </c>
      <c r="E902" s="1">
        <v>0</v>
      </c>
      <c r="F902" s="1">
        <v>0</v>
      </c>
      <c r="G902" s="1">
        <v>194</v>
      </c>
      <c r="H902" s="1">
        <v>0</v>
      </c>
      <c r="I902" s="1">
        <v>0</v>
      </c>
      <c r="J902" s="1">
        <f t="shared" si="38"/>
        <v>485</v>
      </c>
      <c r="K902" s="1">
        <v>0</v>
      </c>
      <c r="L902" s="1">
        <v>0</v>
      </c>
      <c r="M902" s="1">
        <v>0</v>
      </c>
      <c r="N902" s="1">
        <f t="shared" si="39"/>
        <v>0</v>
      </c>
      <c r="O902" s="9">
        <v>49</v>
      </c>
      <c r="P902" s="1">
        <v>0</v>
      </c>
      <c r="Q902" s="1">
        <v>0</v>
      </c>
      <c r="R902" s="12">
        <v>42917</v>
      </c>
      <c r="S902" s="1">
        <v>534</v>
      </c>
      <c r="T902" s="9" t="s">
        <v>21</v>
      </c>
    </row>
    <row r="903" spans="1:20" x14ac:dyDescent="0.25">
      <c r="A903" s="10" t="s">
        <v>37</v>
      </c>
      <c r="B903" t="b">
        <v>0</v>
      </c>
      <c r="C903" t="b">
        <v>0</v>
      </c>
      <c r="D903" s="1">
        <v>264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f t="shared" ref="J903:J945" si="40">D903+E903+F903+G903+H903+I903</f>
        <v>264</v>
      </c>
      <c r="K903" s="1">
        <v>0</v>
      </c>
      <c r="L903" s="1">
        <v>0</v>
      </c>
      <c r="M903" s="1">
        <v>0</v>
      </c>
      <c r="N903" s="1">
        <f t="shared" si="39"/>
        <v>0</v>
      </c>
      <c r="O903" s="9">
        <v>0</v>
      </c>
      <c r="P903" s="1">
        <v>0</v>
      </c>
      <c r="Q903" s="1">
        <v>0</v>
      </c>
      <c r="R903" s="12">
        <v>42948</v>
      </c>
      <c r="S903" s="1">
        <v>264</v>
      </c>
      <c r="T903" s="9" t="s">
        <v>21</v>
      </c>
    </row>
    <row r="904" spans="1:20" x14ac:dyDescent="0.25">
      <c r="A904" s="10" t="s">
        <v>37</v>
      </c>
      <c r="B904" t="b">
        <v>0</v>
      </c>
      <c r="C904" t="b">
        <v>0</v>
      </c>
      <c r="D904" s="1">
        <v>94</v>
      </c>
      <c r="E904" s="1">
        <v>0</v>
      </c>
      <c r="F904" s="1">
        <v>0</v>
      </c>
      <c r="G904" s="1">
        <v>110</v>
      </c>
      <c r="H904" s="1">
        <v>0</v>
      </c>
      <c r="I904" s="1">
        <v>0</v>
      </c>
      <c r="J904" s="1">
        <f t="shared" si="40"/>
        <v>204</v>
      </c>
      <c r="K904" s="1">
        <v>0</v>
      </c>
      <c r="L904" s="1">
        <v>0</v>
      </c>
      <c r="M904" s="1">
        <v>0</v>
      </c>
      <c r="N904" s="1">
        <f t="shared" si="39"/>
        <v>0</v>
      </c>
      <c r="O904" s="9">
        <v>0</v>
      </c>
      <c r="P904" s="1">
        <v>0</v>
      </c>
      <c r="Q904" s="1">
        <v>0</v>
      </c>
      <c r="R904" s="12">
        <v>42979</v>
      </c>
      <c r="S904" s="1">
        <v>204</v>
      </c>
      <c r="T904" s="9" t="s">
        <v>21</v>
      </c>
    </row>
    <row r="905" spans="1:20" x14ac:dyDescent="0.25">
      <c r="A905" s="10" t="s">
        <v>37</v>
      </c>
      <c r="B905" t="b">
        <v>0</v>
      </c>
      <c r="C905" t="b">
        <v>0</v>
      </c>
      <c r="D905" s="1">
        <v>65</v>
      </c>
      <c r="E905" s="1">
        <v>0</v>
      </c>
      <c r="F905" s="1">
        <v>0</v>
      </c>
      <c r="G905" s="1">
        <v>149</v>
      </c>
      <c r="H905" s="1">
        <v>0</v>
      </c>
      <c r="I905" s="1">
        <v>0</v>
      </c>
      <c r="J905" s="1">
        <f t="shared" si="40"/>
        <v>214</v>
      </c>
      <c r="K905" s="1">
        <v>0</v>
      </c>
      <c r="L905" s="1">
        <v>0</v>
      </c>
      <c r="M905" s="1">
        <v>0</v>
      </c>
      <c r="N905" s="1">
        <f t="shared" si="39"/>
        <v>0</v>
      </c>
      <c r="O905" s="9">
        <v>0</v>
      </c>
      <c r="P905" s="1">
        <v>0</v>
      </c>
      <c r="Q905" s="1">
        <v>0</v>
      </c>
      <c r="R905" s="12">
        <v>43009</v>
      </c>
      <c r="S905" s="1">
        <v>214</v>
      </c>
      <c r="T905" s="9" t="s">
        <v>21</v>
      </c>
    </row>
    <row r="906" spans="1:20" x14ac:dyDescent="0.25">
      <c r="A906" s="10" t="s">
        <v>37</v>
      </c>
      <c r="B906" t="b">
        <v>0</v>
      </c>
      <c r="C906" t="b">
        <v>0</v>
      </c>
      <c r="D906" s="1">
        <v>46</v>
      </c>
      <c r="E906" s="1">
        <v>0</v>
      </c>
      <c r="F906" s="1">
        <v>0</v>
      </c>
      <c r="G906" s="1">
        <v>85</v>
      </c>
      <c r="H906" s="1">
        <v>0</v>
      </c>
      <c r="I906" s="1">
        <v>0</v>
      </c>
      <c r="J906" s="1">
        <f t="shared" si="40"/>
        <v>131</v>
      </c>
      <c r="K906" s="1">
        <v>0</v>
      </c>
      <c r="L906" s="1">
        <v>0</v>
      </c>
      <c r="M906" s="1">
        <v>0</v>
      </c>
      <c r="N906" s="1">
        <f t="shared" si="39"/>
        <v>0</v>
      </c>
      <c r="O906" s="9">
        <v>0</v>
      </c>
      <c r="P906" s="1">
        <v>0</v>
      </c>
      <c r="Q906" s="1">
        <v>0</v>
      </c>
      <c r="R906" s="12">
        <v>43040</v>
      </c>
      <c r="S906" s="1">
        <v>131</v>
      </c>
      <c r="T906" s="9" t="s">
        <v>21</v>
      </c>
    </row>
    <row r="907" spans="1:20" x14ac:dyDescent="0.25">
      <c r="A907" s="10" t="s">
        <v>37</v>
      </c>
      <c r="B907" t="b">
        <v>0</v>
      </c>
      <c r="C907" t="b">
        <v>0</v>
      </c>
      <c r="D907" s="1">
        <v>27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f t="shared" si="40"/>
        <v>27</v>
      </c>
      <c r="K907" s="1">
        <v>0</v>
      </c>
      <c r="L907" s="1">
        <v>0</v>
      </c>
      <c r="M907" s="1">
        <v>0</v>
      </c>
      <c r="N907" s="1">
        <f t="shared" si="39"/>
        <v>0</v>
      </c>
      <c r="O907" s="9">
        <v>0</v>
      </c>
      <c r="P907" s="1">
        <v>0</v>
      </c>
      <c r="Q907" s="1">
        <v>0</v>
      </c>
      <c r="R907" s="12">
        <v>43070</v>
      </c>
      <c r="S907" s="1">
        <v>27</v>
      </c>
      <c r="T907" s="9" t="s">
        <v>21</v>
      </c>
    </row>
    <row r="908" spans="1:20" x14ac:dyDescent="0.25">
      <c r="A908" s="10" t="s">
        <v>37</v>
      </c>
      <c r="B908" t="b">
        <v>0</v>
      </c>
      <c r="C908" t="b">
        <v>0</v>
      </c>
      <c r="D908" s="1">
        <v>48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f t="shared" si="40"/>
        <v>48</v>
      </c>
      <c r="K908" s="1">
        <v>0</v>
      </c>
      <c r="L908" s="1">
        <v>0</v>
      </c>
      <c r="M908" s="1">
        <v>0</v>
      </c>
      <c r="N908" s="1">
        <f t="shared" si="39"/>
        <v>0</v>
      </c>
      <c r="O908" s="9">
        <v>0</v>
      </c>
      <c r="P908" s="1">
        <v>0</v>
      </c>
      <c r="Q908" s="1">
        <v>0</v>
      </c>
      <c r="R908" s="12">
        <v>43101</v>
      </c>
      <c r="S908" s="1">
        <v>48</v>
      </c>
      <c r="T908" s="9" t="s">
        <v>21</v>
      </c>
    </row>
    <row r="909" spans="1:20" x14ac:dyDescent="0.25">
      <c r="A909" s="10" t="s">
        <v>37</v>
      </c>
      <c r="B909" t="b">
        <v>0</v>
      </c>
      <c r="C909" t="b">
        <v>0</v>
      </c>
      <c r="D909" s="1">
        <v>66</v>
      </c>
      <c r="E909" s="1">
        <v>0</v>
      </c>
      <c r="F909" s="1">
        <v>0</v>
      </c>
      <c r="G909" s="1">
        <v>81</v>
      </c>
      <c r="H909" s="1">
        <v>0</v>
      </c>
      <c r="I909" s="1">
        <v>0</v>
      </c>
      <c r="J909" s="1">
        <f t="shared" si="40"/>
        <v>147</v>
      </c>
      <c r="K909" s="1">
        <v>0</v>
      </c>
      <c r="L909" s="1">
        <v>0</v>
      </c>
      <c r="M909" s="1">
        <v>0</v>
      </c>
      <c r="N909" s="1">
        <f t="shared" si="39"/>
        <v>0</v>
      </c>
      <c r="O909" s="9">
        <v>2</v>
      </c>
      <c r="P909" s="1">
        <v>0</v>
      </c>
      <c r="Q909" s="1">
        <v>0</v>
      </c>
      <c r="R909" s="12">
        <v>43132</v>
      </c>
      <c r="S909" s="1">
        <v>149</v>
      </c>
      <c r="T909" s="9" t="s">
        <v>21</v>
      </c>
    </row>
    <row r="910" spans="1:20" x14ac:dyDescent="0.25">
      <c r="A910" s="10" t="s">
        <v>37</v>
      </c>
      <c r="B910" t="b">
        <v>0</v>
      </c>
      <c r="C910" t="b">
        <v>0</v>
      </c>
      <c r="D910" s="1">
        <v>18</v>
      </c>
      <c r="E910" s="1">
        <v>0</v>
      </c>
      <c r="F910" s="1">
        <v>0</v>
      </c>
      <c r="G910" s="1">
        <v>183</v>
      </c>
      <c r="H910" s="1">
        <v>0</v>
      </c>
      <c r="I910" s="1">
        <v>0</v>
      </c>
      <c r="J910" s="1">
        <f t="shared" si="40"/>
        <v>201</v>
      </c>
      <c r="K910" s="1">
        <v>0</v>
      </c>
      <c r="L910" s="1">
        <v>0</v>
      </c>
      <c r="M910" s="1">
        <v>0</v>
      </c>
      <c r="N910" s="1">
        <f t="shared" si="39"/>
        <v>0</v>
      </c>
      <c r="O910" s="9">
        <v>4</v>
      </c>
      <c r="P910" s="1">
        <v>0</v>
      </c>
      <c r="Q910" s="1">
        <v>0</v>
      </c>
      <c r="R910" s="12">
        <v>43160</v>
      </c>
      <c r="S910" s="1">
        <v>205</v>
      </c>
      <c r="T910" s="9" t="s">
        <v>21</v>
      </c>
    </row>
    <row r="911" spans="1:20" x14ac:dyDescent="0.25">
      <c r="A911" s="10" t="s">
        <v>37</v>
      </c>
      <c r="B911" t="b">
        <v>0</v>
      </c>
      <c r="C911" t="b">
        <v>0</v>
      </c>
      <c r="D911" s="1">
        <v>198</v>
      </c>
      <c r="E911" s="1">
        <v>0</v>
      </c>
      <c r="F911" s="1">
        <v>0</v>
      </c>
      <c r="G911" s="1">
        <v>84</v>
      </c>
      <c r="H911" s="1">
        <v>0</v>
      </c>
      <c r="I911" s="1">
        <v>0</v>
      </c>
      <c r="J911" s="1">
        <f t="shared" si="40"/>
        <v>282</v>
      </c>
      <c r="K911" s="1">
        <v>0</v>
      </c>
      <c r="L911" s="1">
        <v>0</v>
      </c>
      <c r="M911" s="1">
        <v>0</v>
      </c>
      <c r="N911" s="1">
        <f t="shared" si="39"/>
        <v>0</v>
      </c>
      <c r="O911" s="9">
        <v>0</v>
      </c>
      <c r="P911" s="1">
        <v>0</v>
      </c>
      <c r="Q911" s="1">
        <v>0</v>
      </c>
      <c r="R911" s="12">
        <v>43191</v>
      </c>
      <c r="S911" s="1">
        <v>282</v>
      </c>
      <c r="T911" s="9" t="s">
        <v>21</v>
      </c>
    </row>
    <row r="912" spans="1:20" x14ac:dyDescent="0.25">
      <c r="A912" s="10" t="s">
        <v>37</v>
      </c>
      <c r="B912" t="b">
        <v>0</v>
      </c>
      <c r="C912" t="b">
        <v>0</v>
      </c>
      <c r="D912" s="1">
        <v>216</v>
      </c>
      <c r="E912" s="1">
        <v>0</v>
      </c>
      <c r="F912" s="1">
        <v>0</v>
      </c>
      <c r="G912" s="1">
        <v>200</v>
      </c>
      <c r="H912" s="1">
        <v>0</v>
      </c>
      <c r="I912" s="1">
        <v>0</v>
      </c>
      <c r="J912" s="1">
        <f t="shared" si="40"/>
        <v>416</v>
      </c>
      <c r="K912" s="1">
        <v>0</v>
      </c>
      <c r="L912" s="1">
        <v>0</v>
      </c>
      <c r="M912" s="1">
        <v>0</v>
      </c>
      <c r="N912" s="1">
        <f t="shared" si="39"/>
        <v>0</v>
      </c>
      <c r="O912" s="9">
        <v>0</v>
      </c>
      <c r="P912" s="1">
        <v>0</v>
      </c>
      <c r="Q912" s="1">
        <v>0</v>
      </c>
      <c r="R912" s="12">
        <v>43221</v>
      </c>
      <c r="S912" s="1">
        <v>416</v>
      </c>
      <c r="T912" s="9" t="s">
        <v>21</v>
      </c>
    </row>
    <row r="913" spans="1:20" x14ac:dyDescent="0.25">
      <c r="A913" s="10" t="s">
        <v>37</v>
      </c>
      <c r="B913" t="b">
        <v>0</v>
      </c>
      <c r="C913" t="b">
        <v>0</v>
      </c>
      <c r="D913" s="1">
        <v>180</v>
      </c>
      <c r="E913" s="1">
        <v>0</v>
      </c>
      <c r="F913" s="1">
        <v>0</v>
      </c>
      <c r="G913" s="1">
        <v>215</v>
      </c>
      <c r="H913" s="1">
        <v>0</v>
      </c>
      <c r="I913" s="1">
        <v>0</v>
      </c>
      <c r="J913" s="1">
        <f t="shared" si="40"/>
        <v>395</v>
      </c>
      <c r="K913" s="1">
        <v>0</v>
      </c>
      <c r="L913" s="1">
        <v>0</v>
      </c>
      <c r="M913" s="1">
        <v>0</v>
      </c>
      <c r="N913" s="1">
        <f t="shared" si="39"/>
        <v>0</v>
      </c>
      <c r="O913" s="9">
        <v>0</v>
      </c>
      <c r="P913" s="1">
        <v>0</v>
      </c>
      <c r="Q913" s="1">
        <v>0</v>
      </c>
      <c r="R913" s="12">
        <v>43252</v>
      </c>
      <c r="S913" s="1">
        <v>395</v>
      </c>
      <c r="T913" s="9" t="s">
        <v>21</v>
      </c>
    </row>
    <row r="914" spans="1:20" x14ac:dyDescent="0.25">
      <c r="A914" s="10" t="s">
        <v>37</v>
      </c>
      <c r="B914" t="b">
        <v>0</v>
      </c>
      <c r="C914" t="b">
        <v>0</v>
      </c>
      <c r="D914" s="1">
        <v>0</v>
      </c>
      <c r="E914" s="1">
        <v>0</v>
      </c>
      <c r="F914" s="1">
        <v>0</v>
      </c>
      <c r="G914" s="1">
        <v>264</v>
      </c>
      <c r="H914" s="1">
        <v>0</v>
      </c>
      <c r="I914" s="1">
        <v>0</v>
      </c>
      <c r="J914" s="1">
        <f t="shared" si="40"/>
        <v>264</v>
      </c>
      <c r="K914" s="1">
        <v>0</v>
      </c>
      <c r="L914" s="1">
        <v>0</v>
      </c>
      <c r="M914" s="1">
        <v>0</v>
      </c>
      <c r="N914" s="1">
        <f t="shared" si="39"/>
        <v>0</v>
      </c>
      <c r="O914" s="9">
        <v>0</v>
      </c>
      <c r="P914" s="1">
        <v>0</v>
      </c>
      <c r="Q914" s="1">
        <v>0</v>
      </c>
      <c r="R914" s="12">
        <v>43282</v>
      </c>
      <c r="S914" s="1">
        <v>264</v>
      </c>
      <c r="T914" s="9" t="s">
        <v>21</v>
      </c>
    </row>
    <row r="915" spans="1:20" x14ac:dyDescent="0.25">
      <c r="A915" s="10" t="s">
        <v>37</v>
      </c>
      <c r="B915" t="b">
        <v>0</v>
      </c>
      <c r="C915" t="b">
        <v>0</v>
      </c>
      <c r="D915" s="1">
        <v>0</v>
      </c>
      <c r="E915" s="1">
        <v>0</v>
      </c>
      <c r="F915" s="1">
        <v>0</v>
      </c>
      <c r="G915" s="1">
        <v>212</v>
      </c>
      <c r="H915" s="1">
        <v>0</v>
      </c>
      <c r="I915" s="1">
        <v>0</v>
      </c>
      <c r="J915" s="1">
        <f t="shared" si="40"/>
        <v>212</v>
      </c>
      <c r="K915" s="1">
        <v>0</v>
      </c>
      <c r="L915" s="1">
        <v>0</v>
      </c>
      <c r="M915" s="1">
        <v>0</v>
      </c>
      <c r="N915" s="1">
        <f t="shared" si="39"/>
        <v>0</v>
      </c>
      <c r="O915" s="9">
        <v>0</v>
      </c>
      <c r="P915" s="1">
        <v>0</v>
      </c>
      <c r="Q915" s="1">
        <v>0</v>
      </c>
      <c r="R915" s="12">
        <v>43313</v>
      </c>
      <c r="S915" s="1">
        <v>212</v>
      </c>
      <c r="T915" s="9" t="s">
        <v>21</v>
      </c>
    </row>
    <row r="916" spans="1:20" x14ac:dyDescent="0.25">
      <c r="A916" s="10" t="s">
        <v>37</v>
      </c>
      <c r="B916" t="b">
        <v>0</v>
      </c>
      <c r="C916" t="b">
        <v>0</v>
      </c>
      <c r="D916" s="1">
        <v>0</v>
      </c>
      <c r="E916" s="1">
        <v>0</v>
      </c>
      <c r="F916" s="1">
        <v>0</v>
      </c>
      <c r="G916" s="1">
        <v>142</v>
      </c>
      <c r="H916" s="1">
        <v>0</v>
      </c>
      <c r="I916" s="1">
        <v>0</v>
      </c>
      <c r="J916" s="1">
        <f t="shared" si="40"/>
        <v>142</v>
      </c>
      <c r="K916" s="1">
        <v>0</v>
      </c>
      <c r="L916" s="1">
        <v>0</v>
      </c>
      <c r="M916" s="1">
        <v>0</v>
      </c>
      <c r="N916" s="1">
        <f t="shared" si="39"/>
        <v>0</v>
      </c>
      <c r="O916" s="9">
        <v>0</v>
      </c>
      <c r="P916" s="1">
        <v>0</v>
      </c>
      <c r="Q916" s="1">
        <v>0</v>
      </c>
      <c r="R916" s="12">
        <v>43344</v>
      </c>
      <c r="S916" s="1">
        <v>142</v>
      </c>
      <c r="T916" s="9" t="s">
        <v>21</v>
      </c>
    </row>
    <row r="917" spans="1:20" x14ac:dyDescent="0.25">
      <c r="A917" s="10" t="s">
        <v>37</v>
      </c>
      <c r="B917" t="b">
        <v>0</v>
      </c>
      <c r="C917" t="b">
        <v>0</v>
      </c>
      <c r="D917" s="1">
        <v>0</v>
      </c>
      <c r="E917" s="1">
        <v>0</v>
      </c>
      <c r="F917" s="1">
        <v>0</v>
      </c>
      <c r="G917" s="1">
        <v>145</v>
      </c>
      <c r="H917" s="1">
        <v>0</v>
      </c>
      <c r="I917" s="1">
        <v>0</v>
      </c>
      <c r="J917" s="1">
        <f t="shared" si="40"/>
        <v>145</v>
      </c>
      <c r="K917" s="1">
        <v>0</v>
      </c>
      <c r="L917" s="1">
        <v>0</v>
      </c>
      <c r="M917" s="1">
        <v>0</v>
      </c>
      <c r="N917" s="1">
        <f t="shared" si="39"/>
        <v>0</v>
      </c>
      <c r="O917" s="9">
        <v>0</v>
      </c>
      <c r="P917" s="1">
        <v>0</v>
      </c>
      <c r="Q917" s="1">
        <v>0</v>
      </c>
      <c r="R917" s="12">
        <v>43374</v>
      </c>
      <c r="S917" s="1">
        <v>145</v>
      </c>
      <c r="T917" s="9" t="s">
        <v>21</v>
      </c>
    </row>
    <row r="918" spans="1:20" x14ac:dyDescent="0.25">
      <c r="A918" s="10" t="s">
        <v>37</v>
      </c>
      <c r="B918" t="b">
        <v>0</v>
      </c>
      <c r="C918" t="b">
        <v>0</v>
      </c>
      <c r="D918" s="1">
        <v>0</v>
      </c>
      <c r="E918" s="1">
        <v>0</v>
      </c>
      <c r="F918" s="1">
        <v>0</v>
      </c>
      <c r="G918" s="1">
        <v>87</v>
      </c>
      <c r="H918" s="1">
        <v>0</v>
      </c>
      <c r="I918" s="1">
        <v>0</v>
      </c>
      <c r="J918" s="1">
        <f t="shared" si="40"/>
        <v>87</v>
      </c>
      <c r="K918" s="1">
        <v>0</v>
      </c>
      <c r="L918" s="1">
        <v>0</v>
      </c>
      <c r="M918" s="1">
        <v>0</v>
      </c>
      <c r="N918" s="1">
        <f t="shared" si="39"/>
        <v>0</v>
      </c>
      <c r="O918" s="9">
        <v>0</v>
      </c>
      <c r="P918" s="1">
        <v>0</v>
      </c>
      <c r="Q918" s="1">
        <v>0</v>
      </c>
      <c r="R918" s="12">
        <v>43405</v>
      </c>
      <c r="S918" s="1">
        <v>87</v>
      </c>
      <c r="T918" s="9" t="s">
        <v>21</v>
      </c>
    </row>
    <row r="919" spans="1:20" x14ac:dyDescent="0.25">
      <c r="A919" s="10" t="s">
        <v>37</v>
      </c>
      <c r="B919" t="b">
        <v>0</v>
      </c>
      <c r="C919" t="b">
        <v>0</v>
      </c>
      <c r="D919" s="1">
        <v>0</v>
      </c>
      <c r="E919" s="1">
        <v>0</v>
      </c>
      <c r="F919" s="1">
        <v>0</v>
      </c>
      <c r="G919" s="1">
        <v>87</v>
      </c>
      <c r="H919" s="1">
        <v>0</v>
      </c>
      <c r="I919" s="1">
        <v>0</v>
      </c>
      <c r="J919" s="1">
        <f t="shared" si="40"/>
        <v>87</v>
      </c>
      <c r="K919" s="1">
        <v>0</v>
      </c>
      <c r="L919" s="1">
        <v>0</v>
      </c>
      <c r="M919" s="1">
        <v>0</v>
      </c>
      <c r="N919" s="1">
        <f t="shared" si="39"/>
        <v>0</v>
      </c>
      <c r="O919" s="9">
        <v>0</v>
      </c>
      <c r="P919" s="1">
        <v>0</v>
      </c>
      <c r="Q919" s="1">
        <v>0</v>
      </c>
      <c r="R919" s="12">
        <v>43435</v>
      </c>
      <c r="S919" s="1">
        <v>87</v>
      </c>
      <c r="T919" s="9" t="s">
        <v>21</v>
      </c>
    </row>
    <row r="920" spans="1:20" x14ac:dyDescent="0.25">
      <c r="A920" s="10" t="s">
        <v>37</v>
      </c>
      <c r="B920" t="b">
        <v>0</v>
      </c>
      <c r="C920" t="b">
        <v>0</v>
      </c>
      <c r="D920" s="1">
        <v>60</v>
      </c>
      <c r="E920" s="1">
        <v>0</v>
      </c>
      <c r="F920" s="1">
        <v>0</v>
      </c>
      <c r="G920" s="1">
        <v>32</v>
      </c>
      <c r="H920" s="1">
        <v>0</v>
      </c>
      <c r="I920" s="1">
        <v>0</v>
      </c>
      <c r="J920" s="1">
        <f t="shared" si="40"/>
        <v>92</v>
      </c>
      <c r="K920" s="1">
        <v>0</v>
      </c>
      <c r="L920" s="1">
        <v>0</v>
      </c>
      <c r="M920" s="1">
        <v>0</v>
      </c>
      <c r="N920" s="1">
        <f t="shared" si="39"/>
        <v>0</v>
      </c>
      <c r="O920" s="9">
        <v>0</v>
      </c>
      <c r="P920" s="1">
        <v>0</v>
      </c>
      <c r="Q920" s="1">
        <v>0</v>
      </c>
      <c r="R920" s="12">
        <v>43466</v>
      </c>
      <c r="S920" s="1">
        <v>92</v>
      </c>
      <c r="T920" s="9" t="s">
        <v>21</v>
      </c>
    </row>
    <row r="921" spans="1:20" x14ac:dyDescent="0.25">
      <c r="A921" s="10" t="s">
        <v>37</v>
      </c>
      <c r="B921" t="b">
        <v>0</v>
      </c>
      <c r="C921" t="b">
        <v>0</v>
      </c>
      <c r="D921" s="1">
        <v>0</v>
      </c>
      <c r="E921" s="1">
        <v>0</v>
      </c>
      <c r="F921" s="1">
        <v>0</v>
      </c>
      <c r="G921" s="1">
        <v>621</v>
      </c>
      <c r="H921" s="1">
        <v>0</v>
      </c>
      <c r="I921" s="1">
        <v>0</v>
      </c>
      <c r="J921" s="1">
        <f t="shared" si="40"/>
        <v>621</v>
      </c>
      <c r="K921" s="1">
        <v>0</v>
      </c>
      <c r="L921" s="1">
        <v>0</v>
      </c>
      <c r="M921" s="1">
        <v>0</v>
      </c>
      <c r="N921" s="1">
        <f t="shared" si="39"/>
        <v>0</v>
      </c>
      <c r="O921" s="9">
        <v>41</v>
      </c>
      <c r="P921" s="1">
        <v>0</v>
      </c>
      <c r="Q921" s="1">
        <v>0</v>
      </c>
      <c r="R921" s="12">
        <v>43497</v>
      </c>
      <c r="S921" s="1">
        <v>662</v>
      </c>
      <c r="T921" s="9" t="s">
        <v>21</v>
      </c>
    </row>
    <row r="922" spans="1:20" x14ac:dyDescent="0.25">
      <c r="A922" s="10" t="s">
        <v>37</v>
      </c>
      <c r="B922" t="b">
        <v>0</v>
      </c>
      <c r="C922" t="b">
        <v>0</v>
      </c>
      <c r="D922" s="1">
        <v>18</v>
      </c>
      <c r="E922" s="1">
        <v>7</v>
      </c>
      <c r="F922" s="1">
        <v>0</v>
      </c>
      <c r="G922" s="1">
        <v>832</v>
      </c>
      <c r="H922" s="1">
        <v>0</v>
      </c>
      <c r="I922" s="1">
        <v>0</v>
      </c>
      <c r="J922" s="1">
        <f t="shared" si="40"/>
        <v>857</v>
      </c>
      <c r="K922" s="1">
        <v>0</v>
      </c>
      <c r="L922" s="1">
        <v>0</v>
      </c>
      <c r="M922" s="1">
        <v>0</v>
      </c>
      <c r="N922" s="1">
        <f t="shared" si="39"/>
        <v>0</v>
      </c>
      <c r="O922" s="9">
        <v>50</v>
      </c>
      <c r="P922" s="1">
        <v>0</v>
      </c>
      <c r="Q922" s="1">
        <v>0</v>
      </c>
      <c r="R922" s="12">
        <v>43525</v>
      </c>
      <c r="S922" s="1">
        <v>907</v>
      </c>
      <c r="T922" s="9" t="s">
        <v>21</v>
      </c>
    </row>
    <row r="923" spans="1:20" x14ac:dyDescent="0.25">
      <c r="A923" s="10" t="s">
        <v>37</v>
      </c>
      <c r="B923" t="b">
        <v>0</v>
      </c>
      <c r="C923" t="b">
        <v>0</v>
      </c>
      <c r="D923" s="1">
        <v>0</v>
      </c>
      <c r="E923" s="1">
        <v>0</v>
      </c>
      <c r="F923" s="1">
        <v>0</v>
      </c>
      <c r="G923" s="1">
        <v>980</v>
      </c>
      <c r="H923" s="1">
        <v>0</v>
      </c>
      <c r="I923" s="1">
        <v>0</v>
      </c>
      <c r="J923" s="1">
        <f t="shared" si="40"/>
        <v>980</v>
      </c>
      <c r="K923" s="1">
        <v>0</v>
      </c>
      <c r="L923" s="1">
        <v>0</v>
      </c>
      <c r="M923" s="1">
        <v>0</v>
      </c>
      <c r="N923" s="1">
        <f t="shared" si="39"/>
        <v>0</v>
      </c>
      <c r="O923" s="9">
        <v>64</v>
      </c>
      <c r="P923" s="1">
        <v>0</v>
      </c>
      <c r="Q923" s="1">
        <v>0</v>
      </c>
      <c r="R923" s="12">
        <v>43556</v>
      </c>
      <c r="S923" s="1">
        <v>1044</v>
      </c>
      <c r="T923" s="9" t="s">
        <v>21</v>
      </c>
    </row>
    <row r="924" spans="1:20" x14ac:dyDescent="0.25">
      <c r="A924" s="10" t="s">
        <v>37</v>
      </c>
      <c r="B924" t="b">
        <v>0</v>
      </c>
      <c r="C924" t="b">
        <v>0</v>
      </c>
      <c r="D924" s="1">
        <v>0</v>
      </c>
      <c r="E924" s="1">
        <v>0</v>
      </c>
      <c r="F924" s="1">
        <v>0</v>
      </c>
      <c r="G924" s="1">
        <v>1027</v>
      </c>
      <c r="H924" s="1">
        <v>0</v>
      </c>
      <c r="I924" s="1">
        <v>0</v>
      </c>
      <c r="J924" s="1">
        <f t="shared" si="40"/>
        <v>1027</v>
      </c>
      <c r="K924" s="1">
        <v>0</v>
      </c>
      <c r="L924" s="1">
        <v>0</v>
      </c>
      <c r="M924" s="1">
        <v>0</v>
      </c>
      <c r="N924" s="1">
        <f t="shared" si="39"/>
        <v>0</v>
      </c>
      <c r="O924" s="9">
        <v>73</v>
      </c>
      <c r="P924" s="1">
        <v>0</v>
      </c>
      <c r="Q924" s="1">
        <v>0</v>
      </c>
      <c r="R924" s="12">
        <v>43586</v>
      </c>
      <c r="S924" s="1">
        <v>1100</v>
      </c>
      <c r="T924" s="9" t="s">
        <v>21</v>
      </c>
    </row>
    <row r="925" spans="1:20" x14ac:dyDescent="0.25">
      <c r="A925" s="10" t="s">
        <v>37</v>
      </c>
      <c r="B925" t="b">
        <v>0</v>
      </c>
      <c r="C925" t="b">
        <v>0</v>
      </c>
      <c r="D925" s="1">
        <v>0</v>
      </c>
      <c r="E925" s="1">
        <v>0</v>
      </c>
      <c r="F925" s="1">
        <v>0</v>
      </c>
      <c r="G925" s="1">
        <v>922</v>
      </c>
      <c r="H925" s="1">
        <v>0</v>
      </c>
      <c r="I925" s="1">
        <v>0</v>
      </c>
      <c r="J925" s="1">
        <f t="shared" si="40"/>
        <v>922</v>
      </c>
      <c r="K925" s="1">
        <v>0</v>
      </c>
      <c r="L925" s="1">
        <v>0</v>
      </c>
      <c r="M925" s="1">
        <v>0</v>
      </c>
      <c r="N925" s="1">
        <f t="shared" si="39"/>
        <v>0</v>
      </c>
      <c r="O925" s="9">
        <v>62</v>
      </c>
      <c r="P925" s="1">
        <v>0</v>
      </c>
      <c r="Q925" s="1">
        <v>0</v>
      </c>
      <c r="R925" s="12">
        <v>43617</v>
      </c>
      <c r="S925" s="1">
        <v>984</v>
      </c>
      <c r="T925" s="9" t="s">
        <v>21</v>
      </c>
    </row>
    <row r="926" spans="1:20" x14ac:dyDescent="0.25">
      <c r="A926" s="10" t="s">
        <v>37</v>
      </c>
      <c r="B926" t="b">
        <v>0</v>
      </c>
      <c r="C926" t="b">
        <v>0</v>
      </c>
      <c r="D926" s="1">
        <v>0</v>
      </c>
      <c r="E926" s="1">
        <v>0</v>
      </c>
      <c r="F926" s="1">
        <v>0</v>
      </c>
      <c r="G926" s="1">
        <v>705</v>
      </c>
      <c r="H926" s="1">
        <v>0</v>
      </c>
      <c r="I926" s="1">
        <v>0</v>
      </c>
      <c r="J926" s="1">
        <f t="shared" si="40"/>
        <v>705</v>
      </c>
      <c r="K926" s="1">
        <v>0</v>
      </c>
      <c r="L926" s="1">
        <v>0</v>
      </c>
      <c r="M926" s="1">
        <v>0</v>
      </c>
      <c r="N926" s="1">
        <f t="shared" si="39"/>
        <v>0</v>
      </c>
      <c r="O926" s="9">
        <v>45</v>
      </c>
      <c r="P926" s="1">
        <v>0</v>
      </c>
      <c r="Q926" s="1">
        <v>0</v>
      </c>
      <c r="R926" s="12">
        <v>43647</v>
      </c>
      <c r="S926" s="1">
        <v>750</v>
      </c>
      <c r="T926" s="9" t="s">
        <v>21</v>
      </c>
    </row>
    <row r="927" spans="1:20" x14ac:dyDescent="0.25">
      <c r="A927" s="10" t="s">
        <v>37</v>
      </c>
      <c r="B927" t="b">
        <v>0</v>
      </c>
      <c r="C927" t="b">
        <v>0</v>
      </c>
      <c r="D927" s="1">
        <v>0</v>
      </c>
      <c r="E927" s="1">
        <v>0</v>
      </c>
      <c r="F927" s="1">
        <v>0</v>
      </c>
      <c r="G927" s="1">
        <v>734</v>
      </c>
      <c r="H927" s="1">
        <v>0</v>
      </c>
      <c r="I927" s="1">
        <v>0</v>
      </c>
      <c r="J927" s="1">
        <f t="shared" si="40"/>
        <v>734</v>
      </c>
      <c r="K927" s="1">
        <v>0</v>
      </c>
      <c r="L927" s="1">
        <v>0</v>
      </c>
      <c r="M927" s="1">
        <v>0</v>
      </c>
      <c r="N927" s="1">
        <f t="shared" si="39"/>
        <v>0</v>
      </c>
      <c r="O927" s="9">
        <v>39</v>
      </c>
      <c r="P927" s="1">
        <v>0</v>
      </c>
      <c r="Q927" s="1">
        <v>0</v>
      </c>
      <c r="R927" s="12">
        <v>43678</v>
      </c>
      <c r="S927" s="1">
        <v>773</v>
      </c>
      <c r="T927" s="9" t="s">
        <v>21</v>
      </c>
    </row>
    <row r="928" spans="1:20" x14ac:dyDescent="0.25">
      <c r="A928" s="10" t="s">
        <v>37</v>
      </c>
      <c r="B928" t="b">
        <v>0</v>
      </c>
      <c r="C928" t="b">
        <v>0</v>
      </c>
      <c r="D928" s="1">
        <v>0</v>
      </c>
      <c r="E928" s="1">
        <v>0</v>
      </c>
      <c r="F928" s="1">
        <v>0</v>
      </c>
      <c r="G928" s="1">
        <v>809</v>
      </c>
      <c r="H928" s="1">
        <v>0</v>
      </c>
      <c r="I928" s="1">
        <v>0</v>
      </c>
      <c r="J928" s="1">
        <f t="shared" si="40"/>
        <v>809</v>
      </c>
      <c r="K928" s="1">
        <v>0</v>
      </c>
      <c r="L928" s="1">
        <v>0</v>
      </c>
      <c r="M928" s="1">
        <v>0</v>
      </c>
      <c r="N928" s="1">
        <f t="shared" si="39"/>
        <v>0</v>
      </c>
      <c r="O928" s="9">
        <v>50</v>
      </c>
      <c r="P928" s="1">
        <v>0</v>
      </c>
      <c r="Q928" s="1">
        <v>0</v>
      </c>
      <c r="R928" s="12">
        <v>43709</v>
      </c>
      <c r="S928" s="1">
        <v>859</v>
      </c>
      <c r="T928" s="9" t="s">
        <v>21</v>
      </c>
    </row>
    <row r="929" spans="1:20" x14ac:dyDescent="0.25">
      <c r="A929" s="10" t="s">
        <v>37</v>
      </c>
      <c r="B929" t="b">
        <v>0</v>
      </c>
      <c r="C929" t="b">
        <v>0</v>
      </c>
      <c r="D929" s="1">
        <v>0</v>
      </c>
      <c r="E929" s="1">
        <v>0</v>
      </c>
      <c r="F929" s="1">
        <v>0</v>
      </c>
      <c r="G929" s="1">
        <v>731</v>
      </c>
      <c r="H929" s="1">
        <v>0</v>
      </c>
      <c r="I929" s="1">
        <v>0</v>
      </c>
      <c r="J929" s="1">
        <f t="shared" si="40"/>
        <v>731</v>
      </c>
      <c r="K929" s="1">
        <v>0</v>
      </c>
      <c r="L929" s="1">
        <v>0</v>
      </c>
      <c r="M929" s="1">
        <v>0</v>
      </c>
      <c r="N929" s="1">
        <f t="shared" si="39"/>
        <v>0</v>
      </c>
      <c r="O929" s="9">
        <v>54</v>
      </c>
      <c r="P929" s="1">
        <v>0</v>
      </c>
      <c r="Q929" s="1">
        <v>0</v>
      </c>
      <c r="R929" s="12">
        <v>43739</v>
      </c>
      <c r="S929" s="1">
        <v>785</v>
      </c>
      <c r="T929" s="9" t="s">
        <v>21</v>
      </c>
    </row>
    <row r="930" spans="1:20" x14ac:dyDescent="0.25">
      <c r="A930" s="10" t="s">
        <v>37</v>
      </c>
      <c r="B930" t="b">
        <v>0</v>
      </c>
      <c r="C930" t="b">
        <v>0</v>
      </c>
      <c r="D930" s="1">
        <v>0</v>
      </c>
      <c r="E930" s="1">
        <v>0</v>
      </c>
      <c r="F930" s="1">
        <v>0</v>
      </c>
      <c r="G930" s="1">
        <v>505</v>
      </c>
      <c r="H930" s="1">
        <v>0</v>
      </c>
      <c r="I930" s="1">
        <v>0</v>
      </c>
      <c r="J930" s="1">
        <f t="shared" si="40"/>
        <v>505</v>
      </c>
      <c r="K930" s="1">
        <v>0</v>
      </c>
      <c r="L930" s="1">
        <v>0</v>
      </c>
      <c r="M930" s="1">
        <v>0</v>
      </c>
      <c r="N930" s="1">
        <f t="shared" ref="N930:N945" si="41">K930+L930+M930</f>
        <v>0</v>
      </c>
      <c r="O930" s="9">
        <v>0</v>
      </c>
      <c r="P930" s="1">
        <v>0</v>
      </c>
      <c r="Q930" s="1">
        <v>0</v>
      </c>
      <c r="R930" s="12">
        <v>43770</v>
      </c>
      <c r="S930" s="1">
        <v>505</v>
      </c>
      <c r="T930" s="9" t="s">
        <v>21</v>
      </c>
    </row>
    <row r="931" spans="1:20" x14ac:dyDescent="0.25">
      <c r="A931" s="10" t="s">
        <v>37</v>
      </c>
      <c r="B931" t="b">
        <v>0</v>
      </c>
      <c r="C931" t="b">
        <v>0</v>
      </c>
      <c r="D931" s="1">
        <v>0</v>
      </c>
      <c r="E931" s="1">
        <v>0</v>
      </c>
      <c r="F931" s="1">
        <v>0</v>
      </c>
      <c r="G931" s="1">
        <v>487</v>
      </c>
      <c r="H931" s="1">
        <v>0</v>
      </c>
      <c r="I931" s="1">
        <v>0</v>
      </c>
      <c r="J931" s="1">
        <f t="shared" si="40"/>
        <v>487</v>
      </c>
      <c r="K931" s="1">
        <v>0</v>
      </c>
      <c r="L931" s="1">
        <v>0</v>
      </c>
      <c r="M931" s="1">
        <v>0</v>
      </c>
      <c r="N931" s="1">
        <f t="shared" si="41"/>
        <v>0</v>
      </c>
      <c r="O931" s="9">
        <v>45</v>
      </c>
      <c r="P931" s="1">
        <v>0</v>
      </c>
      <c r="Q931" s="1">
        <v>0</v>
      </c>
      <c r="R931" s="12">
        <v>43800</v>
      </c>
      <c r="S931" s="1">
        <v>532</v>
      </c>
      <c r="T931" s="9" t="s">
        <v>21</v>
      </c>
    </row>
    <row r="932" spans="1:20" x14ac:dyDescent="0.25">
      <c r="A932" s="10" t="s">
        <v>37</v>
      </c>
      <c r="B932" t="b">
        <v>0</v>
      </c>
      <c r="C932" t="b">
        <v>0</v>
      </c>
      <c r="D932" s="1">
        <v>0</v>
      </c>
      <c r="E932" s="1">
        <v>0</v>
      </c>
      <c r="F932" s="1">
        <v>0</v>
      </c>
      <c r="G932" s="1">
        <v>510</v>
      </c>
      <c r="H932" s="1">
        <v>0</v>
      </c>
      <c r="I932" s="1">
        <v>0</v>
      </c>
      <c r="J932" s="1">
        <f t="shared" si="40"/>
        <v>510</v>
      </c>
      <c r="K932" s="1">
        <v>0</v>
      </c>
      <c r="L932" s="1">
        <v>0</v>
      </c>
      <c r="M932" s="1">
        <v>0</v>
      </c>
      <c r="N932" s="1">
        <f t="shared" si="41"/>
        <v>0</v>
      </c>
      <c r="O932" s="9">
        <v>34</v>
      </c>
      <c r="P932" s="1">
        <v>0</v>
      </c>
      <c r="Q932" s="1">
        <v>0</v>
      </c>
      <c r="R932" s="12">
        <v>43831</v>
      </c>
      <c r="S932" s="1">
        <v>544</v>
      </c>
      <c r="T932" s="9" t="s">
        <v>21</v>
      </c>
    </row>
    <row r="933" spans="1:20" x14ac:dyDescent="0.25">
      <c r="A933" s="10" t="s">
        <v>37</v>
      </c>
      <c r="B933" t="b">
        <v>0</v>
      </c>
      <c r="C933" t="b">
        <v>0</v>
      </c>
      <c r="D933" s="1">
        <v>0</v>
      </c>
      <c r="E933" s="1">
        <v>0</v>
      </c>
      <c r="F933" s="1">
        <v>0</v>
      </c>
      <c r="G933" s="1">
        <v>571</v>
      </c>
      <c r="H933" s="1">
        <v>0</v>
      </c>
      <c r="I933" s="1">
        <v>0</v>
      </c>
      <c r="J933" s="1">
        <f t="shared" si="40"/>
        <v>571</v>
      </c>
      <c r="K933" s="1">
        <v>0</v>
      </c>
      <c r="L933" s="1">
        <v>0</v>
      </c>
      <c r="M933" s="1">
        <v>0</v>
      </c>
      <c r="N933" s="1">
        <f t="shared" si="41"/>
        <v>0</v>
      </c>
      <c r="O933" s="9">
        <v>35</v>
      </c>
      <c r="P933" s="1">
        <v>0</v>
      </c>
      <c r="Q933" s="1">
        <v>0</v>
      </c>
      <c r="R933" s="12">
        <v>43862</v>
      </c>
      <c r="S933" s="1">
        <v>606</v>
      </c>
      <c r="T933" s="9" t="s">
        <v>21</v>
      </c>
    </row>
    <row r="934" spans="1:20" x14ac:dyDescent="0.25">
      <c r="A934" s="10" t="s">
        <v>37</v>
      </c>
      <c r="B934" t="b">
        <v>0</v>
      </c>
      <c r="C934" t="b">
        <v>0</v>
      </c>
      <c r="D934" s="1">
        <v>0</v>
      </c>
      <c r="E934" s="1">
        <v>0</v>
      </c>
      <c r="F934" s="1">
        <v>0</v>
      </c>
      <c r="G934" s="1">
        <v>484</v>
      </c>
      <c r="H934" s="1">
        <v>0</v>
      </c>
      <c r="I934" s="1">
        <v>0</v>
      </c>
      <c r="J934" s="1">
        <f t="shared" si="40"/>
        <v>484</v>
      </c>
      <c r="K934" s="1">
        <v>0</v>
      </c>
      <c r="L934" s="1">
        <v>0</v>
      </c>
      <c r="M934" s="1">
        <v>0</v>
      </c>
      <c r="N934" s="1">
        <f t="shared" si="41"/>
        <v>0</v>
      </c>
      <c r="O934" s="9">
        <v>36</v>
      </c>
      <c r="P934" s="1">
        <v>0</v>
      </c>
      <c r="Q934" s="1">
        <v>0</v>
      </c>
      <c r="R934" s="12">
        <v>43891</v>
      </c>
      <c r="S934" s="1">
        <v>520</v>
      </c>
      <c r="T934" s="9" t="s">
        <v>21</v>
      </c>
    </row>
    <row r="935" spans="1:20" x14ac:dyDescent="0.25">
      <c r="A935" s="10" t="s">
        <v>37</v>
      </c>
      <c r="B935" t="b">
        <v>0</v>
      </c>
      <c r="C935" t="b">
        <v>0</v>
      </c>
      <c r="D935" s="1">
        <v>0</v>
      </c>
      <c r="E935" s="1">
        <v>0</v>
      </c>
      <c r="F935" s="1">
        <v>0</v>
      </c>
      <c r="G935" s="1">
        <v>38</v>
      </c>
      <c r="H935" s="1">
        <v>0</v>
      </c>
      <c r="I935" s="1">
        <v>0</v>
      </c>
      <c r="J935" s="1">
        <f t="shared" si="40"/>
        <v>38</v>
      </c>
      <c r="K935" s="1">
        <v>0</v>
      </c>
      <c r="L935" s="1">
        <v>0</v>
      </c>
      <c r="M935" s="1">
        <v>0</v>
      </c>
      <c r="N935" s="1">
        <f t="shared" si="41"/>
        <v>0</v>
      </c>
      <c r="O935" s="9">
        <v>2</v>
      </c>
      <c r="P935" s="1">
        <v>0</v>
      </c>
      <c r="Q935" s="1">
        <v>0</v>
      </c>
      <c r="R935" s="12">
        <v>43922</v>
      </c>
      <c r="S935" s="1">
        <v>40</v>
      </c>
      <c r="T935" s="9" t="s">
        <v>21</v>
      </c>
    </row>
    <row r="936" spans="1:20" x14ac:dyDescent="0.25">
      <c r="A936" s="10" t="s">
        <v>37</v>
      </c>
      <c r="B936" t="b">
        <v>1</v>
      </c>
      <c r="C936" t="b">
        <v>0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f t="shared" si="40"/>
        <v>0</v>
      </c>
      <c r="K936" s="1">
        <v>0</v>
      </c>
      <c r="L936" s="1">
        <v>0</v>
      </c>
      <c r="M936" s="1">
        <v>0</v>
      </c>
      <c r="N936" s="1">
        <f t="shared" si="41"/>
        <v>0</v>
      </c>
      <c r="O936" s="9">
        <v>0</v>
      </c>
      <c r="P936" s="1">
        <v>0</v>
      </c>
      <c r="Q936" s="1">
        <v>0</v>
      </c>
      <c r="R936" s="12">
        <v>43952</v>
      </c>
      <c r="S936" s="1">
        <v>0</v>
      </c>
      <c r="T936" s="9" t="s">
        <v>21</v>
      </c>
    </row>
    <row r="937" spans="1:20" x14ac:dyDescent="0.25">
      <c r="A937" s="10" t="s">
        <v>37</v>
      </c>
      <c r="B937" t="b">
        <v>0</v>
      </c>
      <c r="C937" t="b">
        <v>0</v>
      </c>
      <c r="D937" s="1">
        <v>0</v>
      </c>
      <c r="E937" s="1">
        <v>0</v>
      </c>
      <c r="F937" s="1">
        <v>0</v>
      </c>
      <c r="G937" s="1">
        <v>0</v>
      </c>
      <c r="H937" s="1">
        <v>180</v>
      </c>
      <c r="I937" s="1">
        <v>0</v>
      </c>
      <c r="J937" s="1">
        <f t="shared" si="40"/>
        <v>180</v>
      </c>
      <c r="K937" s="1">
        <v>0</v>
      </c>
      <c r="L937" s="1">
        <v>0</v>
      </c>
      <c r="M937" s="1">
        <v>0</v>
      </c>
      <c r="N937" s="1">
        <f t="shared" si="41"/>
        <v>0</v>
      </c>
      <c r="O937" s="9">
        <v>0</v>
      </c>
      <c r="P937" s="1">
        <v>0</v>
      </c>
      <c r="Q937" s="1">
        <v>0</v>
      </c>
      <c r="R937" s="12">
        <v>43983</v>
      </c>
      <c r="S937" s="1">
        <v>180</v>
      </c>
      <c r="T937" s="9" t="s">
        <v>21</v>
      </c>
    </row>
    <row r="938" spans="1:20" x14ac:dyDescent="0.25">
      <c r="A938" s="10" t="s">
        <v>37</v>
      </c>
      <c r="B938" t="b">
        <v>0</v>
      </c>
      <c r="C938" t="b">
        <v>0</v>
      </c>
      <c r="D938" s="1">
        <v>0</v>
      </c>
      <c r="E938" s="1">
        <v>0</v>
      </c>
      <c r="F938" s="1">
        <v>0</v>
      </c>
      <c r="G938" s="1">
        <v>0</v>
      </c>
      <c r="H938" s="1">
        <v>171</v>
      </c>
      <c r="I938" s="1">
        <v>0</v>
      </c>
      <c r="J938" s="1">
        <f t="shared" si="40"/>
        <v>171</v>
      </c>
      <c r="K938" s="1">
        <v>0</v>
      </c>
      <c r="L938" s="1">
        <v>0</v>
      </c>
      <c r="M938" s="1">
        <v>0</v>
      </c>
      <c r="N938" s="1">
        <f t="shared" si="41"/>
        <v>0</v>
      </c>
      <c r="O938" s="9">
        <v>0</v>
      </c>
      <c r="P938" s="1">
        <v>0</v>
      </c>
      <c r="Q938" s="1">
        <v>0</v>
      </c>
      <c r="R938" s="12">
        <v>44013</v>
      </c>
      <c r="S938" s="1">
        <v>171</v>
      </c>
      <c r="T938" s="9" t="s">
        <v>21</v>
      </c>
    </row>
    <row r="939" spans="1:20" x14ac:dyDescent="0.25">
      <c r="A939" s="10" t="s">
        <v>37</v>
      </c>
      <c r="B939" t="b">
        <v>0</v>
      </c>
      <c r="C939" t="b">
        <v>0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f t="shared" si="40"/>
        <v>0</v>
      </c>
      <c r="K939" s="1">
        <v>0</v>
      </c>
      <c r="L939" s="1">
        <v>0</v>
      </c>
      <c r="M939" s="1">
        <v>0</v>
      </c>
      <c r="N939" s="1">
        <f t="shared" si="41"/>
        <v>0</v>
      </c>
      <c r="O939" s="9">
        <v>0</v>
      </c>
      <c r="P939" s="1">
        <v>0</v>
      </c>
      <c r="Q939" s="1">
        <v>0</v>
      </c>
      <c r="R939" s="12">
        <v>44013</v>
      </c>
      <c r="S939" s="1">
        <v>0</v>
      </c>
      <c r="T939" s="9" t="s">
        <v>21</v>
      </c>
    </row>
    <row r="940" spans="1:20" x14ac:dyDescent="0.25">
      <c r="A940" s="10" t="s">
        <v>37</v>
      </c>
      <c r="B940" t="b">
        <v>0</v>
      </c>
      <c r="C940" t="b">
        <v>0</v>
      </c>
      <c r="D940" s="1">
        <v>0</v>
      </c>
      <c r="E940" s="1">
        <v>0</v>
      </c>
      <c r="F940" s="1">
        <v>0</v>
      </c>
      <c r="G940" s="1">
        <v>0</v>
      </c>
      <c r="H940" s="1">
        <v>114</v>
      </c>
      <c r="I940" s="1">
        <v>0</v>
      </c>
      <c r="J940" s="1">
        <f t="shared" si="40"/>
        <v>114</v>
      </c>
      <c r="K940" s="1">
        <v>0</v>
      </c>
      <c r="L940" s="1">
        <v>0</v>
      </c>
      <c r="M940" s="1">
        <v>0</v>
      </c>
      <c r="N940" s="1">
        <f t="shared" si="41"/>
        <v>0</v>
      </c>
      <c r="O940" s="9">
        <v>0</v>
      </c>
      <c r="P940" s="1">
        <v>0</v>
      </c>
      <c r="Q940" s="1">
        <v>0</v>
      </c>
      <c r="R940" s="12">
        <v>44044</v>
      </c>
      <c r="S940" s="1">
        <v>114</v>
      </c>
      <c r="T940" s="9" t="s">
        <v>21</v>
      </c>
    </row>
    <row r="941" spans="1:20" x14ac:dyDescent="0.25">
      <c r="A941" s="10" t="s">
        <v>37</v>
      </c>
      <c r="B941" t="b">
        <v>0</v>
      </c>
      <c r="C941" t="b">
        <v>0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f t="shared" si="40"/>
        <v>0</v>
      </c>
      <c r="K941" s="1">
        <v>0</v>
      </c>
      <c r="L941" s="1">
        <v>0</v>
      </c>
      <c r="M941" s="1">
        <v>0</v>
      </c>
      <c r="N941" s="1">
        <f t="shared" si="41"/>
        <v>0</v>
      </c>
      <c r="O941" s="9">
        <v>0</v>
      </c>
      <c r="P941" s="1">
        <v>0</v>
      </c>
      <c r="Q941" s="1">
        <v>0</v>
      </c>
      <c r="R941" s="12">
        <v>44044</v>
      </c>
      <c r="S941" s="1">
        <v>0</v>
      </c>
      <c r="T941" s="9" t="s">
        <v>21</v>
      </c>
    </row>
    <row r="942" spans="1:20" x14ac:dyDescent="0.25">
      <c r="A942" s="10" t="s">
        <v>37</v>
      </c>
      <c r="B942" t="b">
        <v>0</v>
      </c>
      <c r="C942" t="b">
        <v>0</v>
      </c>
      <c r="D942" s="1">
        <v>0</v>
      </c>
      <c r="E942" s="1">
        <v>0</v>
      </c>
      <c r="F942" s="1">
        <v>0</v>
      </c>
      <c r="G942" s="1">
        <v>0</v>
      </c>
      <c r="H942" s="1">
        <v>136</v>
      </c>
      <c r="I942" s="1">
        <v>0</v>
      </c>
      <c r="J942" s="1">
        <f t="shared" si="40"/>
        <v>136</v>
      </c>
      <c r="K942" s="1">
        <v>0</v>
      </c>
      <c r="L942" s="1">
        <v>0</v>
      </c>
      <c r="M942" s="1">
        <v>0</v>
      </c>
      <c r="N942" s="1">
        <f t="shared" si="41"/>
        <v>0</v>
      </c>
      <c r="O942" s="9">
        <v>0</v>
      </c>
      <c r="P942" s="1">
        <v>0</v>
      </c>
      <c r="Q942" s="1">
        <v>0</v>
      </c>
      <c r="R942" s="12">
        <v>44075</v>
      </c>
      <c r="S942" s="1">
        <v>136</v>
      </c>
      <c r="T942" s="9" t="s">
        <v>21</v>
      </c>
    </row>
    <row r="943" spans="1:20" x14ac:dyDescent="0.25">
      <c r="A943" s="10" t="s">
        <v>37</v>
      </c>
      <c r="B943" t="b">
        <v>0</v>
      </c>
      <c r="C943" t="b">
        <v>0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f t="shared" si="40"/>
        <v>0</v>
      </c>
      <c r="K943" s="1">
        <v>0</v>
      </c>
      <c r="L943" s="1">
        <v>0</v>
      </c>
      <c r="M943" s="1">
        <v>0</v>
      </c>
      <c r="N943" s="1">
        <f t="shared" si="41"/>
        <v>0</v>
      </c>
      <c r="O943" s="9">
        <v>0</v>
      </c>
      <c r="P943" s="1">
        <v>0</v>
      </c>
      <c r="Q943" s="1">
        <v>0</v>
      </c>
      <c r="R943" s="12">
        <v>44105</v>
      </c>
      <c r="S943" s="1">
        <v>0</v>
      </c>
      <c r="T943" s="9" t="s">
        <v>21</v>
      </c>
    </row>
    <row r="944" spans="1:20" x14ac:dyDescent="0.25">
      <c r="A944" s="10" t="s">
        <v>37</v>
      </c>
      <c r="B944" t="b">
        <v>0</v>
      </c>
      <c r="C944" t="b">
        <v>0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f t="shared" si="40"/>
        <v>0</v>
      </c>
      <c r="K944" s="1">
        <v>0</v>
      </c>
      <c r="L944" s="1">
        <v>0</v>
      </c>
      <c r="M944" s="1">
        <v>0</v>
      </c>
      <c r="N944" s="1">
        <f t="shared" si="41"/>
        <v>0</v>
      </c>
      <c r="O944" s="9">
        <v>0</v>
      </c>
      <c r="P944" s="1">
        <v>0</v>
      </c>
      <c r="Q944" s="1">
        <v>0</v>
      </c>
      <c r="R944" s="12">
        <v>44136</v>
      </c>
      <c r="S944" s="1">
        <v>0</v>
      </c>
      <c r="T944" s="9" t="s">
        <v>21</v>
      </c>
    </row>
    <row r="945" spans="1:20" x14ac:dyDescent="0.25">
      <c r="A945" s="10" t="s">
        <v>37</v>
      </c>
      <c r="B945" t="b">
        <v>0</v>
      </c>
      <c r="C945" t="b">
        <v>0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f t="shared" si="40"/>
        <v>0</v>
      </c>
      <c r="K945" s="1">
        <v>0</v>
      </c>
      <c r="L945" s="1">
        <v>0</v>
      </c>
      <c r="M945" s="1">
        <v>0</v>
      </c>
      <c r="N945" s="1">
        <f t="shared" si="41"/>
        <v>0</v>
      </c>
      <c r="O945" s="9">
        <v>0</v>
      </c>
      <c r="P945" s="1">
        <v>0</v>
      </c>
      <c r="Q945" s="1">
        <v>0</v>
      </c>
      <c r="R945" s="12">
        <v>44166</v>
      </c>
      <c r="S945" s="1">
        <v>0</v>
      </c>
      <c r="T945" s="9" t="s">
        <v>21</v>
      </c>
    </row>
  </sheetData>
  <autoFilter ref="A1:T945" xr:uid="{4B6DFB8D-882C-4DA6-B5C3-FE0B1F9663DB}"/>
  <sortState xmlns:xlrd2="http://schemas.microsoft.com/office/spreadsheetml/2017/richdata2" ref="A2:S945">
    <sortCondition ref="S2:S945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FAF9-9F16-4E6D-896A-B382E44E0B52}">
  <dimension ref="A1:G11"/>
  <sheetViews>
    <sheetView workbookViewId="0">
      <selection sqref="A1:G11"/>
    </sheetView>
  </sheetViews>
  <sheetFormatPr defaultRowHeight="15" x14ac:dyDescent="0.25"/>
  <cols>
    <col min="1" max="1" width="16.85546875" bestFit="1" customWidth="1"/>
    <col min="2" max="2" width="16.28515625" bestFit="1" customWidth="1"/>
    <col min="3" max="3" width="13.7109375" bestFit="1" customWidth="1"/>
    <col min="4" max="4" width="7.140625" bestFit="1" customWidth="1"/>
    <col min="5" max="5" width="4.42578125" bestFit="1" customWidth="1"/>
    <col min="6" max="6" width="5.42578125" bestFit="1" customWidth="1"/>
    <col min="7" max="7" width="11.28515625" bestFit="1" customWidth="1"/>
    <col min="8" max="8" width="22.85546875" bestFit="1" customWidth="1"/>
    <col min="9" max="9" width="22.140625" bestFit="1" customWidth="1"/>
    <col min="10" max="10" width="19.7109375" bestFit="1" customWidth="1"/>
    <col min="11" max="11" width="20.28515625" bestFit="1" customWidth="1"/>
    <col min="12" max="12" width="23.28515625" bestFit="1" customWidth="1"/>
    <col min="13" max="13" width="20.5703125" bestFit="1" customWidth="1"/>
    <col min="14" max="14" width="19.42578125" bestFit="1" customWidth="1"/>
    <col min="15" max="15" width="23" bestFit="1" customWidth="1"/>
    <col min="16" max="16" width="25.140625" bestFit="1" customWidth="1"/>
    <col min="17" max="17" width="23.28515625" bestFit="1" customWidth="1"/>
    <col min="18" max="18" width="23.7109375" bestFit="1" customWidth="1"/>
    <col min="19" max="19" width="24.42578125" bestFit="1" customWidth="1"/>
    <col min="20" max="20" width="26.28515625" bestFit="1" customWidth="1"/>
    <col min="21" max="21" width="24.42578125" bestFit="1" customWidth="1"/>
    <col min="22" max="22" width="22.140625" bestFit="1" customWidth="1"/>
    <col min="23" max="23" width="20.28515625" bestFit="1" customWidth="1"/>
    <col min="24" max="24" width="20.5703125" bestFit="1" customWidth="1"/>
    <col min="25" max="25" width="19.28515625" bestFit="1" customWidth="1"/>
    <col min="26" max="26" width="19.42578125" bestFit="1" customWidth="1"/>
    <col min="27" max="27" width="20.28515625" bestFit="1" customWidth="1"/>
    <col min="28" max="28" width="26.140625" bestFit="1" customWidth="1"/>
    <col min="29" max="29" width="26.7109375" bestFit="1" customWidth="1"/>
    <col min="30" max="30" width="26.140625" bestFit="1" customWidth="1"/>
    <col min="31" max="31" width="25.28515625" bestFit="1" customWidth="1"/>
    <col min="32" max="32" width="23.5703125" bestFit="1" customWidth="1"/>
    <col min="33" max="33" width="23.140625" bestFit="1" customWidth="1"/>
    <col min="34" max="34" width="21.7109375" bestFit="1" customWidth="1"/>
    <col min="35" max="35" width="21" bestFit="1" customWidth="1"/>
    <col min="36" max="36" width="20.28515625" bestFit="1" customWidth="1"/>
    <col min="37" max="38" width="20.140625" bestFit="1" customWidth="1"/>
    <col min="39" max="39" width="21.42578125" bestFit="1" customWidth="1"/>
    <col min="40" max="40" width="29.42578125" bestFit="1" customWidth="1"/>
    <col min="41" max="41" width="21.42578125" bestFit="1" customWidth="1"/>
    <col min="42" max="42" width="25.7109375" bestFit="1" customWidth="1"/>
    <col min="43" max="43" width="28.7109375" bestFit="1" customWidth="1"/>
    <col min="44" max="44" width="23.28515625" bestFit="1" customWidth="1"/>
    <col min="45" max="45" width="24" bestFit="1" customWidth="1"/>
    <col min="46" max="46" width="21.7109375" bestFit="1" customWidth="1"/>
    <col min="47" max="47" width="18.42578125" bestFit="1" customWidth="1"/>
    <col min="48" max="48" width="19" bestFit="1" customWidth="1"/>
    <col min="49" max="49" width="23.5703125" bestFit="1" customWidth="1"/>
    <col min="50" max="50" width="17.5703125" bestFit="1" customWidth="1"/>
    <col min="51" max="51" width="22.28515625" bestFit="1" customWidth="1"/>
    <col min="52" max="52" width="26.85546875" bestFit="1" customWidth="1"/>
    <col min="53" max="53" width="23.7109375" bestFit="1" customWidth="1"/>
    <col min="54" max="54" width="25.7109375" bestFit="1" customWidth="1"/>
    <col min="55" max="55" width="26.140625" bestFit="1" customWidth="1"/>
    <col min="56" max="56" width="22" bestFit="1" customWidth="1"/>
    <col min="57" max="57" width="27.42578125" bestFit="1" customWidth="1"/>
    <col min="58" max="58" width="25" bestFit="1" customWidth="1"/>
    <col min="59" max="59" width="20.7109375" bestFit="1" customWidth="1"/>
    <col min="60" max="60" width="19.85546875" bestFit="1" customWidth="1"/>
    <col min="61" max="61" width="20.85546875" bestFit="1" customWidth="1"/>
    <col min="62" max="62" width="19.85546875" bestFit="1" customWidth="1"/>
    <col min="63" max="63" width="22.28515625" bestFit="1" customWidth="1"/>
    <col min="64" max="64" width="24.140625" bestFit="1" customWidth="1"/>
    <col min="65" max="65" width="22.42578125" bestFit="1" customWidth="1"/>
    <col min="66" max="66" width="29" bestFit="1" customWidth="1"/>
    <col min="67" max="67" width="23.42578125" bestFit="1" customWidth="1"/>
    <col min="68" max="68" width="22.85546875" bestFit="1" customWidth="1"/>
    <col min="69" max="69" width="24.7109375" bestFit="1" customWidth="1"/>
    <col min="70" max="70" width="22.42578125" bestFit="1" customWidth="1"/>
    <col min="71" max="71" width="19.42578125" bestFit="1" customWidth="1"/>
    <col min="72" max="72" width="19.85546875" bestFit="1" customWidth="1"/>
    <col min="73" max="73" width="18.28515625" bestFit="1" customWidth="1"/>
    <col min="74" max="74" width="18.5703125" bestFit="1" customWidth="1"/>
    <col min="75" max="75" width="25.7109375" bestFit="1" customWidth="1"/>
    <col min="76" max="76" width="26.5703125" bestFit="1" customWidth="1"/>
    <col min="77" max="77" width="23.28515625" bestFit="1" customWidth="1"/>
    <col min="78" max="78" width="26.42578125" bestFit="1" customWidth="1"/>
    <col min="79" max="79" width="25.85546875" bestFit="1" customWidth="1"/>
    <col min="80" max="80" width="22.85546875" bestFit="1" customWidth="1"/>
    <col min="81" max="82" width="22.140625" bestFit="1" customWidth="1"/>
    <col min="83" max="83" width="20.28515625" bestFit="1" customWidth="1"/>
    <col min="84" max="84" width="20.5703125" bestFit="1" customWidth="1"/>
    <col min="85" max="85" width="19.28515625" bestFit="1" customWidth="1"/>
    <col min="86" max="86" width="19.42578125" bestFit="1" customWidth="1"/>
    <col min="87" max="87" width="20.28515625" bestFit="1" customWidth="1"/>
    <col min="88" max="88" width="26.140625" bestFit="1" customWidth="1"/>
    <col min="89" max="89" width="26.7109375" bestFit="1" customWidth="1"/>
    <col min="90" max="90" width="26.140625" bestFit="1" customWidth="1"/>
    <col min="91" max="91" width="25.28515625" bestFit="1" customWidth="1"/>
    <col min="92" max="92" width="23.5703125" bestFit="1" customWidth="1"/>
    <col min="93" max="93" width="23.140625" bestFit="1" customWidth="1"/>
    <col min="94" max="94" width="20.7109375" bestFit="1" customWidth="1"/>
    <col min="95" max="95" width="23.7109375" bestFit="1" customWidth="1"/>
    <col min="96" max="96" width="18" bestFit="1" customWidth="1"/>
    <col min="97" max="97" width="20.140625" bestFit="1" customWidth="1"/>
    <col min="98" max="98" width="22.85546875" bestFit="1" customWidth="1"/>
    <col min="99" max="99" width="22.7109375" bestFit="1" customWidth="1"/>
    <col min="100" max="100" width="26.140625" bestFit="1" customWidth="1"/>
    <col min="101" max="101" width="24" bestFit="1" customWidth="1"/>
    <col min="102" max="102" width="24.7109375" bestFit="1" customWidth="1"/>
    <col min="103" max="103" width="25.28515625" bestFit="1" customWidth="1"/>
    <col min="104" max="104" width="20.85546875" bestFit="1" customWidth="1"/>
    <col min="105" max="105" width="24" bestFit="1" customWidth="1"/>
    <col min="106" max="106" width="21.7109375" bestFit="1" customWidth="1"/>
    <col min="107" max="107" width="21" bestFit="1" customWidth="1"/>
    <col min="108" max="108" width="20.28515625" bestFit="1" customWidth="1"/>
    <col min="109" max="110" width="20.140625" bestFit="1" customWidth="1"/>
    <col min="111" max="111" width="21.42578125" bestFit="1" customWidth="1"/>
    <col min="112" max="112" width="29.42578125" bestFit="1" customWidth="1"/>
    <col min="113" max="113" width="21.42578125" bestFit="1" customWidth="1"/>
    <col min="114" max="114" width="25.7109375" bestFit="1" customWidth="1"/>
    <col min="115" max="115" width="28.7109375" bestFit="1" customWidth="1"/>
    <col min="116" max="116" width="23.28515625" bestFit="1" customWidth="1"/>
    <col min="117" max="117" width="24" bestFit="1" customWidth="1"/>
    <col min="118" max="118" width="21.7109375" bestFit="1" customWidth="1"/>
    <col min="119" max="119" width="18.42578125" bestFit="1" customWidth="1"/>
    <col min="120" max="120" width="19" bestFit="1" customWidth="1"/>
    <col min="121" max="121" width="23.5703125" bestFit="1" customWidth="1"/>
    <col min="122" max="122" width="17.5703125" bestFit="1" customWidth="1"/>
    <col min="123" max="123" width="22.28515625" bestFit="1" customWidth="1"/>
    <col min="124" max="124" width="26.85546875" bestFit="1" customWidth="1"/>
    <col min="125" max="125" width="23.7109375" bestFit="1" customWidth="1"/>
    <col min="126" max="126" width="25.7109375" bestFit="1" customWidth="1"/>
    <col min="127" max="127" width="26.140625" bestFit="1" customWidth="1"/>
    <col min="128" max="128" width="22" bestFit="1" customWidth="1"/>
    <col min="129" max="129" width="27.42578125" bestFit="1" customWidth="1"/>
    <col min="130" max="130" width="22.42578125" bestFit="1" customWidth="1"/>
    <col min="131" max="131" width="19.42578125" bestFit="1" customWidth="1"/>
    <col min="132" max="132" width="19.85546875" bestFit="1" customWidth="1"/>
    <col min="133" max="133" width="18.28515625" bestFit="1" customWidth="1"/>
    <col min="134" max="134" width="18.5703125" bestFit="1" customWidth="1"/>
    <col min="135" max="135" width="25.7109375" bestFit="1" customWidth="1"/>
    <col min="136" max="136" width="26.5703125" bestFit="1" customWidth="1"/>
    <col min="137" max="137" width="23.28515625" bestFit="1" customWidth="1"/>
    <col min="138" max="138" width="26.42578125" bestFit="1" customWidth="1"/>
    <col min="139" max="139" width="25.85546875" bestFit="1" customWidth="1"/>
    <col min="140" max="140" width="22.85546875" bestFit="1" customWidth="1"/>
    <col min="141" max="141" width="22.140625" bestFit="1" customWidth="1"/>
    <col min="142" max="142" width="19.7109375" bestFit="1" customWidth="1"/>
    <col min="143" max="143" width="20.28515625" bestFit="1" customWidth="1"/>
    <col min="144" max="144" width="23.28515625" bestFit="1" customWidth="1"/>
    <col min="145" max="145" width="20.5703125" bestFit="1" customWidth="1"/>
    <col min="146" max="146" width="19.42578125" bestFit="1" customWidth="1"/>
    <col min="147" max="147" width="23" bestFit="1" customWidth="1"/>
    <col min="148" max="148" width="25.140625" bestFit="1" customWidth="1"/>
    <col min="149" max="149" width="23.28515625" bestFit="1" customWidth="1"/>
    <col min="150" max="150" width="23.7109375" bestFit="1" customWidth="1"/>
    <col min="151" max="151" width="24.42578125" bestFit="1" customWidth="1"/>
    <col min="152" max="152" width="26.28515625" bestFit="1" customWidth="1"/>
    <col min="153" max="153" width="24.42578125" bestFit="1" customWidth="1"/>
    <col min="154" max="154" width="22.140625" bestFit="1" customWidth="1"/>
    <col min="155" max="155" width="20.28515625" bestFit="1" customWidth="1"/>
    <col min="156" max="156" width="20.5703125" bestFit="1" customWidth="1"/>
    <col min="157" max="157" width="19.28515625" bestFit="1" customWidth="1"/>
    <col min="158" max="158" width="19.42578125" bestFit="1" customWidth="1"/>
    <col min="159" max="159" width="20.28515625" bestFit="1" customWidth="1"/>
    <col min="160" max="160" width="26.140625" bestFit="1" customWidth="1"/>
    <col min="161" max="161" width="26.7109375" bestFit="1" customWidth="1"/>
    <col min="162" max="162" width="26.140625" bestFit="1" customWidth="1"/>
    <col min="163" max="163" width="25.28515625" bestFit="1" customWidth="1"/>
    <col min="164" max="164" width="23.5703125" bestFit="1" customWidth="1"/>
    <col min="165" max="165" width="23.140625" bestFit="1" customWidth="1"/>
    <col min="166" max="166" width="20.7109375" bestFit="1" customWidth="1"/>
    <col min="167" max="167" width="23.7109375" bestFit="1" customWidth="1"/>
    <col min="168" max="168" width="18" bestFit="1" customWidth="1"/>
    <col min="169" max="169" width="20.140625" bestFit="1" customWidth="1"/>
    <col min="170" max="170" width="22.85546875" bestFit="1" customWidth="1"/>
    <col min="171" max="171" width="22.7109375" bestFit="1" customWidth="1"/>
    <col min="172" max="172" width="26.140625" bestFit="1" customWidth="1"/>
    <col min="173" max="173" width="24" bestFit="1" customWidth="1"/>
    <col min="174" max="174" width="24.7109375" bestFit="1" customWidth="1"/>
    <col min="175" max="175" width="25.28515625" bestFit="1" customWidth="1"/>
    <col min="176" max="176" width="20.85546875" bestFit="1" customWidth="1"/>
    <col min="177" max="177" width="24" bestFit="1" customWidth="1"/>
    <col min="178" max="178" width="21.7109375" bestFit="1" customWidth="1"/>
    <col min="179" max="179" width="18.42578125" bestFit="1" customWidth="1"/>
    <col min="180" max="180" width="19" bestFit="1" customWidth="1"/>
    <col min="181" max="181" width="23.5703125" bestFit="1" customWidth="1"/>
    <col min="182" max="182" width="17.5703125" bestFit="1" customWidth="1"/>
    <col min="183" max="183" width="22.28515625" bestFit="1" customWidth="1"/>
    <col min="184" max="184" width="26.85546875" bestFit="1" customWidth="1"/>
    <col min="185" max="185" width="23.7109375" bestFit="1" customWidth="1"/>
    <col min="186" max="186" width="25.7109375" bestFit="1" customWidth="1"/>
    <col min="187" max="187" width="26.140625" bestFit="1" customWidth="1"/>
    <col min="188" max="188" width="22" bestFit="1" customWidth="1"/>
    <col min="189" max="189" width="27.42578125" bestFit="1" customWidth="1"/>
    <col min="190" max="190" width="25" bestFit="1" customWidth="1"/>
    <col min="191" max="191" width="20.7109375" bestFit="1" customWidth="1"/>
    <col min="192" max="192" width="19.85546875" bestFit="1" customWidth="1"/>
    <col min="193" max="193" width="20.85546875" bestFit="1" customWidth="1"/>
    <col min="194" max="194" width="19.85546875" bestFit="1" customWidth="1"/>
    <col min="195" max="195" width="22.28515625" bestFit="1" customWidth="1"/>
    <col min="196" max="196" width="24.140625" bestFit="1" customWidth="1"/>
    <col min="197" max="197" width="22.42578125" bestFit="1" customWidth="1"/>
    <col min="198" max="198" width="29" bestFit="1" customWidth="1"/>
    <col min="199" max="199" width="23.42578125" bestFit="1" customWidth="1"/>
    <col min="200" max="200" width="22.85546875" bestFit="1" customWidth="1"/>
    <col min="201" max="201" width="24.7109375" bestFit="1" customWidth="1"/>
    <col min="202" max="202" width="22.42578125" bestFit="1" customWidth="1"/>
    <col min="203" max="203" width="19.42578125" bestFit="1" customWidth="1"/>
    <col min="204" max="204" width="19.85546875" bestFit="1" customWidth="1"/>
    <col min="205" max="205" width="18.28515625" bestFit="1" customWidth="1"/>
    <col min="206" max="206" width="18.5703125" bestFit="1" customWidth="1"/>
    <col min="207" max="207" width="25.7109375" bestFit="1" customWidth="1"/>
    <col min="208" max="208" width="26.5703125" bestFit="1" customWidth="1"/>
    <col min="209" max="209" width="23.28515625" bestFit="1" customWidth="1"/>
    <col min="210" max="210" width="26.42578125" bestFit="1" customWidth="1"/>
    <col min="211" max="211" width="25.85546875" bestFit="1" customWidth="1"/>
    <col min="212" max="212" width="22.85546875" bestFit="1" customWidth="1"/>
    <col min="213" max="213" width="22.140625" bestFit="1" customWidth="1"/>
    <col min="214" max="214" width="19.7109375" bestFit="1" customWidth="1"/>
    <col min="215" max="215" width="20.28515625" bestFit="1" customWidth="1"/>
    <col min="216" max="216" width="23.28515625" bestFit="1" customWidth="1"/>
    <col min="217" max="217" width="20.5703125" bestFit="1" customWidth="1"/>
    <col min="218" max="218" width="19.42578125" bestFit="1" customWidth="1"/>
    <col min="219" max="219" width="23" bestFit="1" customWidth="1"/>
    <col min="220" max="220" width="25.140625" bestFit="1" customWidth="1"/>
    <col min="221" max="221" width="23.28515625" bestFit="1" customWidth="1"/>
    <col min="222" max="222" width="23.7109375" bestFit="1" customWidth="1"/>
    <col min="223" max="223" width="24.42578125" bestFit="1" customWidth="1"/>
    <col min="224" max="224" width="26.28515625" bestFit="1" customWidth="1"/>
    <col min="225" max="225" width="24.42578125" bestFit="1" customWidth="1"/>
    <col min="226" max="226" width="20.7109375" bestFit="1" customWidth="1"/>
    <col min="227" max="227" width="23.7109375" bestFit="1" customWidth="1"/>
    <col min="228" max="228" width="18" bestFit="1" customWidth="1"/>
    <col min="229" max="229" width="20.140625" bestFit="1" customWidth="1"/>
    <col min="230" max="230" width="22.85546875" bestFit="1" customWidth="1"/>
    <col min="231" max="231" width="22.7109375" bestFit="1" customWidth="1"/>
    <col min="232" max="232" width="26.140625" bestFit="1" customWidth="1"/>
    <col min="233" max="233" width="24" bestFit="1" customWidth="1"/>
    <col min="234" max="234" width="24.7109375" bestFit="1" customWidth="1"/>
    <col min="235" max="235" width="25.28515625" bestFit="1" customWidth="1"/>
    <col min="236" max="236" width="11.28515625" bestFit="1" customWidth="1"/>
    <col min="237" max="237" width="25.7109375" bestFit="1" customWidth="1"/>
    <col min="238" max="238" width="26.5703125" bestFit="1" customWidth="1"/>
    <col min="239" max="239" width="23.28515625" bestFit="1" customWidth="1"/>
    <col min="240" max="240" width="26.42578125" bestFit="1" customWidth="1"/>
    <col min="241" max="241" width="25.85546875" bestFit="1" customWidth="1"/>
    <col min="242" max="242" width="22.85546875" bestFit="1" customWidth="1"/>
    <col min="243" max="243" width="22.140625" bestFit="1" customWidth="1"/>
    <col min="244" max="244" width="19.7109375" bestFit="1" customWidth="1"/>
    <col min="245" max="245" width="20.28515625" bestFit="1" customWidth="1"/>
    <col min="246" max="246" width="23.28515625" bestFit="1" customWidth="1"/>
    <col min="247" max="247" width="20.5703125" bestFit="1" customWidth="1"/>
    <col min="248" max="248" width="19.42578125" bestFit="1" customWidth="1"/>
    <col min="249" max="249" width="23" bestFit="1" customWidth="1"/>
    <col min="250" max="250" width="25.140625" bestFit="1" customWidth="1"/>
    <col min="251" max="251" width="23.28515625" bestFit="1" customWidth="1"/>
    <col min="252" max="252" width="23.7109375" bestFit="1" customWidth="1"/>
    <col min="253" max="253" width="24.42578125" bestFit="1" customWidth="1"/>
    <col min="254" max="254" width="26.28515625" bestFit="1" customWidth="1"/>
    <col min="255" max="255" width="24.42578125" bestFit="1" customWidth="1"/>
    <col min="256" max="256" width="22.140625" bestFit="1" customWidth="1"/>
    <col min="257" max="257" width="20.28515625" bestFit="1" customWidth="1"/>
    <col min="258" max="258" width="20.5703125" bestFit="1" customWidth="1"/>
    <col min="259" max="259" width="19.28515625" bestFit="1" customWidth="1"/>
    <col min="260" max="260" width="19.42578125" bestFit="1" customWidth="1"/>
    <col min="261" max="261" width="20.28515625" bestFit="1" customWidth="1"/>
    <col min="262" max="262" width="26.140625" bestFit="1" customWidth="1"/>
    <col min="263" max="263" width="26.7109375" bestFit="1" customWidth="1"/>
    <col min="264" max="264" width="26.140625" bestFit="1" customWidth="1"/>
    <col min="265" max="265" width="25.28515625" bestFit="1" customWidth="1"/>
    <col min="266" max="266" width="23.5703125" bestFit="1" customWidth="1"/>
    <col min="267" max="267" width="23.140625" bestFit="1" customWidth="1"/>
    <col min="268" max="268" width="21.7109375" bestFit="1" customWidth="1"/>
    <col min="269" max="269" width="21" bestFit="1" customWidth="1"/>
    <col min="270" max="270" width="20.28515625" bestFit="1" customWidth="1"/>
    <col min="271" max="272" width="20.140625" bestFit="1" customWidth="1"/>
    <col min="273" max="273" width="21.42578125" bestFit="1" customWidth="1"/>
    <col min="274" max="274" width="29.42578125" bestFit="1" customWidth="1"/>
    <col min="275" max="275" width="21.42578125" bestFit="1" customWidth="1"/>
    <col min="276" max="276" width="25.7109375" bestFit="1" customWidth="1"/>
    <col min="277" max="277" width="28.7109375" bestFit="1" customWidth="1"/>
    <col min="278" max="278" width="23.28515625" bestFit="1" customWidth="1"/>
    <col min="279" max="279" width="24" bestFit="1" customWidth="1"/>
    <col min="280" max="280" width="21.7109375" bestFit="1" customWidth="1"/>
    <col min="281" max="281" width="18.42578125" bestFit="1" customWidth="1"/>
    <col min="282" max="282" width="19" bestFit="1" customWidth="1"/>
    <col min="283" max="283" width="23.5703125" bestFit="1" customWidth="1"/>
    <col min="284" max="284" width="17.5703125" bestFit="1" customWidth="1"/>
    <col min="285" max="285" width="22.28515625" bestFit="1" customWidth="1"/>
    <col min="286" max="286" width="26.85546875" bestFit="1" customWidth="1"/>
    <col min="287" max="287" width="23.7109375" bestFit="1" customWidth="1"/>
    <col min="288" max="288" width="25.7109375" bestFit="1" customWidth="1"/>
    <col min="289" max="289" width="26.140625" bestFit="1" customWidth="1"/>
    <col min="290" max="290" width="22" bestFit="1" customWidth="1"/>
    <col min="291" max="291" width="27.42578125" bestFit="1" customWidth="1"/>
    <col min="292" max="292" width="25" bestFit="1" customWidth="1"/>
    <col min="293" max="293" width="20.7109375" bestFit="1" customWidth="1"/>
    <col min="294" max="294" width="19.85546875" bestFit="1" customWidth="1"/>
    <col min="295" max="295" width="20.85546875" bestFit="1" customWidth="1"/>
    <col min="296" max="296" width="19.85546875" bestFit="1" customWidth="1"/>
    <col min="297" max="297" width="22.28515625" bestFit="1" customWidth="1"/>
    <col min="298" max="298" width="24.140625" bestFit="1" customWidth="1"/>
    <col min="299" max="299" width="22.42578125" bestFit="1" customWidth="1"/>
    <col min="300" max="300" width="29" bestFit="1" customWidth="1"/>
    <col min="301" max="301" width="23.42578125" bestFit="1" customWidth="1"/>
    <col min="302" max="302" width="22.85546875" bestFit="1" customWidth="1"/>
    <col min="303" max="303" width="24.7109375" bestFit="1" customWidth="1"/>
    <col min="304" max="304" width="22.42578125" bestFit="1" customWidth="1"/>
    <col min="305" max="305" width="19.42578125" bestFit="1" customWidth="1"/>
    <col min="306" max="306" width="19.85546875" bestFit="1" customWidth="1"/>
    <col min="307" max="307" width="18.28515625" bestFit="1" customWidth="1"/>
    <col min="308" max="308" width="18.5703125" bestFit="1" customWidth="1"/>
    <col min="309" max="309" width="25.7109375" bestFit="1" customWidth="1"/>
    <col min="310" max="310" width="26.5703125" bestFit="1" customWidth="1"/>
    <col min="311" max="311" width="23.28515625" bestFit="1" customWidth="1"/>
    <col min="312" max="312" width="26.42578125" bestFit="1" customWidth="1"/>
    <col min="313" max="313" width="25.85546875" bestFit="1" customWidth="1"/>
    <col min="314" max="314" width="22.85546875" bestFit="1" customWidth="1"/>
    <col min="315" max="316" width="22.140625" bestFit="1" customWidth="1"/>
    <col min="317" max="317" width="20.28515625" bestFit="1" customWidth="1"/>
    <col min="318" max="318" width="20.5703125" bestFit="1" customWidth="1"/>
    <col min="319" max="319" width="19.28515625" bestFit="1" customWidth="1"/>
    <col min="320" max="320" width="19.42578125" bestFit="1" customWidth="1"/>
    <col min="321" max="321" width="20.28515625" bestFit="1" customWidth="1"/>
    <col min="322" max="322" width="26.140625" bestFit="1" customWidth="1"/>
    <col min="323" max="323" width="26.7109375" bestFit="1" customWidth="1"/>
    <col min="324" max="324" width="26.140625" bestFit="1" customWidth="1"/>
    <col min="325" max="325" width="25.28515625" bestFit="1" customWidth="1"/>
    <col min="326" max="326" width="23.5703125" bestFit="1" customWidth="1"/>
    <col min="327" max="327" width="23.140625" bestFit="1" customWidth="1"/>
    <col min="328" max="328" width="20.7109375" bestFit="1" customWidth="1"/>
    <col min="329" max="329" width="23.7109375" bestFit="1" customWidth="1"/>
    <col min="330" max="330" width="18" bestFit="1" customWidth="1"/>
    <col min="331" max="331" width="20.140625" bestFit="1" customWidth="1"/>
    <col min="332" max="332" width="22.85546875" bestFit="1" customWidth="1"/>
    <col min="333" max="333" width="22.7109375" bestFit="1" customWidth="1"/>
    <col min="334" max="334" width="26.140625" bestFit="1" customWidth="1"/>
    <col min="335" max="335" width="24" bestFit="1" customWidth="1"/>
    <col min="336" max="336" width="24.7109375" bestFit="1" customWidth="1"/>
    <col min="337" max="337" width="25.28515625" bestFit="1" customWidth="1"/>
    <col min="338" max="338" width="20.85546875" bestFit="1" customWidth="1"/>
    <col min="339" max="339" width="24" bestFit="1" customWidth="1"/>
    <col min="340" max="340" width="21.7109375" bestFit="1" customWidth="1"/>
    <col min="341" max="341" width="21" bestFit="1" customWidth="1"/>
    <col min="342" max="342" width="20.28515625" bestFit="1" customWidth="1"/>
    <col min="343" max="344" width="20.140625" bestFit="1" customWidth="1"/>
    <col min="345" max="345" width="21.42578125" bestFit="1" customWidth="1"/>
    <col min="346" max="346" width="29.42578125" bestFit="1" customWidth="1"/>
    <col min="347" max="347" width="21.42578125" bestFit="1" customWidth="1"/>
    <col min="348" max="348" width="25.7109375" bestFit="1" customWidth="1"/>
    <col min="349" max="349" width="28.7109375" bestFit="1" customWidth="1"/>
    <col min="350" max="350" width="23.28515625" bestFit="1" customWidth="1"/>
    <col min="351" max="351" width="24" bestFit="1" customWidth="1"/>
    <col min="352" max="352" width="21.7109375" bestFit="1" customWidth="1"/>
    <col min="353" max="353" width="18.42578125" bestFit="1" customWidth="1"/>
    <col min="354" max="354" width="19" bestFit="1" customWidth="1"/>
    <col min="355" max="355" width="23.5703125" bestFit="1" customWidth="1"/>
    <col min="356" max="356" width="17.5703125" bestFit="1" customWidth="1"/>
    <col min="357" max="357" width="22.28515625" bestFit="1" customWidth="1"/>
    <col min="358" max="358" width="26.85546875" bestFit="1" customWidth="1"/>
    <col min="359" max="359" width="23.7109375" bestFit="1" customWidth="1"/>
    <col min="360" max="360" width="25.7109375" bestFit="1" customWidth="1"/>
    <col min="361" max="361" width="26.140625" bestFit="1" customWidth="1"/>
    <col min="362" max="362" width="22" bestFit="1" customWidth="1"/>
    <col min="363" max="363" width="27.42578125" bestFit="1" customWidth="1"/>
    <col min="364" max="364" width="22.42578125" bestFit="1" customWidth="1"/>
    <col min="365" max="365" width="19.42578125" bestFit="1" customWidth="1"/>
    <col min="366" max="366" width="19.85546875" bestFit="1" customWidth="1"/>
    <col min="367" max="367" width="18.28515625" bestFit="1" customWidth="1"/>
    <col min="368" max="368" width="18.5703125" bestFit="1" customWidth="1"/>
    <col min="369" max="369" width="25.7109375" bestFit="1" customWidth="1"/>
    <col min="370" max="370" width="26.5703125" bestFit="1" customWidth="1"/>
    <col min="371" max="371" width="23.28515625" bestFit="1" customWidth="1"/>
    <col min="372" max="372" width="26.42578125" bestFit="1" customWidth="1"/>
    <col min="373" max="373" width="25.85546875" bestFit="1" customWidth="1"/>
    <col min="374" max="374" width="22.85546875" bestFit="1" customWidth="1"/>
    <col min="375" max="375" width="22.140625" bestFit="1" customWidth="1"/>
    <col min="376" max="376" width="19.7109375" bestFit="1" customWidth="1"/>
    <col min="377" max="377" width="20.28515625" bestFit="1" customWidth="1"/>
    <col min="378" max="378" width="23.28515625" bestFit="1" customWidth="1"/>
    <col min="379" max="379" width="20.5703125" bestFit="1" customWidth="1"/>
    <col min="380" max="380" width="19.42578125" bestFit="1" customWidth="1"/>
    <col min="381" max="381" width="23" bestFit="1" customWidth="1"/>
    <col min="382" max="382" width="25.140625" bestFit="1" customWidth="1"/>
    <col min="383" max="383" width="23.28515625" bestFit="1" customWidth="1"/>
    <col min="384" max="384" width="23.7109375" bestFit="1" customWidth="1"/>
    <col min="385" max="385" width="24.42578125" bestFit="1" customWidth="1"/>
    <col min="386" max="386" width="26.28515625" bestFit="1" customWidth="1"/>
    <col min="387" max="387" width="24.42578125" bestFit="1" customWidth="1"/>
    <col min="388" max="388" width="22.140625" bestFit="1" customWidth="1"/>
    <col min="389" max="389" width="20.28515625" bestFit="1" customWidth="1"/>
    <col min="390" max="390" width="20.5703125" bestFit="1" customWidth="1"/>
    <col min="391" max="391" width="19.28515625" bestFit="1" customWidth="1"/>
    <col min="392" max="392" width="19.42578125" bestFit="1" customWidth="1"/>
    <col min="393" max="393" width="20.28515625" bestFit="1" customWidth="1"/>
    <col min="394" max="394" width="26.140625" bestFit="1" customWidth="1"/>
    <col min="395" max="395" width="26.7109375" bestFit="1" customWidth="1"/>
    <col min="396" max="396" width="26.140625" bestFit="1" customWidth="1"/>
    <col min="397" max="397" width="25.28515625" bestFit="1" customWidth="1"/>
    <col min="398" max="398" width="23.5703125" bestFit="1" customWidth="1"/>
    <col min="399" max="399" width="23.140625" bestFit="1" customWidth="1"/>
    <col min="400" max="400" width="20.7109375" bestFit="1" customWidth="1"/>
    <col min="401" max="401" width="23.7109375" bestFit="1" customWidth="1"/>
    <col min="402" max="402" width="18" bestFit="1" customWidth="1"/>
    <col min="403" max="403" width="20.140625" bestFit="1" customWidth="1"/>
    <col min="404" max="404" width="22.85546875" bestFit="1" customWidth="1"/>
    <col min="405" max="405" width="22.7109375" bestFit="1" customWidth="1"/>
    <col min="406" max="406" width="26.140625" bestFit="1" customWidth="1"/>
    <col min="407" max="407" width="24" bestFit="1" customWidth="1"/>
    <col min="408" max="408" width="24.7109375" bestFit="1" customWidth="1"/>
    <col min="409" max="409" width="25.28515625" bestFit="1" customWidth="1"/>
    <col min="410" max="410" width="20.85546875" bestFit="1" customWidth="1"/>
    <col min="411" max="411" width="24" bestFit="1" customWidth="1"/>
    <col min="412" max="412" width="21.7109375" bestFit="1" customWidth="1"/>
    <col min="413" max="413" width="18.42578125" bestFit="1" customWidth="1"/>
    <col min="414" max="414" width="19" bestFit="1" customWidth="1"/>
    <col min="415" max="415" width="23.5703125" bestFit="1" customWidth="1"/>
    <col min="416" max="416" width="17.5703125" bestFit="1" customWidth="1"/>
    <col min="417" max="417" width="22.28515625" bestFit="1" customWidth="1"/>
    <col min="418" max="418" width="26.85546875" bestFit="1" customWidth="1"/>
    <col min="419" max="419" width="23.7109375" bestFit="1" customWidth="1"/>
    <col min="420" max="420" width="25.7109375" bestFit="1" customWidth="1"/>
    <col min="421" max="421" width="26.140625" bestFit="1" customWidth="1"/>
    <col min="422" max="422" width="22" bestFit="1" customWidth="1"/>
    <col min="423" max="423" width="27.42578125" bestFit="1" customWidth="1"/>
    <col min="424" max="424" width="25" bestFit="1" customWidth="1"/>
    <col min="425" max="425" width="20.7109375" bestFit="1" customWidth="1"/>
    <col min="426" max="426" width="19.85546875" bestFit="1" customWidth="1"/>
    <col min="427" max="427" width="20.85546875" bestFit="1" customWidth="1"/>
    <col min="428" max="428" width="19.85546875" bestFit="1" customWidth="1"/>
    <col min="429" max="429" width="22.28515625" bestFit="1" customWidth="1"/>
    <col min="430" max="430" width="24.140625" bestFit="1" customWidth="1"/>
    <col min="431" max="431" width="22.42578125" bestFit="1" customWidth="1"/>
    <col min="432" max="432" width="29" bestFit="1" customWidth="1"/>
    <col min="433" max="433" width="23.42578125" bestFit="1" customWidth="1"/>
    <col min="434" max="434" width="22.85546875" bestFit="1" customWidth="1"/>
    <col min="435" max="435" width="24.7109375" bestFit="1" customWidth="1"/>
    <col min="436" max="436" width="22.42578125" bestFit="1" customWidth="1"/>
    <col min="437" max="437" width="19.42578125" bestFit="1" customWidth="1"/>
    <col min="438" max="438" width="19.85546875" bestFit="1" customWidth="1"/>
    <col min="439" max="439" width="18.28515625" bestFit="1" customWidth="1"/>
    <col min="440" max="440" width="18.5703125" bestFit="1" customWidth="1"/>
    <col min="441" max="441" width="25.7109375" bestFit="1" customWidth="1"/>
    <col min="442" max="442" width="26.5703125" bestFit="1" customWidth="1"/>
    <col min="443" max="443" width="23.28515625" bestFit="1" customWidth="1"/>
    <col min="444" max="444" width="26.42578125" bestFit="1" customWidth="1"/>
    <col min="445" max="445" width="25.85546875" bestFit="1" customWidth="1"/>
    <col min="446" max="446" width="22.85546875" bestFit="1" customWidth="1"/>
    <col min="447" max="447" width="22.140625" bestFit="1" customWidth="1"/>
    <col min="448" max="448" width="19.7109375" bestFit="1" customWidth="1"/>
    <col min="449" max="449" width="20.28515625" bestFit="1" customWidth="1"/>
    <col min="450" max="450" width="23.28515625" bestFit="1" customWidth="1"/>
    <col min="451" max="451" width="20.5703125" bestFit="1" customWidth="1"/>
    <col min="452" max="452" width="19.42578125" bestFit="1" customWidth="1"/>
    <col min="453" max="453" width="23" bestFit="1" customWidth="1"/>
    <col min="454" max="454" width="25.140625" bestFit="1" customWidth="1"/>
    <col min="455" max="455" width="23.28515625" bestFit="1" customWidth="1"/>
    <col min="456" max="456" width="23.7109375" bestFit="1" customWidth="1"/>
    <col min="457" max="457" width="24.42578125" bestFit="1" customWidth="1"/>
    <col min="458" max="458" width="26.28515625" bestFit="1" customWidth="1"/>
    <col min="459" max="459" width="24.42578125" bestFit="1" customWidth="1"/>
    <col min="460" max="460" width="20.7109375" bestFit="1" customWidth="1"/>
    <col min="461" max="461" width="23.7109375" bestFit="1" customWidth="1"/>
    <col min="462" max="462" width="18" bestFit="1" customWidth="1"/>
    <col min="463" max="463" width="20.140625" bestFit="1" customWidth="1"/>
    <col min="464" max="464" width="22.85546875" bestFit="1" customWidth="1"/>
    <col min="465" max="465" width="22.7109375" bestFit="1" customWidth="1"/>
    <col min="466" max="466" width="26.140625" bestFit="1" customWidth="1"/>
    <col min="467" max="467" width="24" bestFit="1" customWidth="1"/>
    <col min="468" max="468" width="24.7109375" bestFit="1" customWidth="1"/>
    <col min="469" max="469" width="25.28515625" bestFit="1" customWidth="1"/>
    <col min="470" max="470" width="18.42578125" bestFit="1" customWidth="1"/>
    <col min="471" max="471" width="24" bestFit="1" customWidth="1"/>
    <col min="472" max="472" width="16.28515625" bestFit="1" customWidth="1"/>
    <col min="473" max="473" width="12.7109375" bestFit="1" customWidth="1"/>
  </cols>
  <sheetData>
    <row r="1" spans="1:7" x14ac:dyDescent="0.25">
      <c r="A1" s="5" t="s">
        <v>10</v>
      </c>
      <c r="B1" t="s">
        <v>64</v>
      </c>
    </row>
    <row r="3" spans="1:7" x14ac:dyDescent="0.25">
      <c r="A3" s="5" t="s">
        <v>65</v>
      </c>
      <c r="B3" s="5" t="s">
        <v>44</v>
      </c>
    </row>
    <row r="4" spans="1:7" x14ac:dyDescent="0.25">
      <c r="A4" s="5" t="s">
        <v>42</v>
      </c>
      <c r="B4" t="s">
        <v>41</v>
      </c>
      <c r="C4" t="s">
        <v>46</v>
      </c>
      <c r="D4" t="s">
        <v>39</v>
      </c>
      <c r="E4" t="s">
        <v>40</v>
      </c>
      <c r="F4" t="s">
        <v>21</v>
      </c>
      <c r="G4" t="s">
        <v>43</v>
      </c>
    </row>
    <row r="5" spans="1:7" x14ac:dyDescent="0.25">
      <c r="A5" s="6" t="s">
        <v>28</v>
      </c>
      <c r="B5" s="3">
        <v>456.95238095238096</v>
      </c>
      <c r="C5" s="3">
        <v>283</v>
      </c>
      <c r="D5" s="3">
        <v>102.5</v>
      </c>
      <c r="E5" s="3">
        <v>98.857142857142861</v>
      </c>
      <c r="F5" s="3">
        <v>223.92857142857142</v>
      </c>
      <c r="G5" s="3">
        <v>250.68421052631578</v>
      </c>
    </row>
    <row r="6" spans="1:7" x14ac:dyDescent="0.25">
      <c r="A6" s="6" t="s">
        <v>29</v>
      </c>
      <c r="B6" s="3">
        <v>537.90476190476193</v>
      </c>
      <c r="C6" s="3">
        <v>318.42857142857144</v>
      </c>
      <c r="D6" s="3">
        <v>86.785714285714292</v>
      </c>
      <c r="E6" s="3">
        <v>58.714285714285715</v>
      </c>
      <c r="F6" s="3">
        <v>297.77142857142854</v>
      </c>
      <c r="G6" s="3">
        <v>304.15789473684208</v>
      </c>
    </row>
    <row r="7" spans="1:7" x14ac:dyDescent="0.25">
      <c r="A7" s="6" t="s">
        <v>30</v>
      </c>
      <c r="B7" s="3">
        <v>457.85714285714283</v>
      </c>
      <c r="C7" s="3">
        <v>325.66666666666669</v>
      </c>
      <c r="D7" s="3">
        <v>62.285714285714285</v>
      </c>
      <c r="E7" s="3">
        <v>59.285714285714285</v>
      </c>
      <c r="F7" s="3">
        <v>284.71428571428572</v>
      </c>
      <c r="G7" s="3">
        <v>283.24060150375942</v>
      </c>
    </row>
    <row r="8" spans="1:7" x14ac:dyDescent="0.25">
      <c r="A8" s="6" t="s">
        <v>33</v>
      </c>
      <c r="B8" s="3">
        <v>517.66666666666663</v>
      </c>
      <c r="C8" s="3">
        <v>263.46428571428572</v>
      </c>
      <c r="D8" s="3">
        <v>82.357142857142861</v>
      </c>
      <c r="E8" s="3">
        <v>70.142857142857139</v>
      </c>
      <c r="F8" s="3">
        <v>333.15584415584414</v>
      </c>
      <c r="G8" s="3">
        <v>309.8299319727891</v>
      </c>
    </row>
    <row r="9" spans="1:7" x14ac:dyDescent="0.25">
      <c r="A9" s="6" t="s">
        <v>31</v>
      </c>
      <c r="B9" s="3">
        <v>539.28571428571433</v>
      </c>
      <c r="C9" s="3">
        <v>317.46428571428572</v>
      </c>
      <c r="D9" s="3">
        <v>92.428571428571431</v>
      </c>
      <c r="E9" s="3">
        <v>89.857142857142861</v>
      </c>
      <c r="F9" s="3">
        <v>289.84415584415586</v>
      </c>
      <c r="G9" s="3">
        <v>302.41496598639458</v>
      </c>
    </row>
    <row r="10" spans="1:7" x14ac:dyDescent="0.25">
      <c r="A10" s="6" t="s">
        <v>32</v>
      </c>
      <c r="B10" s="3">
        <v>543.57142857142856</v>
      </c>
      <c r="C10" s="3">
        <v>382.14285714285717</v>
      </c>
      <c r="D10" s="3">
        <v>54.357142857142854</v>
      </c>
      <c r="E10" s="3">
        <v>89.285714285714292</v>
      </c>
      <c r="F10" s="3">
        <v>230.11428571428573</v>
      </c>
      <c r="G10" s="3">
        <v>282.92142857142858</v>
      </c>
    </row>
    <row r="11" spans="1:7" x14ac:dyDescent="0.25">
      <c r="A11" s="6" t="s">
        <v>43</v>
      </c>
      <c r="B11" s="3">
        <v>508.87301587301585</v>
      </c>
      <c r="C11" s="3">
        <v>315.88435374149662</v>
      </c>
      <c r="D11" s="3">
        <v>80.11904761904762</v>
      </c>
      <c r="E11" s="3">
        <v>77.69047619047619</v>
      </c>
      <c r="F11" s="3">
        <v>277.71428571428572</v>
      </c>
      <c r="G11" s="3">
        <v>289.40456182472991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9C1CA-7EF7-469B-9CC4-309A9BBAEFCE}">
  <dimension ref="A1:G11"/>
  <sheetViews>
    <sheetView workbookViewId="0">
      <selection sqref="A1:G11"/>
    </sheetView>
  </sheetViews>
  <sheetFormatPr defaultRowHeight="15" x14ac:dyDescent="0.25"/>
  <cols>
    <col min="1" max="1" width="19.85546875" bestFit="1" customWidth="1"/>
    <col min="2" max="2" width="16.28515625" bestFit="1" customWidth="1"/>
    <col min="3" max="3" width="13.7109375" bestFit="1" customWidth="1"/>
    <col min="4" max="5" width="8" bestFit="1" customWidth="1"/>
    <col min="6" max="6" width="7" bestFit="1" customWidth="1"/>
    <col min="7" max="7" width="11.28515625" bestFit="1" customWidth="1"/>
    <col min="8" max="8" width="23.5703125" bestFit="1" customWidth="1"/>
    <col min="9" max="9" width="16.28515625" bestFit="1" customWidth="1"/>
    <col min="10" max="10" width="23.5703125" bestFit="1" customWidth="1"/>
    <col min="11" max="11" width="16.28515625" bestFit="1" customWidth="1"/>
    <col min="12" max="12" width="28.5703125" bestFit="1" customWidth="1"/>
    <col min="13" max="13" width="21.42578125" bestFit="1" customWidth="1"/>
  </cols>
  <sheetData>
    <row r="1" spans="1:7" x14ac:dyDescent="0.25">
      <c r="A1" s="5" t="s">
        <v>10</v>
      </c>
      <c r="B1" t="s">
        <v>64</v>
      </c>
    </row>
    <row r="3" spans="1:7" x14ac:dyDescent="0.25">
      <c r="A3" s="5" t="s">
        <v>66</v>
      </c>
      <c r="B3" s="5" t="s">
        <v>44</v>
      </c>
    </row>
    <row r="4" spans="1:7" x14ac:dyDescent="0.25">
      <c r="A4" s="5" t="s">
        <v>42</v>
      </c>
      <c r="B4" t="s">
        <v>41</v>
      </c>
      <c r="C4" t="s">
        <v>46</v>
      </c>
      <c r="D4" t="s">
        <v>39</v>
      </c>
      <c r="E4" t="s">
        <v>40</v>
      </c>
      <c r="F4" t="s">
        <v>21</v>
      </c>
      <c r="G4" t="s">
        <v>43</v>
      </c>
    </row>
    <row r="5" spans="1:7" x14ac:dyDescent="0.25">
      <c r="A5" s="6" t="s">
        <v>28</v>
      </c>
      <c r="B5" s="3">
        <v>7094.666666666667</v>
      </c>
      <c r="C5" s="3">
        <v>6838.8571428571431</v>
      </c>
      <c r="D5" s="3">
        <v>6177</v>
      </c>
      <c r="E5" s="3">
        <v>5814.4285714285716</v>
      </c>
      <c r="F5" s="3">
        <v>5034.6571428571433</v>
      </c>
      <c r="G5" s="3">
        <v>5806.082706766917</v>
      </c>
    </row>
    <row r="6" spans="1:7" x14ac:dyDescent="0.25">
      <c r="A6" s="6" t="s">
        <v>29</v>
      </c>
      <c r="B6" s="3">
        <v>7945.4285714285716</v>
      </c>
      <c r="C6" s="3">
        <v>7758.9523809523807</v>
      </c>
      <c r="D6" s="3">
        <v>6625.7142857142853</v>
      </c>
      <c r="E6" s="3">
        <v>12305.142857142857</v>
      </c>
      <c r="F6" s="3">
        <v>7535.3428571428567</v>
      </c>
      <c r="G6" s="3">
        <v>7790.6917293233082</v>
      </c>
    </row>
    <row r="7" spans="1:7" x14ac:dyDescent="0.25">
      <c r="A7" s="6" t="s">
        <v>30</v>
      </c>
      <c r="B7" s="3">
        <v>8068</v>
      </c>
      <c r="C7" s="3">
        <v>7505.7619047619046</v>
      </c>
      <c r="D7" s="3">
        <v>6155.2857142857147</v>
      </c>
      <c r="E7" s="3">
        <v>8182.7142857142853</v>
      </c>
      <c r="F7" s="3">
        <v>6842.471428571429</v>
      </c>
      <c r="G7" s="3">
        <v>7138.9097744360906</v>
      </c>
    </row>
    <row r="8" spans="1:7" x14ac:dyDescent="0.25">
      <c r="A8" s="6" t="s">
        <v>33</v>
      </c>
      <c r="B8" s="3">
        <v>8497.3809523809523</v>
      </c>
      <c r="C8" s="3">
        <v>7771.3214285714284</v>
      </c>
      <c r="D8" s="3">
        <v>7369.3571428571431</v>
      </c>
      <c r="E8" s="3">
        <v>7899.1428571428569</v>
      </c>
      <c r="F8" s="3">
        <v>6989.2857142857147</v>
      </c>
      <c r="G8" s="3">
        <v>7433.2108843537417</v>
      </c>
    </row>
    <row r="9" spans="1:7" x14ac:dyDescent="0.25">
      <c r="A9" s="6" t="s">
        <v>31</v>
      </c>
      <c r="B9" s="3">
        <v>8393.1904761904771</v>
      </c>
      <c r="C9" s="3">
        <v>8466.7142857142862</v>
      </c>
      <c r="D9" s="3">
        <v>7941.9285714285716</v>
      </c>
      <c r="E9" s="3">
        <v>8518.1428571428569</v>
      </c>
      <c r="F9" s="3">
        <v>6599.8441558441555</v>
      </c>
      <c r="G9" s="3">
        <v>7430.7959183673465</v>
      </c>
    </row>
    <row r="10" spans="1:7" x14ac:dyDescent="0.25">
      <c r="A10" s="6" t="s">
        <v>32</v>
      </c>
      <c r="B10" s="3">
        <v>10276.142857142857</v>
      </c>
      <c r="C10" s="3">
        <v>7773.3928571428569</v>
      </c>
      <c r="D10" s="3">
        <v>11865.857142857143</v>
      </c>
      <c r="E10" s="3">
        <v>7816.8571428571431</v>
      </c>
      <c r="F10" s="3">
        <v>8818.7714285714283</v>
      </c>
      <c r="G10" s="3">
        <v>9082.9142857142851</v>
      </c>
    </row>
    <row r="11" spans="1:7" x14ac:dyDescent="0.25">
      <c r="A11" s="6" t="s">
        <v>43</v>
      </c>
      <c r="B11" s="3">
        <v>8379.1349206349205</v>
      </c>
      <c r="C11" s="3">
        <v>7731.2585034013609</v>
      </c>
      <c r="D11" s="3">
        <v>7689.1904761904761</v>
      </c>
      <c r="E11" s="3">
        <v>8422.7380952380954</v>
      </c>
      <c r="F11" s="3">
        <v>6964.4009216589866</v>
      </c>
      <c r="G11" s="3">
        <v>7460.3397358943575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10358-59A5-4645-BA98-86A56D343230}">
  <dimension ref="B2:H42"/>
  <sheetViews>
    <sheetView tabSelected="1" workbookViewId="0">
      <selection activeCell="W46" sqref="W46"/>
    </sheetView>
  </sheetViews>
  <sheetFormatPr defaultRowHeight="15" x14ac:dyDescent="0.25"/>
  <sheetData>
    <row r="2" spans="2:8" x14ac:dyDescent="0.25">
      <c r="B2" t="s">
        <v>67</v>
      </c>
    </row>
    <row r="3" spans="2:8" x14ac:dyDescent="0.25">
      <c r="B3" t="s">
        <v>10</v>
      </c>
      <c r="C3" t="s">
        <v>64</v>
      </c>
    </row>
    <row r="5" spans="2:8" x14ac:dyDescent="0.25">
      <c r="B5" t="s">
        <v>65</v>
      </c>
      <c r="C5" t="s">
        <v>44</v>
      </c>
    </row>
    <row r="6" spans="2:8" x14ac:dyDescent="0.25">
      <c r="B6" t="s">
        <v>42</v>
      </c>
      <c r="C6" t="s">
        <v>41</v>
      </c>
      <c r="D6" t="s">
        <v>46</v>
      </c>
      <c r="E6" t="s">
        <v>39</v>
      </c>
      <c r="F6" t="s">
        <v>40</v>
      </c>
      <c r="G6" t="s">
        <v>21</v>
      </c>
      <c r="H6" t="s">
        <v>43</v>
      </c>
    </row>
    <row r="7" spans="2:8" x14ac:dyDescent="0.25">
      <c r="B7" t="s">
        <v>28</v>
      </c>
      <c r="C7">
        <v>456.95238095238096</v>
      </c>
      <c r="D7">
        <v>283</v>
      </c>
      <c r="E7">
        <v>102.5</v>
      </c>
      <c r="F7">
        <v>98.857142857142861</v>
      </c>
      <c r="G7">
        <v>223.92857142857142</v>
      </c>
      <c r="H7">
        <v>250.68421052631578</v>
      </c>
    </row>
    <row r="8" spans="2:8" x14ac:dyDescent="0.25">
      <c r="B8" t="s">
        <v>29</v>
      </c>
      <c r="C8">
        <v>537.90476190476193</v>
      </c>
      <c r="D8">
        <v>318.42857142857144</v>
      </c>
      <c r="E8">
        <v>86.785714285714292</v>
      </c>
      <c r="F8">
        <v>58.714285714285715</v>
      </c>
      <c r="G8">
        <v>297.77142857142854</v>
      </c>
      <c r="H8">
        <v>304.15789473684208</v>
      </c>
    </row>
    <row r="9" spans="2:8" x14ac:dyDescent="0.25">
      <c r="B9" t="s">
        <v>30</v>
      </c>
      <c r="C9">
        <v>457.85714285714283</v>
      </c>
      <c r="D9">
        <v>325.66666666666669</v>
      </c>
      <c r="E9">
        <v>62.285714285714285</v>
      </c>
      <c r="F9">
        <v>59.285714285714285</v>
      </c>
      <c r="G9">
        <v>284.71428571428572</v>
      </c>
      <c r="H9">
        <v>283.24060150375942</v>
      </c>
    </row>
    <row r="10" spans="2:8" x14ac:dyDescent="0.25">
      <c r="B10" t="s">
        <v>33</v>
      </c>
      <c r="C10">
        <v>517.66666666666663</v>
      </c>
      <c r="D10">
        <v>263.46428571428572</v>
      </c>
      <c r="E10">
        <v>82.357142857142861</v>
      </c>
      <c r="F10">
        <v>70.142857142857139</v>
      </c>
      <c r="G10">
        <v>333.15584415584414</v>
      </c>
      <c r="H10">
        <v>309.8299319727891</v>
      </c>
    </row>
    <row r="11" spans="2:8" x14ac:dyDescent="0.25">
      <c r="B11" t="s">
        <v>31</v>
      </c>
      <c r="C11">
        <v>539.28571428571433</v>
      </c>
      <c r="D11">
        <v>317.46428571428572</v>
      </c>
      <c r="E11">
        <v>92.428571428571431</v>
      </c>
      <c r="F11">
        <v>89.857142857142861</v>
      </c>
      <c r="G11">
        <v>289.84415584415586</v>
      </c>
      <c r="H11">
        <v>302.41496598639458</v>
      </c>
    </row>
    <row r="12" spans="2:8" x14ac:dyDescent="0.25">
      <c r="B12" t="s">
        <v>32</v>
      </c>
      <c r="C12">
        <v>543.57142857142856</v>
      </c>
      <c r="D12">
        <v>382.14285714285717</v>
      </c>
      <c r="E12">
        <v>54.357142857142854</v>
      </c>
      <c r="F12">
        <v>89.285714285714292</v>
      </c>
      <c r="G12">
        <v>230.11428571428573</v>
      </c>
      <c r="H12">
        <v>282.92142857142858</v>
      </c>
    </row>
    <row r="13" spans="2:8" x14ac:dyDescent="0.25">
      <c r="B13" t="s">
        <v>43</v>
      </c>
      <c r="C13">
        <v>508.87301587301585</v>
      </c>
      <c r="D13">
        <v>315.88435374149662</v>
      </c>
      <c r="E13">
        <v>80.11904761904762</v>
      </c>
      <c r="F13">
        <v>77.69047619047619</v>
      </c>
      <c r="G13">
        <v>277.71428571428572</v>
      </c>
      <c r="H13">
        <v>289.40456182472991</v>
      </c>
    </row>
    <row r="31" spans="2:3" x14ac:dyDescent="0.25">
      <c r="B31" t="s">
        <v>68</v>
      </c>
    </row>
    <row r="32" spans="2:3" x14ac:dyDescent="0.25">
      <c r="B32" t="s">
        <v>10</v>
      </c>
      <c r="C32" t="s">
        <v>64</v>
      </c>
    </row>
    <row r="34" spans="2:8" x14ac:dyDescent="0.25">
      <c r="B34" t="s">
        <v>66</v>
      </c>
      <c r="C34" t="s">
        <v>44</v>
      </c>
    </row>
    <row r="35" spans="2:8" x14ac:dyDescent="0.25">
      <c r="B35" t="s">
        <v>42</v>
      </c>
      <c r="C35" t="s">
        <v>41</v>
      </c>
      <c r="D35" t="s">
        <v>46</v>
      </c>
      <c r="E35" t="s">
        <v>39</v>
      </c>
      <c r="F35" t="s">
        <v>40</v>
      </c>
      <c r="G35" t="s">
        <v>21</v>
      </c>
      <c r="H35" t="s">
        <v>43</v>
      </c>
    </row>
    <row r="36" spans="2:8" x14ac:dyDescent="0.25">
      <c r="B36" t="s">
        <v>28</v>
      </c>
      <c r="C36">
        <v>7094.666666666667</v>
      </c>
      <c r="D36">
        <v>6838.8571428571431</v>
      </c>
      <c r="E36">
        <v>6177</v>
      </c>
      <c r="F36">
        <v>5814.4285714285716</v>
      </c>
      <c r="G36">
        <v>5034.6571428571433</v>
      </c>
      <c r="H36">
        <v>5806.082706766917</v>
      </c>
    </row>
    <row r="37" spans="2:8" x14ac:dyDescent="0.25">
      <c r="B37" t="s">
        <v>29</v>
      </c>
      <c r="C37">
        <v>7945.4285714285716</v>
      </c>
      <c r="D37">
        <v>7758.9523809523807</v>
      </c>
      <c r="E37">
        <v>6625.7142857142853</v>
      </c>
      <c r="F37">
        <v>12305.142857142857</v>
      </c>
      <c r="G37">
        <v>7535.3428571428567</v>
      </c>
      <c r="H37">
        <v>7790.6917293233082</v>
      </c>
    </row>
    <row r="38" spans="2:8" x14ac:dyDescent="0.25">
      <c r="B38" t="s">
        <v>30</v>
      </c>
      <c r="C38">
        <v>8068</v>
      </c>
      <c r="D38">
        <v>7505.7619047619046</v>
      </c>
      <c r="E38">
        <v>6155.2857142857147</v>
      </c>
      <c r="F38">
        <v>8182.7142857142853</v>
      </c>
      <c r="G38">
        <v>6842.471428571429</v>
      </c>
      <c r="H38">
        <v>7138.9097744360906</v>
      </c>
    </row>
    <row r="39" spans="2:8" x14ac:dyDescent="0.25">
      <c r="B39" t="s">
        <v>33</v>
      </c>
      <c r="C39">
        <v>8497.3809523809523</v>
      </c>
      <c r="D39">
        <v>7771.3214285714284</v>
      </c>
      <c r="E39">
        <v>7369.3571428571431</v>
      </c>
      <c r="F39">
        <v>7899.1428571428569</v>
      </c>
      <c r="G39">
        <v>6989.2857142857147</v>
      </c>
      <c r="H39">
        <v>7433.2108843537417</v>
      </c>
    </row>
    <row r="40" spans="2:8" x14ac:dyDescent="0.25">
      <c r="B40" t="s">
        <v>31</v>
      </c>
      <c r="C40">
        <v>8393.1904761904771</v>
      </c>
      <c r="D40">
        <v>8466.7142857142862</v>
      </c>
      <c r="E40">
        <v>7941.9285714285716</v>
      </c>
      <c r="F40">
        <v>8518.1428571428569</v>
      </c>
      <c r="G40">
        <v>6599.8441558441555</v>
      </c>
      <c r="H40">
        <v>7430.7959183673465</v>
      </c>
    </row>
    <row r="41" spans="2:8" x14ac:dyDescent="0.25">
      <c r="B41" t="s">
        <v>32</v>
      </c>
      <c r="C41">
        <v>10276.142857142857</v>
      </c>
      <c r="D41">
        <v>7773.3928571428569</v>
      </c>
      <c r="E41">
        <v>11865.857142857143</v>
      </c>
      <c r="F41">
        <v>7816.8571428571431</v>
      </c>
      <c r="G41">
        <v>8818.7714285714283</v>
      </c>
      <c r="H41">
        <v>9082.9142857142851</v>
      </c>
    </row>
    <row r="42" spans="2:8" x14ac:dyDescent="0.25">
      <c r="B42" t="s">
        <v>43</v>
      </c>
      <c r="C42">
        <v>8379.1349206349205</v>
      </c>
      <c r="D42">
        <v>7731.2585034013609</v>
      </c>
      <c r="E42">
        <v>7689.1904761904761</v>
      </c>
      <c r="F42">
        <v>8422.7380952380954</v>
      </c>
      <c r="G42">
        <v>6964.4009216589866</v>
      </c>
      <c r="H42">
        <v>7460.3397358943575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DAY USE</vt:lpstr>
      <vt:lpstr>BOATERS</vt:lpstr>
      <vt:lpstr>PivotBoaters</vt:lpstr>
      <vt:lpstr>Pivot Day Use</vt:lpstr>
      <vt:lpstr>Scribble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Jenkins</dc:creator>
  <cp:lastModifiedBy>Isaac Sanchez Terrazas</cp:lastModifiedBy>
  <dcterms:created xsi:type="dcterms:W3CDTF">2023-10-02T16:55:26Z</dcterms:created>
  <dcterms:modified xsi:type="dcterms:W3CDTF">2026-06-10T03:33:51Z</dcterms:modified>
</cp:coreProperties>
</file>